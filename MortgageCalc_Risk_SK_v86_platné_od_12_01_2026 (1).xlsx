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bank.pl\zasoby\Z-CZSK-RISK_MANAGEMENT\Calculators\ML\"/>
    </mc:Choice>
  </mc:AlternateContent>
  <xr:revisionPtr revIDLastSave="0" documentId="13_ncr:1_{403373A4-658E-46D4-842A-586803695431}" xr6:coauthVersionLast="47" xr6:coauthVersionMax="47" xr10:uidLastSave="{00000000-0000-0000-0000-000000000000}"/>
  <workbookProtection workbookAlgorithmName="SHA-512" workbookHashValue="OXR72W1jX8WQiUoB4uqJkCU4cVK4SRjoMUrIvUcxm1q3gulBlNXHJtzna14sUai1n99GeSz575i1SqV6ZKSImw==" workbookSaltValue="hYIIm4RO3aWlyPrD1rqDUA==" workbookSpinCount="100000" lockStructure="1"/>
  <bookViews>
    <workbookView xWindow="-120" yWindow="-120" windowWidth="29040" windowHeight="15720" activeTab="1" xr2:uid="{00000000-000D-0000-FFFF-FFFF00000000}"/>
  </bookViews>
  <sheets>
    <sheet name="Úrokový lístok" sheetId="13" r:id="rId1"/>
    <sheet name="prijem - EUR" sheetId="1" r:id="rId2"/>
    <sheet name="RPSN" sheetId="2" state="hidden" r:id="rId3"/>
    <sheet name="prijem -inna mena" sheetId="7" state="hidden" r:id="rId4"/>
    <sheet name="RPSN_zahranicie" sheetId="4" state="hidden" r:id="rId5"/>
    <sheet name="prijem - EUR-viac-domacnosti" sheetId="8" r:id="rId6"/>
    <sheet name="RPMN - prijem - EUR-vice-domac" sheetId="9" state="hidden" r:id="rId7"/>
    <sheet name="prijem_zahranicie - viac-dom" sheetId="12" state="hidden" r:id="rId8"/>
    <sheet name="RPMN - prijem_zah- EUR-vice-dom" sheetId="10" state="hidden" r:id="rId9"/>
    <sheet name="rovne_splatky" sheetId="5" r:id="rId10"/>
    <sheet name="klesajuce_splatky" sheetId="6" state="hidden" r:id="rId11"/>
  </sheets>
  <externalReferences>
    <externalReference r:id="rId12"/>
  </externalReferences>
  <definedNames>
    <definedName name="_splatka">'prijem - EUR'!$F$126</definedName>
    <definedName name="bridge_YN">[1]CALC!$K$18</definedName>
    <definedName name="doba_m">'prijem - EUR'!$F$50</definedName>
    <definedName name="doba_m_z">'prijem -inna mena'!$F$55</definedName>
    <definedName name="hladaj">'prijem - EUR'!$D$126</definedName>
    <definedName name="hladaj_ks">'prijem - EUR'!$D$127</definedName>
    <definedName name="ks_splatka">'prijem - EUR'!$F$127</definedName>
    <definedName name="LCI">'prijem - EUR'!#REF!</definedName>
    <definedName name="LCI_z">'prijem -inna mena'!#REF!</definedName>
    <definedName name="ltv">'prijem - EUR'!#REF!</definedName>
    <definedName name="ltv_high">'prijem - EUR'!$F$70</definedName>
    <definedName name="ltv_high_z">'prijem -inna mena'!$F$61</definedName>
    <definedName name="ltv_low">'prijem - EUR'!#REF!</definedName>
    <definedName name="poplatok_t0">'prijem - EUR'!$F$85</definedName>
    <definedName name="pv_splatok">'prijem - EUR'!$E$126</definedName>
    <definedName name="pv_splatok_ks">'prijem - EUR'!$E$127</definedName>
    <definedName name="rpmn">'prijem - EUR'!$F$93</definedName>
    <definedName name="rpmn_ks">'prijem - EUR'!$F$94</definedName>
    <definedName name="rpmn_ks_z">'prijem -inna mena'!$F$96</definedName>
    <definedName name="rpmn_z">'prijem -inna mena'!$F$95</definedName>
    <definedName name="solver_adj" localSheetId="1" hidden="1">'prijem - EUR'!$F$94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'prijem - EUR'!$D$127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0</definedName>
    <definedName name="splatka">'prijem - EUR'!$F$84</definedName>
    <definedName name="splatka_ks">'prijem - EUR'!$F$89</definedName>
    <definedName name="splatka_ks_z">'prijem -inna mena'!$F$92</definedName>
    <definedName name="splatka_z">'prijem -inna mena'!$F$89</definedName>
    <definedName name="urokova_sadzba">'prijem - EUR'!$F$73</definedName>
    <definedName name="urokova_sadzba_z">'prijem -inna mena'!$F$78</definedName>
    <definedName name="vyska_uveru">'prijem - EUR'!$F$48</definedName>
    <definedName name="vyska_uveru_LI">'prijem - EUR'!$F$49</definedName>
    <definedName name="vyska_uveru_LI_z">'prijem -inna mena'!$F$54</definedName>
    <definedName name="vyska_uveru_z">'prijem -inna mena'!$F$53</definedName>
    <definedName name="zabezpecenie">'prijem - EUR'!$F$51</definedName>
    <definedName name="zabezpecenie_z">'prijem -inna mena'!$F$56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" i="8" l="1"/>
  <c r="F7" i="1"/>
  <c r="F8" i="8"/>
  <c r="F69" i="8"/>
  <c r="F66" i="8" l="1"/>
  <c r="F57" i="1"/>
  <c r="E140" i="8"/>
  <c r="E139" i="8"/>
  <c r="E138" i="8"/>
  <c r="E124" i="1"/>
  <c r="E123" i="1"/>
  <c r="E122" i="1"/>
  <c r="E132" i="8"/>
  <c r="E116" i="1"/>
  <c r="F71" i="1"/>
  <c r="F64" i="1"/>
  <c r="F69" i="1"/>
  <c r="F30" i="1"/>
  <c r="F53" i="8"/>
  <c r="I52" i="8" s="1"/>
  <c r="F51" i="8"/>
  <c r="I50" i="8" s="1"/>
  <c r="F49" i="8"/>
  <c r="F20" i="8"/>
  <c r="I19" i="8" s="1"/>
  <c r="F28" i="1"/>
  <c r="F26" i="1"/>
  <c r="I25" i="1" s="1"/>
  <c r="F24" i="1"/>
  <c r="F22" i="1"/>
  <c r="I21" i="1" s="1"/>
  <c r="F55" i="8"/>
  <c r="F26" i="8"/>
  <c r="F77" i="8"/>
  <c r="F76" i="8"/>
  <c r="F75" i="8"/>
  <c r="F68" i="8"/>
  <c r="F35" i="1" l="1"/>
  <c r="F33" i="1"/>
  <c r="F34" i="1" s="1"/>
  <c r="I48" i="8"/>
  <c r="I38" i="8"/>
  <c r="F28" i="8"/>
  <c r="F57" i="8"/>
  <c r="C9" i="2"/>
  <c r="I8" i="1"/>
  <c r="F24" i="8"/>
  <c r="I23" i="8" s="1"/>
  <c r="F22" i="8"/>
  <c r="I21" i="8" s="1"/>
  <c r="I9" i="8"/>
  <c r="I27" i="1"/>
  <c r="I23" i="1"/>
  <c r="F173" i="8" l="1"/>
  <c r="F107" i="1"/>
  <c r="F32" i="1"/>
  <c r="F43" i="1" l="1"/>
  <c r="F117" i="12" l="1"/>
  <c r="I32" i="1" l="1"/>
  <c r="F78" i="12"/>
  <c r="F67" i="12"/>
  <c r="F71" i="12" s="1"/>
  <c r="F64" i="12"/>
  <c r="F61" i="12"/>
  <c r="F58" i="12"/>
  <c r="F65" i="12"/>
  <c r="F62" i="12"/>
  <c r="F50" i="12" s="1"/>
  <c r="F59" i="12"/>
  <c r="F47" i="12" s="1"/>
  <c r="F46" i="12"/>
  <c r="F40" i="12"/>
  <c r="F29" i="12"/>
  <c r="F32" i="12" s="1"/>
  <c r="F27" i="12"/>
  <c r="F15" i="12" s="1"/>
  <c r="F26" i="12"/>
  <c r="F24" i="12"/>
  <c r="F12" i="12" s="1"/>
  <c r="F23" i="12"/>
  <c r="F21" i="12"/>
  <c r="F9" i="12" s="1"/>
  <c r="F20" i="12"/>
  <c r="F8" i="12"/>
  <c r="F33" i="12" l="1"/>
  <c r="F70" i="12"/>
  <c r="F7" i="12"/>
  <c r="F4" i="12"/>
  <c r="F55" i="1"/>
  <c r="F48" i="7"/>
  <c r="F67" i="8"/>
  <c r="F4" i="8"/>
  <c r="F70" i="8" l="1"/>
  <c r="F71" i="8"/>
  <c r="F72" i="8"/>
  <c r="F73" i="8" s="1"/>
  <c r="F31" i="12"/>
  <c r="F41" i="12" s="1"/>
  <c r="F74" i="7"/>
  <c r="F67" i="7"/>
  <c r="F60" i="7"/>
  <c r="F8" i="7"/>
  <c r="F23" i="7"/>
  <c r="F33" i="7"/>
  <c r="F18" i="7" s="1"/>
  <c r="F32" i="7"/>
  <c r="F35" i="7"/>
  <c r="F30" i="7"/>
  <c r="F15" i="7" s="1"/>
  <c r="F29" i="7"/>
  <c r="F27" i="7"/>
  <c r="F12" i="7" s="1"/>
  <c r="F26" i="7"/>
  <c r="F24" i="7"/>
  <c r="F9" i="7" s="1"/>
  <c r="F4" i="7"/>
  <c r="F4" i="1"/>
  <c r="F44" i="1" l="1"/>
  <c r="F39" i="7"/>
  <c r="F38" i="7"/>
  <c r="F7" i="7"/>
  <c r="F37" i="7" s="1"/>
  <c r="F49" i="7" s="1"/>
  <c r="F74" i="8" l="1"/>
  <c r="F78" i="8" s="1"/>
  <c r="E132" i="12"/>
  <c r="E101" i="7"/>
  <c r="F167" i="12" l="1"/>
  <c r="F169" i="12" s="1"/>
  <c r="F164" i="12"/>
  <c r="F166" i="12" s="1"/>
  <c r="F168" i="8"/>
  <c r="F170" i="8" s="1"/>
  <c r="F165" i="8"/>
  <c r="F167" i="8" s="1"/>
  <c r="F132" i="7"/>
  <c r="F134" i="7" s="1"/>
  <c r="F129" i="7"/>
  <c r="F131" i="7" s="1"/>
  <c r="F102" i="1" l="1"/>
  <c r="F104" i="1" s="1"/>
  <c r="F99" i="1"/>
  <c r="F101" i="1" s="1"/>
  <c r="F53" i="12" l="1"/>
  <c r="F45" i="12" s="1"/>
  <c r="F69" i="12" l="1"/>
  <c r="F79" i="12" s="1"/>
  <c r="F80" i="12" s="1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1" i="10"/>
  <c r="F105" i="12" l="1"/>
  <c r="F98" i="12"/>
  <c r="F91" i="12"/>
  <c r="F103" i="8"/>
  <c r="F96" i="8"/>
  <c r="F89" i="8"/>
  <c r="F62" i="1"/>
  <c r="C8" i="2" l="1"/>
  <c r="N8" i="10" l="1"/>
  <c r="C8" i="10"/>
  <c r="N8" i="9"/>
  <c r="C8" i="9"/>
  <c r="N8" i="4" l="1"/>
  <c r="C8" i="4"/>
  <c r="M8" i="2" l="1"/>
  <c r="N7" i="10" l="1"/>
  <c r="N6" i="10"/>
  <c r="C7" i="10"/>
  <c r="C6" i="10"/>
  <c r="E140" i="12"/>
  <c r="E139" i="12"/>
  <c r="E138" i="12"/>
  <c r="N7" i="9"/>
  <c r="N6" i="9"/>
  <c r="C7" i="9"/>
  <c r="C6" i="9"/>
  <c r="C9" i="10" l="1"/>
  <c r="N9" i="10"/>
  <c r="C9" i="9"/>
  <c r="N9" i="9"/>
  <c r="N7" i="4"/>
  <c r="N6" i="4"/>
  <c r="C7" i="4"/>
  <c r="C6" i="4"/>
  <c r="E109" i="7"/>
  <c r="E108" i="7"/>
  <c r="E107" i="7"/>
  <c r="M7" i="2"/>
  <c r="M6" i="2"/>
  <c r="C7" i="2"/>
  <c r="C6" i="2"/>
  <c r="N9" i="4" l="1"/>
  <c r="C9" i="4"/>
  <c r="M9" i="2"/>
  <c r="F76" i="7" l="1"/>
  <c r="F69" i="7"/>
  <c r="F107" i="12" l="1"/>
  <c r="F100" i="12"/>
  <c r="F93" i="12"/>
  <c r="F105" i="8"/>
  <c r="F98" i="8"/>
  <c r="F91" i="8"/>
  <c r="N5" i="10" l="1"/>
  <c r="C5" i="10"/>
  <c r="N4" i="10"/>
  <c r="C4" i="10"/>
  <c r="N5" i="9" l="1"/>
  <c r="N4" i="9"/>
  <c r="C5" i="9"/>
  <c r="C4" i="9"/>
  <c r="F150" i="12" l="1"/>
  <c r="F145" i="12"/>
  <c r="F144" i="12"/>
  <c r="E135" i="12"/>
  <c r="F122" i="12"/>
  <c r="F121" i="12"/>
  <c r="N11" i="10" s="1"/>
  <c r="F151" i="8"/>
  <c r="F146" i="8"/>
  <c r="F145" i="8"/>
  <c r="E135" i="8"/>
  <c r="F115" i="8" s="1"/>
  <c r="F116" i="8" s="1"/>
  <c r="F121" i="8"/>
  <c r="F120" i="8"/>
  <c r="F83" i="8" s="1"/>
  <c r="F122" i="8" l="1"/>
  <c r="F118" i="8"/>
  <c r="F123" i="8"/>
  <c r="F119" i="8"/>
  <c r="C11" i="9"/>
  <c r="F106" i="8"/>
  <c r="S17" i="9"/>
  <c r="H17" i="9"/>
  <c r="S17" i="10"/>
  <c r="H17" i="10"/>
  <c r="F85" i="12"/>
  <c r="C11" i="10"/>
  <c r="N11" i="9"/>
  <c r="F175" i="8" l="1"/>
  <c r="F177" i="8"/>
  <c r="F123" i="12"/>
  <c r="F148" i="12"/>
  <c r="F108" i="12"/>
  <c r="C3" i="10"/>
  <c r="F442" i="10" s="1"/>
  <c r="N3" i="10"/>
  <c r="M16" i="10" s="1"/>
  <c r="F120" i="12"/>
  <c r="F143" i="12"/>
  <c r="C3" i="9"/>
  <c r="B16" i="9" s="1"/>
  <c r="N3" i="9"/>
  <c r="M16" i="9" s="1"/>
  <c r="F149" i="8"/>
  <c r="F144" i="8"/>
  <c r="F176" i="8" l="1"/>
  <c r="F178" i="8"/>
  <c r="F252" i="10"/>
  <c r="B16" i="10"/>
  <c r="F142" i="10"/>
  <c r="F94" i="10"/>
  <c r="F179" i="10"/>
  <c r="F267" i="10"/>
  <c r="F29" i="10"/>
  <c r="F171" i="10"/>
  <c r="F124" i="10"/>
  <c r="F145" i="10"/>
  <c r="F69" i="10"/>
  <c r="F293" i="10"/>
  <c r="F446" i="10"/>
  <c r="F337" i="10"/>
  <c r="F64" i="10"/>
  <c r="F269" i="10"/>
  <c r="F438" i="10"/>
  <c r="F479" i="10"/>
  <c r="F104" i="10"/>
  <c r="F411" i="10"/>
  <c r="F214" i="10"/>
  <c r="F484" i="10"/>
  <c r="F235" i="10"/>
  <c r="F332" i="10"/>
  <c r="F426" i="10"/>
  <c r="F425" i="10"/>
  <c r="F148" i="10"/>
  <c r="F403" i="10"/>
  <c r="F210" i="10"/>
  <c r="F445" i="10"/>
  <c r="F227" i="10"/>
  <c r="F178" i="10"/>
  <c r="F453" i="10"/>
  <c r="F465" i="10"/>
  <c r="F127" i="10"/>
  <c r="F311" i="10"/>
  <c r="F147" i="10"/>
  <c r="F355" i="10"/>
  <c r="F242" i="10"/>
  <c r="F182" i="10"/>
  <c r="F149" i="10"/>
  <c r="F396" i="10"/>
  <c r="F278" i="10"/>
  <c r="F207" i="10"/>
  <c r="F30" i="10"/>
  <c r="F336" i="10"/>
  <c r="F378" i="10"/>
  <c r="F23" i="10"/>
  <c r="F454" i="10"/>
  <c r="F27" i="10"/>
  <c r="F334" i="10"/>
  <c r="F241" i="10"/>
  <c r="F461" i="10"/>
  <c r="F228" i="10"/>
  <c r="F101" i="10"/>
  <c r="F488" i="10"/>
  <c r="F496" i="10"/>
  <c r="F234" i="10"/>
  <c r="F166" i="10"/>
  <c r="F47" i="10"/>
  <c r="F388" i="10"/>
  <c r="F255" i="10"/>
  <c r="F203" i="10"/>
  <c r="F38" i="10"/>
  <c r="F268" i="10"/>
  <c r="F390" i="10"/>
  <c r="F33" i="10"/>
  <c r="F373" i="10"/>
  <c r="F21" i="10"/>
  <c r="F216" i="10"/>
  <c r="F177" i="10"/>
  <c r="F180" i="10"/>
  <c r="F392" i="10"/>
  <c r="F165" i="10"/>
  <c r="F253" i="10"/>
  <c r="F265" i="10"/>
  <c r="F102" i="10"/>
  <c r="F282" i="10"/>
  <c r="F197" i="10"/>
  <c r="F329" i="10"/>
  <c r="F391" i="10"/>
  <c r="F435" i="10"/>
  <c r="F201" i="10"/>
  <c r="F352" i="10"/>
  <c r="F63" i="10"/>
  <c r="F20" i="10"/>
  <c r="F248" i="10"/>
  <c r="F399" i="10"/>
  <c r="F109" i="10"/>
  <c r="F89" i="10"/>
  <c r="F152" i="10"/>
  <c r="F91" i="10"/>
  <c r="F482" i="10"/>
  <c r="F405" i="10"/>
  <c r="F361" i="10"/>
  <c r="F310" i="10"/>
  <c r="F263" i="10"/>
  <c r="F90" i="10"/>
  <c r="F56" i="10"/>
  <c r="F103" i="10"/>
  <c r="F495" i="10"/>
  <c r="F394" i="10"/>
  <c r="F358" i="10"/>
  <c r="F314" i="10"/>
  <c r="F463" i="10"/>
  <c r="F158" i="10"/>
  <c r="F450" i="10"/>
  <c r="F155" i="10"/>
  <c r="F175" i="10"/>
  <c r="F195" i="10"/>
  <c r="F219" i="10"/>
  <c r="F239" i="10"/>
  <c r="F262" i="10"/>
  <c r="F492" i="10"/>
  <c r="F364" i="10"/>
  <c r="F404" i="10"/>
  <c r="F491" i="10"/>
  <c r="F79" i="10"/>
  <c r="F114" i="10"/>
  <c r="F74" i="10"/>
  <c r="F174" i="10"/>
  <c r="F198" i="10"/>
  <c r="F226" i="10"/>
  <c r="F246" i="10"/>
  <c r="F277" i="10"/>
  <c r="F443" i="10"/>
  <c r="F379" i="10"/>
  <c r="F419" i="10"/>
  <c r="F485" i="10"/>
  <c r="F19" i="10"/>
  <c r="F146" i="10"/>
  <c r="F122" i="10"/>
  <c r="F205" i="10"/>
  <c r="F480" i="10"/>
  <c r="F31" i="10"/>
  <c r="F466" i="10"/>
  <c r="F266" i="10"/>
  <c r="F188" i="10"/>
  <c r="F423" i="10"/>
  <c r="F315" i="10"/>
  <c r="F233" i="10"/>
  <c r="F368" i="10"/>
  <c r="F321" i="10"/>
  <c r="F184" i="10"/>
  <c r="F257" i="10"/>
  <c r="F468" i="10"/>
  <c r="F50" i="10"/>
  <c r="F72" i="10"/>
  <c r="F54" i="10"/>
  <c r="F304" i="10"/>
  <c r="F449" i="10"/>
  <c r="F393" i="10"/>
  <c r="F470" i="10"/>
  <c r="F295" i="10"/>
  <c r="F97" i="10"/>
  <c r="F144" i="10"/>
  <c r="F45" i="10"/>
  <c r="F151" i="10"/>
  <c r="F17" i="10"/>
  <c r="F106" i="10"/>
  <c r="F51" i="10"/>
  <c r="F452" i="10"/>
  <c r="F387" i="10"/>
  <c r="F451" i="10"/>
  <c r="F261" i="10"/>
  <c r="F230" i="10"/>
  <c r="F194" i="10"/>
  <c r="F57" i="10"/>
  <c r="F70" i="10"/>
  <c r="F111" i="10"/>
  <c r="F428" i="10"/>
  <c r="F372" i="10"/>
  <c r="F294" i="10"/>
  <c r="F251" i="10"/>
  <c r="F223" i="10"/>
  <c r="F191" i="10"/>
  <c r="F163" i="10"/>
  <c r="F309" i="10"/>
  <c r="F24" i="10"/>
  <c r="F280" i="10"/>
  <c r="F483" i="10"/>
  <c r="F410" i="10"/>
  <c r="F471" i="10"/>
  <c r="F120" i="10"/>
  <c r="F283" i="10"/>
  <c r="F377" i="10"/>
  <c r="F493" i="10"/>
  <c r="F137" i="10"/>
  <c r="F78" i="10"/>
  <c r="F192" i="10"/>
  <c r="F416" i="10"/>
  <c r="F169" i="10"/>
  <c r="F204" i="10"/>
  <c r="F125" i="10"/>
  <c r="F302" i="10"/>
  <c r="F447" i="10"/>
  <c r="F153" i="10"/>
  <c r="F66" i="10"/>
  <c r="F115" i="10"/>
  <c r="F441" i="10"/>
  <c r="F371" i="10"/>
  <c r="F318" i="10"/>
  <c r="F250" i="10"/>
  <c r="F218" i="10"/>
  <c r="F190" i="10"/>
  <c r="F88" i="10"/>
  <c r="F48" i="10"/>
  <c r="F489" i="10"/>
  <c r="F420" i="10"/>
  <c r="F356" i="10"/>
  <c r="F286" i="10"/>
  <c r="F243" i="10"/>
  <c r="F211" i="10"/>
  <c r="F187" i="10"/>
  <c r="F159" i="10"/>
  <c r="F313" i="10"/>
  <c r="F331" i="10"/>
  <c r="F284" i="10"/>
  <c r="F362" i="10"/>
  <c r="F422" i="10"/>
  <c r="F87" i="10"/>
  <c r="F128" i="10"/>
  <c r="F434" i="10"/>
  <c r="F409" i="10"/>
  <c r="F43" i="10"/>
  <c r="F141" i="10"/>
  <c r="F383" i="10"/>
  <c r="F303" i="10"/>
  <c r="F274" i="10"/>
  <c r="F68" i="10"/>
  <c r="F35" i="10"/>
  <c r="F26" i="10"/>
  <c r="F229" i="10"/>
  <c r="F245" i="10"/>
  <c r="F92" i="10"/>
  <c r="F46" i="10"/>
  <c r="F324" i="10"/>
  <c r="F83" i="10"/>
  <c r="F474" i="10"/>
  <c r="F427" i="10"/>
  <c r="F395" i="10"/>
  <c r="F363" i="10"/>
  <c r="F486" i="10"/>
  <c r="F285" i="10"/>
  <c r="F254" i="10"/>
  <c r="F238" i="10"/>
  <c r="F222" i="10"/>
  <c r="F206" i="10"/>
  <c r="F186" i="10"/>
  <c r="F154" i="10"/>
  <c r="F308" i="10"/>
  <c r="F110" i="10"/>
  <c r="F73" i="10"/>
  <c r="F143" i="10"/>
  <c r="F456" i="10"/>
  <c r="F412" i="10"/>
  <c r="F380" i="10"/>
  <c r="F348" i="10"/>
  <c r="F322" i="10"/>
  <c r="F270" i="10"/>
  <c r="F247" i="10"/>
  <c r="F231" i="10"/>
  <c r="F215" i="10"/>
  <c r="F199" i="10"/>
  <c r="F183" i="10"/>
  <c r="F167" i="10"/>
  <c r="F22" i="10"/>
  <c r="F328" i="10"/>
  <c r="F202" i="10"/>
  <c r="F312" i="10"/>
  <c r="F264" i="10"/>
  <c r="F298" i="10"/>
  <c r="F455" i="10"/>
  <c r="F374" i="10"/>
  <c r="F406" i="10"/>
  <c r="F459" i="10"/>
  <c r="F340" i="10"/>
  <c r="F39" i="10"/>
  <c r="F307" i="10"/>
  <c r="F82" i="10"/>
  <c r="F301" i="10"/>
  <c r="F279" i="10"/>
  <c r="F333" i="10"/>
  <c r="F357" i="10"/>
  <c r="F389" i="10"/>
  <c r="F421" i="10"/>
  <c r="F494" i="10"/>
  <c r="F107" i="10"/>
  <c r="F133" i="10"/>
  <c r="F117" i="10"/>
  <c r="F126" i="10"/>
  <c r="F150" i="10"/>
  <c r="F469" i="10"/>
  <c r="F444" i="10"/>
  <c r="F224" i="10"/>
  <c r="F160" i="10"/>
  <c r="F129" i="10"/>
  <c r="F432" i="10"/>
  <c r="F290" i="10"/>
  <c r="F209" i="10"/>
  <c r="F34" i="10"/>
  <c r="F41" i="10"/>
  <c r="F281" i="10"/>
  <c r="F299" i="10"/>
  <c r="F345" i="10"/>
  <c r="F436" i="10"/>
  <c r="F181" i="10"/>
  <c r="F37" i="10"/>
  <c r="F61" i="10"/>
  <c r="F53" i="10"/>
  <c r="F296" i="10"/>
  <c r="F25" i="10"/>
  <c r="F319" i="10"/>
  <c r="F306" i="10"/>
  <c r="F213" i="10"/>
  <c r="F95" i="10"/>
  <c r="F189" i="10"/>
  <c r="F467" i="10"/>
  <c r="F196" i="10"/>
  <c r="F476" i="10"/>
  <c r="F237" i="10"/>
  <c r="F323" i="10"/>
  <c r="F157" i="10"/>
  <c r="F244" i="10"/>
  <c r="F408" i="10"/>
  <c r="F85" i="10"/>
  <c r="F172" i="10"/>
  <c r="F236" i="10"/>
  <c r="F359" i="10"/>
  <c r="F99" i="10"/>
  <c r="F134" i="10"/>
  <c r="F300" i="10"/>
  <c r="F161" i="10"/>
  <c r="F193" i="10"/>
  <c r="F225" i="10"/>
  <c r="F258" i="10"/>
  <c r="F448" i="10"/>
  <c r="F400" i="10"/>
  <c r="F473" i="10"/>
  <c r="F42" i="10"/>
  <c r="F130" i="10"/>
  <c r="F36" i="10"/>
  <c r="F176" i="10"/>
  <c r="F208" i="10"/>
  <c r="F240" i="10"/>
  <c r="F289" i="10"/>
  <c r="F367" i="10"/>
  <c r="F431" i="10"/>
  <c r="F67" i="10"/>
  <c r="F136" i="10"/>
  <c r="F112" i="10"/>
  <c r="F320" i="10"/>
  <c r="F96" i="10"/>
  <c r="F116" i="10"/>
  <c r="F58" i="10"/>
  <c r="F77" i="10"/>
  <c r="F335" i="10"/>
  <c r="F75" i="10"/>
  <c r="F139" i="10"/>
  <c r="F487" i="10"/>
  <c r="F460" i="10"/>
  <c r="F429" i="10"/>
  <c r="F413" i="10"/>
  <c r="F397" i="10"/>
  <c r="F381" i="10"/>
  <c r="F365" i="10"/>
  <c r="F349" i="10"/>
  <c r="F439" i="10"/>
  <c r="F326" i="10"/>
  <c r="F287" i="10"/>
  <c r="F271" i="10"/>
  <c r="F52" i="10"/>
  <c r="F327" i="10"/>
  <c r="F98" i="10"/>
  <c r="F118" i="10"/>
  <c r="F60" i="10"/>
  <c r="F86" i="10"/>
  <c r="F343" i="10"/>
  <c r="F71" i="10"/>
  <c r="F135" i="10"/>
  <c r="F490" i="10"/>
  <c r="F464" i="10"/>
  <c r="F430" i="10"/>
  <c r="F414" i="10"/>
  <c r="F398" i="10"/>
  <c r="F382" i="10"/>
  <c r="F366" i="10"/>
  <c r="F350" i="10"/>
  <c r="F462" i="10"/>
  <c r="F330" i="10"/>
  <c r="F288" i="10"/>
  <c r="F272" i="10"/>
  <c r="F256" i="10"/>
  <c r="F297" i="10"/>
  <c r="F32" i="10"/>
  <c r="F170" i="10"/>
  <c r="F81" i="10"/>
  <c r="F317" i="10"/>
  <c r="F347" i="10"/>
  <c r="F173" i="10"/>
  <c r="F424" i="10"/>
  <c r="F28" i="10"/>
  <c r="F360" i="10"/>
  <c r="F164" i="10"/>
  <c r="F376" i="10"/>
  <c r="F212" i="10"/>
  <c r="F407" i="10"/>
  <c r="F339" i="10"/>
  <c r="F221" i="10"/>
  <c r="F375" i="10"/>
  <c r="F93" i="10"/>
  <c r="F156" i="10"/>
  <c r="F220" i="10"/>
  <c r="F341" i="10"/>
  <c r="F457" i="10"/>
  <c r="F132" i="10"/>
  <c r="F344" i="10"/>
  <c r="F18" i="10"/>
  <c r="F185" i="10"/>
  <c r="F217" i="10"/>
  <c r="F249" i="10"/>
  <c r="F338" i="10"/>
  <c r="F384" i="10"/>
  <c r="F472" i="10"/>
  <c r="F105" i="10"/>
  <c r="F84" i="10"/>
  <c r="F325" i="10"/>
  <c r="F168" i="10"/>
  <c r="F200" i="10"/>
  <c r="F232" i="10"/>
  <c r="F273" i="10"/>
  <c r="F351" i="10"/>
  <c r="F415" i="10"/>
  <c r="F131" i="10"/>
  <c r="F65" i="10"/>
  <c r="C16" i="10"/>
  <c r="E17" i="10" s="1"/>
  <c r="F100" i="10"/>
  <c r="F113" i="10"/>
  <c r="F140" i="10"/>
  <c r="F76" i="10"/>
  <c r="F108" i="10"/>
  <c r="F49" i="10"/>
  <c r="F59" i="10"/>
  <c r="F123" i="10"/>
  <c r="F477" i="10"/>
  <c r="F475" i="10"/>
  <c r="F433" i="10"/>
  <c r="F417" i="10"/>
  <c r="F401" i="10"/>
  <c r="F385" i="10"/>
  <c r="F369" i="10"/>
  <c r="F353" i="10"/>
  <c r="F458" i="10"/>
  <c r="F342" i="10"/>
  <c r="F291" i="10"/>
  <c r="F275" i="10"/>
  <c r="F259" i="10"/>
  <c r="F44" i="10"/>
  <c r="F121" i="10"/>
  <c r="F305" i="10"/>
  <c r="F80" i="10"/>
  <c r="F138" i="10"/>
  <c r="F62" i="10"/>
  <c r="F55" i="10"/>
  <c r="F119" i="10"/>
  <c r="F481" i="10"/>
  <c r="F478" i="10"/>
  <c r="F437" i="10"/>
  <c r="F418" i="10"/>
  <c r="F402" i="10"/>
  <c r="F386" i="10"/>
  <c r="F370" i="10"/>
  <c r="F354" i="10"/>
  <c r="F440" i="10"/>
  <c r="F346" i="10"/>
  <c r="F292" i="10"/>
  <c r="F276" i="10"/>
  <c r="F260" i="10"/>
  <c r="F316" i="10"/>
  <c r="F40" i="10"/>
  <c r="F162" i="10"/>
  <c r="N16" i="10"/>
  <c r="O271" i="10" s="1"/>
  <c r="F261" i="9"/>
  <c r="F250" i="9"/>
  <c r="F130" i="9"/>
  <c r="F122" i="9"/>
  <c r="F82" i="9"/>
  <c r="F58" i="9"/>
  <c r="F28" i="9"/>
  <c r="F362" i="9"/>
  <c r="F258" i="9"/>
  <c r="F182" i="9"/>
  <c r="F141" i="9"/>
  <c r="F78" i="9"/>
  <c r="F55" i="9"/>
  <c r="F42" i="9"/>
  <c r="C16" i="9"/>
  <c r="F323" i="9"/>
  <c r="F174" i="9"/>
  <c r="F74" i="9"/>
  <c r="F38" i="9"/>
  <c r="F21" i="9"/>
  <c r="F307" i="9"/>
  <c r="F269" i="9"/>
  <c r="F242" i="9"/>
  <c r="F166" i="9"/>
  <c r="F149" i="9"/>
  <c r="F133" i="9"/>
  <c r="F114" i="9"/>
  <c r="F52" i="9"/>
  <c r="F35" i="9"/>
  <c r="F20" i="9"/>
  <c r="F286" i="9"/>
  <c r="F17" i="9"/>
  <c r="F39" i="9"/>
  <c r="F88" i="9"/>
  <c r="F178" i="9"/>
  <c r="F238" i="9"/>
  <c r="F356" i="9"/>
  <c r="F54" i="9"/>
  <c r="F68" i="9"/>
  <c r="F146" i="9"/>
  <c r="F198" i="9"/>
  <c r="F31" i="9"/>
  <c r="F72" i="9"/>
  <c r="F29" i="9"/>
  <c r="F47" i="9"/>
  <c r="F65" i="9"/>
  <c r="F80" i="9"/>
  <c r="F230" i="9"/>
  <c r="F64" i="9"/>
  <c r="F206" i="9"/>
  <c r="F485" i="9"/>
  <c r="F469" i="9"/>
  <c r="F483" i="9"/>
  <c r="F468" i="9"/>
  <c r="F464" i="9"/>
  <c r="F460" i="9"/>
  <c r="F456" i="9"/>
  <c r="F452" i="9"/>
  <c r="F448" i="9"/>
  <c r="F476" i="9"/>
  <c r="F443" i="9"/>
  <c r="F439" i="9"/>
  <c r="F496" i="9"/>
  <c r="F486" i="9"/>
  <c r="F426" i="9"/>
  <c r="F490" i="9"/>
  <c r="F429" i="9"/>
  <c r="F419" i="9"/>
  <c r="F406" i="9"/>
  <c r="F390" i="9"/>
  <c r="F382" i="9"/>
  <c r="F378" i="9"/>
  <c r="F374" i="9"/>
  <c r="F370" i="9"/>
  <c r="F431" i="9"/>
  <c r="F415" i="9"/>
  <c r="F399" i="9"/>
  <c r="F420" i="9"/>
  <c r="F385" i="9"/>
  <c r="F355" i="9"/>
  <c r="F425" i="9"/>
  <c r="F389" i="9"/>
  <c r="F353" i="9"/>
  <c r="F400" i="9"/>
  <c r="F342" i="9"/>
  <c r="F334" i="9"/>
  <c r="F326" i="9"/>
  <c r="F318" i="9"/>
  <c r="F310" i="9"/>
  <c r="F302" i="9"/>
  <c r="F285" i="9"/>
  <c r="F388" i="9"/>
  <c r="F329" i="9"/>
  <c r="F294" i="9"/>
  <c r="F272" i="9"/>
  <c r="F256" i="9"/>
  <c r="F240" i="9"/>
  <c r="F224" i="9"/>
  <c r="F208" i="9"/>
  <c r="F192" i="9"/>
  <c r="F176" i="9"/>
  <c r="F160" i="9"/>
  <c r="F144" i="9"/>
  <c r="F128" i="9"/>
  <c r="F112" i="9"/>
  <c r="F354" i="9"/>
  <c r="F319" i="9"/>
  <c r="F295" i="9"/>
  <c r="F276" i="9"/>
  <c r="F263" i="9"/>
  <c r="F247" i="9"/>
  <c r="F231" i="9"/>
  <c r="F215" i="9"/>
  <c r="F199" i="9"/>
  <c r="F183" i="9"/>
  <c r="F167" i="9"/>
  <c r="F151" i="9"/>
  <c r="F135" i="9"/>
  <c r="F119" i="9"/>
  <c r="F109" i="9"/>
  <c r="F105" i="9"/>
  <c r="F101" i="9"/>
  <c r="F97" i="9"/>
  <c r="F93" i="9"/>
  <c r="F89" i="9"/>
  <c r="F290" i="9"/>
  <c r="F257" i="9"/>
  <c r="F225" i="9"/>
  <c r="F193" i="9"/>
  <c r="F161" i="9"/>
  <c r="F129" i="9"/>
  <c r="F83" i="9"/>
  <c r="F67" i="9"/>
  <c r="F301" i="9"/>
  <c r="F266" i="9"/>
  <c r="F222" i="9"/>
  <c r="F189" i="9"/>
  <c r="F138" i="9"/>
  <c r="F76" i="9"/>
  <c r="F57" i="9"/>
  <c r="F41" i="9"/>
  <c r="F25" i="9"/>
  <c r="F36" i="9"/>
  <c r="F44" i="9"/>
  <c r="F69" i="9"/>
  <c r="F118" i="9"/>
  <c r="F197" i="9"/>
  <c r="F287" i="9"/>
  <c r="F51" i="9"/>
  <c r="F489" i="9"/>
  <c r="F495" i="9"/>
  <c r="F475" i="9"/>
  <c r="F465" i="9"/>
  <c r="F459" i="9"/>
  <c r="F454" i="9"/>
  <c r="F449" i="9"/>
  <c r="F446" i="9"/>
  <c r="F441" i="9"/>
  <c r="F436" i="9"/>
  <c r="F470" i="9"/>
  <c r="F494" i="9"/>
  <c r="F432" i="9"/>
  <c r="F416" i="9"/>
  <c r="F398" i="9"/>
  <c r="F383" i="9"/>
  <c r="F377" i="9"/>
  <c r="F372" i="9"/>
  <c r="F474" i="9"/>
  <c r="F411" i="9"/>
  <c r="F391" i="9"/>
  <c r="F393" i="9"/>
  <c r="F351" i="9"/>
  <c r="F405" i="9"/>
  <c r="F357" i="9"/>
  <c r="F366" i="9"/>
  <c r="F338" i="9"/>
  <c r="F328" i="9"/>
  <c r="F316" i="9"/>
  <c r="F306" i="9"/>
  <c r="F289" i="9"/>
  <c r="F352" i="9"/>
  <c r="F313" i="9"/>
  <c r="F278" i="9"/>
  <c r="F252" i="9"/>
  <c r="F232" i="9"/>
  <c r="F212" i="9"/>
  <c r="F188" i="9"/>
  <c r="F168" i="9"/>
  <c r="F148" i="9"/>
  <c r="F124" i="9"/>
  <c r="F392" i="9"/>
  <c r="F327" i="9"/>
  <c r="F292" i="9"/>
  <c r="F271" i="9"/>
  <c r="F251" i="9"/>
  <c r="F227" i="9"/>
  <c r="F207" i="9"/>
  <c r="F187" i="9"/>
  <c r="F163" i="9"/>
  <c r="F143" i="9"/>
  <c r="F123" i="9"/>
  <c r="F108" i="9"/>
  <c r="F103" i="9"/>
  <c r="F98" i="9"/>
  <c r="F92" i="9"/>
  <c r="F331" i="9"/>
  <c r="F265" i="9"/>
  <c r="F217" i="9"/>
  <c r="F177" i="9"/>
  <c r="F137" i="9"/>
  <c r="F79" i="9"/>
  <c r="F341" i="9"/>
  <c r="F280" i="9"/>
  <c r="F221" i="9"/>
  <c r="F158" i="9"/>
  <c r="F86" i="9"/>
  <c r="F53" i="9"/>
  <c r="F33" i="9"/>
  <c r="F30" i="9"/>
  <c r="F59" i="9"/>
  <c r="F134" i="9"/>
  <c r="F210" i="9"/>
  <c r="F270" i="9"/>
  <c r="F309" i="9"/>
  <c r="F26" i="9"/>
  <c r="F214" i="9"/>
  <c r="F333" i="9"/>
  <c r="F396" i="9"/>
  <c r="F173" i="9"/>
  <c r="F60" i="9"/>
  <c r="F186" i="9"/>
  <c r="F205" i="9"/>
  <c r="F154" i="9"/>
  <c r="F481" i="9"/>
  <c r="F491" i="9"/>
  <c r="F471" i="9"/>
  <c r="F463" i="9"/>
  <c r="F458" i="9"/>
  <c r="F453" i="9"/>
  <c r="F447" i="9"/>
  <c r="F445" i="9"/>
  <c r="F440" i="9"/>
  <c r="F488" i="9"/>
  <c r="F434" i="9"/>
  <c r="F482" i="9"/>
  <c r="F421" i="9"/>
  <c r="F414" i="9"/>
  <c r="F394" i="9"/>
  <c r="F381" i="9"/>
  <c r="F376" i="9"/>
  <c r="F371" i="9"/>
  <c r="F427" i="9"/>
  <c r="F407" i="9"/>
  <c r="F387" i="9"/>
  <c r="F367" i="9"/>
  <c r="F347" i="9"/>
  <c r="F397" i="9"/>
  <c r="F349" i="9"/>
  <c r="F358" i="9"/>
  <c r="F336" i="9"/>
  <c r="F324" i="9"/>
  <c r="F314" i="9"/>
  <c r="F304" i="9"/>
  <c r="F281" i="9"/>
  <c r="F346" i="9"/>
  <c r="F305" i="9"/>
  <c r="F268" i="9"/>
  <c r="F248" i="9"/>
  <c r="F228" i="9"/>
  <c r="F204" i="9"/>
  <c r="F184" i="9"/>
  <c r="F164" i="9"/>
  <c r="F140" i="9"/>
  <c r="F120" i="9"/>
  <c r="F360" i="9"/>
  <c r="F311" i="9"/>
  <c r="F282" i="9"/>
  <c r="F267" i="9"/>
  <c r="F243" i="9"/>
  <c r="F223" i="9"/>
  <c r="F203" i="9"/>
  <c r="F179" i="9"/>
  <c r="F159" i="9"/>
  <c r="F139" i="9"/>
  <c r="F115" i="9"/>
  <c r="F107" i="9"/>
  <c r="F102" i="9"/>
  <c r="F96" i="9"/>
  <c r="F91" i="9"/>
  <c r="F315" i="9"/>
  <c r="F249" i="9"/>
  <c r="F209" i="9"/>
  <c r="F169" i="9"/>
  <c r="F121" i="9"/>
  <c r="F75" i="9"/>
  <c r="F339" i="9"/>
  <c r="F254" i="9"/>
  <c r="F202" i="9"/>
  <c r="F157" i="9"/>
  <c r="F73" i="9"/>
  <c r="F49" i="9"/>
  <c r="F32" i="9"/>
  <c r="F22" i="9"/>
  <c r="F66" i="9"/>
  <c r="F77" i="9"/>
  <c r="F85" i="9"/>
  <c r="F142" i="9"/>
  <c r="F226" i="9"/>
  <c r="F237" i="9"/>
  <c r="F274" i="9"/>
  <c r="F50" i="9"/>
  <c r="F63" i="9"/>
  <c r="F213" i="9"/>
  <c r="F165" i="9"/>
  <c r="F18" i="9"/>
  <c r="F487" i="9"/>
  <c r="F462" i="9"/>
  <c r="F451" i="9"/>
  <c r="F444" i="9"/>
  <c r="F480" i="9"/>
  <c r="F478" i="9"/>
  <c r="F410" i="9"/>
  <c r="F380" i="9"/>
  <c r="F369" i="9"/>
  <c r="F403" i="9"/>
  <c r="F363" i="9"/>
  <c r="F365" i="9"/>
  <c r="F350" i="9"/>
  <c r="F322" i="9"/>
  <c r="F297" i="9"/>
  <c r="F337" i="9"/>
  <c r="F264" i="9"/>
  <c r="F220" i="9"/>
  <c r="F180" i="9"/>
  <c r="F136" i="9"/>
  <c r="F348" i="9"/>
  <c r="F279" i="9"/>
  <c r="F239" i="9"/>
  <c r="F195" i="9"/>
  <c r="F155" i="9"/>
  <c r="F111" i="9"/>
  <c r="F100" i="9"/>
  <c r="F90" i="9"/>
  <c r="F241" i="9"/>
  <c r="F153" i="9"/>
  <c r="F71" i="9"/>
  <c r="F253" i="9"/>
  <c r="F126" i="9"/>
  <c r="F45" i="9"/>
  <c r="F23" i="9"/>
  <c r="F46" i="9"/>
  <c r="F283" i="9"/>
  <c r="F325" i="9"/>
  <c r="F84" i="9"/>
  <c r="F194" i="9"/>
  <c r="F48" i="9"/>
  <c r="F493" i="9"/>
  <c r="F479" i="9"/>
  <c r="F461" i="9"/>
  <c r="F450" i="9"/>
  <c r="F442" i="9"/>
  <c r="F472" i="9"/>
  <c r="F435" i="9"/>
  <c r="F402" i="9"/>
  <c r="F379" i="9"/>
  <c r="F368" i="9"/>
  <c r="F395" i="9"/>
  <c r="F359" i="9"/>
  <c r="F361" i="9"/>
  <c r="F340" i="9"/>
  <c r="F320" i="9"/>
  <c r="F293" i="9"/>
  <c r="F321" i="9"/>
  <c r="F260" i="9"/>
  <c r="F216" i="9"/>
  <c r="F172" i="9"/>
  <c r="F132" i="9"/>
  <c r="F335" i="9"/>
  <c r="F275" i="9"/>
  <c r="F235" i="9"/>
  <c r="F191" i="9"/>
  <c r="F147" i="9"/>
  <c r="F110" i="9"/>
  <c r="F99" i="9"/>
  <c r="F344" i="9"/>
  <c r="F233" i="9"/>
  <c r="F145" i="9"/>
  <c r="F412" i="9"/>
  <c r="F234" i="9"/>
  <c r="F125" i="9"/>
  <c r="F40" i="9"/>
  <c r="F27" i="9"/>
  <c r="F62" i="9"/>
  <c r="F81" i="9"/>
  <c r="F117" i="9"/>
  <c r="F229" i="9"/>
  <c r="F19" i="9"/>
  <c r="F317" i="9"/>
  <c r="F34" i="9"/>
  <c r="F246" i="9"/>
  <c r="F477" i="9"/>
  <c r="F467" i="9"/>
  <c r="F457" i="9"/>
  <c r="F492" i="9"/>
  <c r="F438" i="9"/>
  <c r="F430" i="9"/>
  <c r="F417" i="9"/>
  <c r="F386" i="9"/>
  <c r="F375" i="9"/>
  <c r="F423" i="9"/>
  <c r="F409" i="9"/>
  <c r="F343" i="9"/>
  <c r="F345" i="9"/>
  <c r="F332" i="9"/>
  <c r="F312" i="9"/>
  <c r="F277" i="9"/>
  <c r="F291" i="9"/>
  <c r="F244" i="9"/>
  <c r="F200" i="9"/>
  <c r="F156" i="9"/>
  <c r="F116" i="9"/>
  <c r="F303" i="9"/>
  <c r="F259" i="9"/>
  <c r="F219" i="9"/>
  <c r="F175" i="9"/>
  <c r="F131" i="9"/>
  <c r="F106" i="9"/>
  <c r="F95" i="9"/>
  <c r="F284" i="9"/>
  <c r="F201" i="9"/>
  <c r="F113" i="9"/>
  <c r="F299" i="9"/>
  <c r="F190" i="9"/>
  <c r="F70" i="9"/>
  <c r="F24" i="9"/>
  <c r="F37" i="9"/>
  <c r="F150" i="9"/>
  <c r="F218" i="9"/>
  <c r="F245" i="9"/>
  <c r="F300" i="9"/>
  <c r="F181" i="9"/>
  <c r="F473" i="9"/>
  <c r="F466" i="9"/>
  <c r="F455" i="9"/>
  <c r="F484" i="9"/>
  <c r="F437" i="9"/>
  <c r="F422" i="9"/>
  <c r="F433" i="9"/>
  <c r="F384" i="9"/>
  <c r="F373" i="9"/>
  <c r="F418" i="9"/>
  <c r="F401" i="9"/>
  <c r="F413" i="9"/>
  <c r="F424" i="9"/>
  <c r="F330" i="9"/>
  <c r="F308" i="9"/>
  <c r="F428" i="9"/>
  <c r="F288" i="9"/>
  <c r="F236" i="9"/>
  <c r="F196" i="9"/>
  <c r="F152" i="9"/>
  <c r="F404" i="9"/>
  <c r="F298" i="9"/>
  <c r="F255" i="9"/>
  <c r="F211" i="9"/>
  <c r="F171" i="9"/>
  <c r="F127" i="9"/>
  <c r="F104" i="9"/>
  <c r="F94" i="9"/>
  <c r="F273" i="9"/>
  <c r="F185" i="9"/>
  <c r="F87" i="9"/>
  <c r="F296" i="9"/>
  <c r="F170" i="9"/>
  <c r="F61" i="9"/>
  <c r="F43" i="9"/>
  <c r="F56" i="9"/>
  <c r="F262" i="9"/>
  <c r="F408" i="9"/>
  <c r="F162" i="9"/>
  <c r="F364" i="9"/>
  <c r="N16" i="9"/>
  <c r="B17" i="9" l="1"/>
  <c r="B17" i="10"/>
  <c r="O331" i="10"/>
  <c r="O487" i="10"/>
  <c r="O323" i="10"/>
  <c r="O472" i="10"/>
  <c r="D17" i="10"/>
  <c r="C17" i="10" s="1"/>
  <c r="B18" i="10" s="1"/>
  <c r="O319" i="10"/>
  <c r="O474" i="10"/>
  <c r="O230" i="10"/>
  <c r="O452" i="10"/>
  <c r="O267" i="10"/>
  <c r="O287" i="10"/>
  <c r="O87" i="10"/>
  <c r="O491" i="10"/>
  <c r="O477" i="10"/>
  <c r="O42" i="10"/>
  <c r="O108" i="10"/>
  <c r="O161" i="10"/>
  <c r="O269" i="10"/>
  <c r="O22" i="10"/>
  <c r="O209" i="10"/>
  <c r="O495" i="10"/>
  <c r="O184" i="10"/>
  <c r="O255" i="10"/>
  <c r="O96" i="10"/>
  <c r="O163" i="10"/>
  <c r="O178" i="10"/>
  <c r="O281" i="10"/>
  <c r="O428" i="10"/>
  <c r="O316" i="10"/>
  <c r="O217" i="10"/>
  <c r="O392" i="10"/>
  <c r="O221" i="10"/>
  <c r="O179" i="10"/>
  <c r="O388" i="10"/>
  <c r="O266" i="10"/>
  <c r="O44" i="10"/>
  <c r="O98" i="10"/>
  <c r="O150" i="10"/>
  <c r="O246" i="10"/>
  <c r="O380" i="10"/>
  <c r="O66" i="10"/>
  <c r="O383" i="10"/>
  <c r="O194" i="10"/>
  <c r="O223" i="10"/>
  <c r="O333" i="10"/>
  <c r="O197" i="10"/>
  <c r="O115" i="10"/>
  <c r="O89" i="10"/>
  <c r="O260" i="10"/>
  <c r="O358" i="10"/>
  <c r="O434" i="10"/>
  <c r="O459" i="10"/>
  <c r="O167" i="10"/>
  <c r="O353" i="10"/>
  <c r="O447" i="10"/>
  <c r="O257" i="10"/>
  <c r="O488" i="10"/>
  <c r="O131" i="10"/>
  <c r="O114" i="10"/>
  <c r="O310" i="10"/>
  <c r="O378" i="10"/>
  <c r="O148" i="10"/>
  <c r="O327" i="10"/>
  <c r="O405" i="10"/>
  <c r="O375" i="10"/>
  <c r="O134" i="10"/>
  <c r="O461" i="10"/>
  <c r="O176" i="10"/>
  <c r="O339" i="10"/>
  <c r="O81" i="10"/>
  <c r="O245" i="10"/>
  <c r="O345" i="10"/>
  <c r="O153" i="10"/>
  <c r="O421" i="10"/>
  <c r="O19" i="10"/>
  <c r="O326" i="10"/>
  <c r="O105" i="10"/>
  <c r="O433" i="10"/>
  <c r="O145" i="10"/>
  <c r="O125" i="10"/>
  <c r="O64" i="10"/>
  <c r="O45" i="10"/>
  <c r="O156" i="10"/>
  <c r="O109" i="10"/>
  <c r="O493" i="10"/>
  <c r="O450" i="10"/>
  <c r="O340" i="10"/>
  <c r="O346" i="10"/>
  <c r="O252" i="10"/>
  <c r="O403" i="10"/>
  <c r="O57" i="10"/>
  <c r="O381" i="10"/>
  <c r="O425" i="10"/>
  <c r="O119" i="10"/>
  <c r="O354" i="10"/>
  <c r="O315" i="10"/>
  <c r="O436" i="10"/>
  <c r="O219" i="10"/>
  <c r="O190" i="10"/>
  <c r="O394" i="10"/>
  <c r="O299" i="10"/>
  <c r="O120" i="10"/>
  <c r="O351" i="10"/>
  <c r="O411" i="10"/>
  <c r="O494" i="10"/>
  <c r="O304" i="10"/>
  <c r="O41" i="10"/>
  <c r="O123" i="10"/>
  <c r="O112" i="10"/>
  <c r="O34" i="10"/>
  <c r="O321" i="10"/>
  <c r="O122" i="10"/>
  <c r="O363" i="10"/>
  <c r="O464" i="10"/>
  <c r="O244" i="10"/>
  <c r="O312" i="10"/>
  <c r="O448" i="10"/>
  <c r="O431" i="10"/>
  <c r="O154" i="10"/>
  <c r="O409" i="10"/>
  <c r="O97" i="10"/>
  <c r="O294" i="10"/>
  <c r="O76" i="10"/>
  <c r="O395" i="10"/>
  <c r="O29" i="10"/>
  <c r="O214" i="10"/>
  <c r="O212" i="10"/>
  <c r="O126" i="10"/>
  <c r="O18" i="10"/>
  <c r="O216" i="10"/>
  <c r="O60" i="10"/>
  <c r="O251" i="10"/>
  <c r="O56" i="10"/>
  <c r="O377" i="10"/>
  <c r="O277" i="10"/>
  <c r="O118" i="10"/>
  <c r="O124" i="10"/>
  <c r="O263" i="10"/>
  <c r="O360" i="10"/>
  <c r="O38" i="10"/>
  <c r="O262" i="10"/>
  <c r="O103" i="10"/>
  <c r="O293" i="10"/>
  <c r="O23" i="10"/>
  <c r="O233" i="10"/>
  <c r="O470" i="10"/>
  <c r="O35" i="10"/>
  <c r="O399" i="10"/>
  <c r="O33" i="10"/>
  <c r="O430" i="10"/>
  <c r="O173" i="10"/>
  <c r="O306" i="10"/>
  <c r="O91" i="10"/>
  <c r="O47" i="10"/>
  <c r="O382" i="10"/>
  <c r="O332" i="10"/>
  <c r="O90" i="10"/>
  <c r="O130" i="10"/>
  <c r="O305" i="10"/>
  <c r="O414" i="10"/>
  <c r="O348" i="10"/>
  <c r="O334" i="10"/>
  <c r="O78" i="10"/>
  <c r="O241" i="10"/>
  <c r="O393" i="10"/>
  <c r="O133" i="10"/>
  <c r="O456" i="10"/>
  <c r="O352" i="10"/>
  <c r="O75" i="10"/>
  <c r="O309" i="10"/>
  <c r="O206" i="10"/>
  <c r="O440" i="10"/>
  <c r="O372" i="10"/>
  <c r="O296" i="10"/>
  <c r="O99" i="10"/>
  <c r="O159" i="10"/>
  <c r="O36" i="10"/>
  <c r="O224" i="10"/>
  <c r="O366" i="10"/>
  <c r="O481" i="10"/>
  <c r="O320" i="10"/>
  <c r="O265" i="10"/>
  <c r="O106" i="10"/>
  <c r="O417" i="10"/>
  <c r="O180" i="10"/>
  <c r="O365" i="10"/>
  <c r="O226" i="10"/>
  <c r="O343" i="10"/>
  <c r="O468" i="10"/>
  <c r="O483" i="10"/>
  <c r="O300" i="10"/>
  <c r="O73" i="10"/>
  <c r="O116" i="10"/>
  <c r="O46" i="10"/>
  <c r="O391" i="10"/>
  <c r="O211" i="10"/>
  <c r="O59" i="10"/>
  <c r="O279" i="10"/>
  <c r="O79" i="10"/>
  <c r="O446" i="10"/>
  <c r="O356" i="10"/>
  <c r="O248" i="10"/>
  <c r="O168" i="10"/>
  <c r="O453" i="10"/>
  <c r="O485" i="10"/>
  <c r="O254" i="10"/>
  <c r="O174" i="10"/>
  <c r="O239" i="10"/>
  <c r="O25" i="10"/>
  <c r="O407" i="10"/>
  <c r="O367" i="10"/>
  <c r="O199" i="10"/>
  <c r="O136" i="10"/>
  <c r="O396" i="10"/>
  <c r="O276" i="10"/>
  <c r="O172" i="10"/>
  <c r="O398" i="10"/>
  <c r="O278" i="10"/>
  <c r="O170" i="10"/>
  <c r="O51" i="10"/>
  <c r="O24" i="10"/>
  <c r="O285" i="10"/>
  <c r="O21" i="10"/>
  <c r="O138" i="10"/>
  <c r="O273" i="10"/>
  <c r="O191" i="10"/>
  <c r="O207" i="10"/>
  <c r="O235" i="10"/>
  <c r="O195" i="10"/>
  <c r="P17" i="10"/>
  <c r="O137" i="10"/>
  <c r="O432" i="10"/>
  <c r="O460" i="10"/>
  <c r="O208" i="10"/>
  <c r="O466" i="10"/>
  <c r="O370" i="10"/>
  <c r="O274" i="10"/>
  <c r="O186" i="10"/>
  <c r="O117" i="10"/>
  <c r="O53" i="10"/>
  <c r="O40" i="10"/>
  <c r="O357" i="10"/>
  <c r="O169" i="10"/>
  <c r="O93" i="10"/>
  <c r="O369" i="10"/>
  <c r="O181" i="10"/>
  <c r="O129" i="10"/>
  <c r="O242" i="10"/>
  <c r="O422" i="10"/>
  <c r="O240" i="10"/>
  <c r="O424" i="10"/>
  <c r="O371" i="10"/>
  <c r="O243" i="10"/>
  <c r="O142" i="10"/>
  <c r="O429" i="10"/>
  <c r="O249" i="10"/>
  <c r="O58" i="10"/>
  <c r="O484" i="10"/>
  <c r="O261" i="10"/>
  <c r="O151" i="10"/>
  <c r="O162" i="10"/>
  <c r="O451" i="10"/>
  <c r="O160" i="10"/>
  <c r="O463" i="10"/>
  <c r="O52" i="10"/>
  <c r="O77" i="10"/>
  <c r="O462" i="10"/>
  <c r="O82" i="10"/>
  <c r="O55" i="10"/>
  <c r="O237" i="10"/>
  <c r="O364" i="10"/>
  <c r="O69" i="10"/>
  <c r="O406" i="10"/>
  <c r="O171" i="10"/>
  <c r="O101" i="10"/>
  <c r="O247" i="10"/>
  <c r="O457" i="10"/>
  <c r="O144" i="10"/>
  <c r="O344" i="10"/>
  <c r="O20" i="10"/>
  <c r="O322" i="10"/>
  <c r="O275" i="10"/>
  <c r="O107" i="10"/>
  <c r="O419" i="10"/>
  <c r="O17" i="10"/>
  <c r="N17" i="10" s="1"/>
  <c r="P18" i="10" s="1"/>
  <c r="Q18" i="10" s="1"/>
  <c r="M18" i="10" s="1"/>
  <c r="O420" i="10"/>
  <c r="O338" i="10"/>
  <c r="O232" i="10"/>
  <c r="O341" i="10"/>
  <c r="O410" i="10"/>
  <c r="O444" i="10"/>
  <c r="O238" i="10"/>
  <c r="O336" i="10"/>
  <c r="O28" i="10"/>
  <c r="O147" i="10"/>
  <c r="O61" i="10"/>
  <c r="O480" i="10"/>
  <c r="O295" i="10"/>
  <c r="O71" i="10"/>
  <c r="O376" i="10"/>
  <c r="O256" i="10"/>
  <c r="O30" i="10"/>
  <c r="O374" i="10"/>
  <c r="O258" i="10"/>
  <c r="O26" i="10"/>
  <c r="O85" i="10"/>
  <c r="O157" i="10"/>
  <c r="O361" i="10"/>
  <c r="O329" i="10"/>
  <c r="O302" i="10"/>
  <c r="O349" i="10"/>
  <c r="O379" i="10"/>
  <c r="O100" i="10"/>
  <c r="O423" i="10"/>
  <c r="O291" i="10"/>
  <c r="O298" i="10"/>
  <c r="O88" i="10"/>
  <c r="O412" i="10"/>
  <c r="O292" i="10"/>
  <c r="O164" i="10"/>
  <c r="O438" i="10"/>
  <c r="O350" i="10"/>
  <c r="O250" i="10"/>
  <c r="O166" i="10"/>
  <c r="O37" i="10"/>
  <c r="O135" i="10"/>
  <c r="O165" i="10"/>
  <c r="O303" i="10"/>
  <c r="O32" i="10"/>
  <c r="O67" i="10"/>
  <c r="O441" i="10"/>
  <c r="O328" i="10"/>
  <c r="O467" i="10"/>
  <c r="O282" i="10"/>
  <c r="O490" i="10"/>
  <c r="O284" i="10"/>
  <c r="O482" i="10"/>
  <c r="O183" i="10"/>
  <c r="O62" i="10"/>
  <c r="O128" i="10"/>
  <c r="O389" i="10"/>
  <c r="O201" i="10"/>
  <c r="O111" i="10"/>
  <c r="O401" i="10"/>
  <c r="O213" i="10"/>
  <c r="O141" i="10"/>
  <c r="O202" i="10"/>
  <c r="O386" i="10"/>
  <c r="O204" i="10"/>
  <c r="O384" i="10"/>
  <c r="O449" i="10"/>
  <c r="O203" i="10"/>
  <c r="O443" i="10"/>
  <c r="O454" i="10"/>
  <c r="O400" i="10"/>
  <c r="O220" i="10"/>
  <c r="O402" i="10"/>
  <c r="O218" i="10"/>
  <c r="O72" i="10"/>
  <c r="O205" i="10"/>
  <c r="O385" i="10"/>
  <c r="O95" i="10"/>
  <c r="O193" i="10"/>
  <c r="O373" i="10"/>
  <c r="O492" i="10"/>
  <c r="O110" i="10"/>
  <c r="O227" i="10"/>
  <c r="O435" i="10"/>
  <c r="O288" i="10"/>
  <c r="O290" i="10"/>
  <c r="O146" i="10"/>
  <c r="O65" i="10"/>
  <c r="O289" i="10"/>
  <c r="O283" i="10"/>
  <c r="O68" i="10"/>
  <c r="O196" i="10"/>
  <c r="O198" i="10"/>
  <c r="O229" i="10"/>
  <c r="O127" i="10"/>
  <c r="O397" i="10"/>
  <c r="O39" i="10"/>
  <c r="O210" i="10"/>
  <c r="O390" i="10"/>
  <c r="O228" i="10"/>
  <c r="O63" i="10"/>
  <c r="O43" i="10"/>
  <c r="O155" i="10"/>
  <c r="O413" i="10"/>
  <c r="O74" i="10"/>
  <c r="O253" i="10"/>
  <c r="O49" i="10"/>
  <c r="O307" i="10"/>
  <c r="O192" i="10"/>
  <c r="O471" i="10"/>
  <c r="O437" i="10"/>
  <c r="O311" i="10"/>
  <c r="O149" i="10"/>
  <c r="O270" i="10"/>
  <c r="O489" i="10"/>
  <c r="O280" i="10"/>
  <c r="O458" i="10"/>
  <c r="O215" i="10"/>
  <c r="O94" i="10"/>
  <c r="O92" i="10"/>
  <c r="O175" i="10"/>
  <c r="O496" i="10"/>
  <c r="O442" i="10"/>
  <c r="O359" i="10"/>
  <c r="O225" i="10"/>
  <c r="O70" i="10"/>
  <c r="O188" i="10"/>
  <c r="O272" i="10"/>
  <c r="O368" i="10"/>
  <c r="O476" i="10"/>
  <c r="O121" i="10"/>
  <c r="O231" i="10"/>
  <c r="O478" i="10"/>
  <c r="O325" i="10"/>
  <c r="O475" i="10"/>
  <c r="O297" i="10"/>
  <c r="O48" i="10"/>
  <c r="O465" i="10"/>
  <c r="O335" i="10"/>
  <c r="O177" i="10"/>
  <c r="O143" i="10"/>
  <c r="O479" i="10"/>
  <c r="O469" i="10"/>
  <c r="O189" i="10"/>
  <c r="O50" i="10"/>
  <c r="O113" i="10"/>
  <c r="O324" i="10"/>
  <c r="O234" i="10"/>
  <c r="O439" i="10"/>
  <c r="O418" i="10"/>
  <c r="O318" i="10"/>
  <c r="O236" i="10"/>
  <c r="O455" i="10"/>
  <c r="O416" i="10"/>
  <c r="O31" i="10"/>
  <c r="O387" i="10"/>
  <c r="O139" i="10"/>
  <c r="O259" i="10"/>
  <c r="O132" i="10"/>
  <c r="O317" i="10"/>
  <c r="O86" i="10"/>
  <c r="O54" i="10"/>
  <c r="O158" i="10"/>
  <c r="O222" i="10"/>
  <c r="O286" i="10"/>
  <c r="O362" i="10"/>
  <c r="O426" i="10"/>
  <c r="O301" i="10"/>
  <c r="O200" i="10"/>
  <c r="O264" i="10"/>
  <c r="O445" i="10"/>
  <c r="O404" i="10"/>
  <c r="O152" i="10"/>
  <c r="O84" i="10"/>
  <c r="O355" i="10"/>
  <c r="O102" i="10"/>
  <c r="O415" i="10"/>
  <c r="O308" i="10"/>
  <c r="O473" i="10"/>
  <c r="O187" i="10"/>
  <c r="O337" i="10"/>
  <c r="O427" i="10"/>
  <c r="O140" i="10"/>
  <c r="O80" i="10"/>
  <c r="O27" i="10"/>
  <c r="O268" i="10"/>
  <c r="O330" i="10"/>
  <c r="O342" i="10"/>
  <c r="O408" i="10"/>
  <c r="O83" i="10"/>
  <c r="O185" i="10"/>
  <c r="O104" i="10"/>
  <c r="O182" i="10"/>
  <c r="O313" i="10"/>
  <c r="O314" i="10"/>
  <c r="O347" i="10"/>
  <c r="O486" i="10"/>
  <c r="E17" i="9"/>
  <c r="D17" i="9" s="1"/>
  <c r="C17" i="9" s="1"/>
  <c r="B18" i="9" s="1"/>
  <c r="O330" i="9"/>
  <c r="O163" i="9"/>
  <c r="O43" i="9"/>
  <c r="P17" i="9"/>
  <c r="O27" i="9"/>
  <c r="O234" i="9"/>
  <c r="O138" i="9"/>
  <c r="O53" i="9"/>
  <c r="O215" i="9"/>
  <c r="O122" i="9"/>
  <c r="O66" i="9"/>
  <c r="O39" i="9"/>
  <c r="O74" i="9"/>
  <c r="O139" i="9"/>
  <c r="O338" i="9"/>
  <c r="O70" i="9"/>
  <c r="O131" i="9"/>
  <c r="O218" i="9"/>
  <c r="O267" i="9"/>
  <c r="O17" i="9"/>
  <c r="O63" i="9"/>
  <c r="O247" i="9"/>
  <c r="O44" i="9"/>
  <c r="O123" i="9"/>
  <c r="O266" i="9"/>
  <c r="O77" i="9"/>
  <c r="O171" i="9"/>
  <c r="O258" i="9"/>
  <c r="O25" i="9"/>
  <c r="O199" i="9"/>
  <c r="O49" i="9"/>
  <c r="O71" i="9"/>
  <c r="O82" i="9"/>
  <c r="O143" i="9"/>
  <c r="O203" i="9"/>
  <c r="O263" i="9"/>
  <c r="O276" i="9"/>
  <c r="O486" i="9"/>
  <c r="O470" i="9"/>
  <c r="O484" i="9"/>
  <c r="O468" i="9"/>
  <c r="O464" i="9"/>
  <c r="O460" i="9"/>
  <c r="O456" i="9"/>
  <c r="O452" i="9"/>
  <c r="O448" i="9"/>
  <c r="O473" i="9"/>
  <c r="O443" i="9"/>
  <c r="O439" i="9"/>
  <c r="O493" i="9"/>
  <c r="O491" i="9"/>
  <c r="O427" i="9"/>
  <c r="O424" i="9"/>
  <c r="O421" i="9"/>
  <c r="O399" i="9"/>
  <c r="O384" i="9"/>
  <c r="O380" i="9"/>
  <c r="O376" i="9"/>
  <c r="O372" i="9"/>
  <c r="O368" i="9"/>
  <c r="O429" i="9"/>
  <c r="O412" i="9"/>
  <c r="O396" i="9"/>
  <c r="O415" i="9"/>
  <c r="O390" i="9"/>
  <c r="O352" i="9"/>
  <c r="O410" i="9"/>
  <c r="O366" i="9"/>
  <c r="O350" i="9"/>
  <c r="O416" i="9"/>
  <c r="O355" i="9"/>
  <c r="O337" i="9"/>
  <c r="O329" i="9"/>
  <c r="O321" i="9"/>
  <c r="O313" i="9"/>
  <c r="O305" i="9"/>
  <c r="O294" i="9"/>
  <c r="O278" i="9"/>
  <c r="O385" i="9"/>
  <c r="O318" i="9"/>
  <c r="O296" i="9"/>
  <c r="O277" i="9"/>
  <c r="O261" i="9"/>
  <c r="O245" i="9"/>
  <c r="O229" i="9"/>
  <c r="O213" i="9"/>
  <c r="O59" i="9"/>
  <c r="O226" i="9"/>
  <c r="O60" i="9"/>
  <c r="O207" i="9"/>
  <c r="O23" i="9"/>
  <c r="O73" i="9"/>
  <c r="O52" i="9"/>
  <c r="O86" i="9"/>
  <c r="O154" i="9"/>
  <c r="O195" i="9"/>
  <c r="O295" i="9"/>
  <c r="O478" i="9"/>
  <c r="O488" i="9"/>
  <c r="O467" i="9"/>
  <c r="O462" i="9"/>
  <c r="O457" i="9"/>
  <c r="O451" i="9"/>
  <c r="O489" i="9"/>
  <c r="O444" i="9"/>
  <c r="O438" i="9"/>
  <c r="O477" i="9"/>
  <c r="O431" i="9"/>
  <c r="O418" i="9"/>
  <c r="O407" i="9"/>
  <c r="O387" i="9"/>
  <c r="O379" i="9"/>
  <c r="O374" i="9"/>
  <c r="O369" i="9"/>
  <c r="O425" i="9"/>
  <c r="O404" i="9"/>
  <c r="O495" i="9"/>
  <c r="O364" i="9"/>
  <c r="O344" i="9"/>
  <c r="O386" i="9"/>
  <c r="O346" i="9"/>
  <c r="O389" i="9"/>
  <c r="O339" i="9"/>
  <c r="O327" i="9"/>
  <c r="O317" i="9"/>
  <c r="O307" i="9"/>
  <c r="O290" i="9"/>
  <c r="O409" i="9"/>
  <c r="O326" i="9"/>
  <c r="O293" i="9"/>
  <c r="O269" i="9"/>
  <c r="O249" i="9"/>
  <c r="O225" i="9"/>
  <c r="O205" i="9"/>
  <c r="O189" i="9"/>
  <c r="O173" i="9"/>
  <c r="O157" i="9"/>
  <c r="O141" i="9"/>
  <c r="O125" i="9"/>
  <c r="O40" i="9"/>
  <c r="O32" i="9"/>
  <c r="O24" i="9"/>
  <c r="O426" i="9"/>
  <c r="O401" i="9"/>
  <c r="O332" i="9"/>
  <c r="O300" i="9"/>
  <c r="O281" i="9"/>
  <c r="O260" i="9"/>
  <c r="O244" i="9"/>
  <c r="O228" i="9"/>
  <c r="O212" i="9"/>
  <c r="O196" i="9"/>
  <c r="O180" i="9"/>
  <c r="O164" i="9"/>
  <c r="O148" i="9"/>
  <c r="O132" i="9"/>
  <c r="O116" i="9"/>
  <c r="O108" i="9"/>
  <c r="O104" i="9"/>
  <c r="O100" i="9"/>
  <c r="O96" i="9"/>
  <c r="O92" i="9"/>
  <c r="O88" i="9"/>
  <c r="O320" i="9"/>
  <c r="O270" i="9"/>
  <c r="O238" i="9"/>
  <c r="O206" i="9"/>
  <c r="O174" i="9"/>
  <c r="O142" i="9"/>
  <c r="O84" i="9"/>
  <c r="O68" i="9"/>
  <c r="O275" i="9"/>
  <c r="O242" i="9"/>
  <c r="O191" i="9"/>
  <c r="O147" i="9"/>
  <c r="O114" i="9"/>
  <c r="O65" i="9"/>
  <c r="O50" i="9"/>
  <c r="O29" i="9"/>
  <c r="O69" i="9"/>
  <c r="O47" i="9"/>
  <c r="O155" i="9"/>
  <c r="O41" i="9"/>
  <c r="O259" i="9"/>
  <c r="O55" i="9"/>
  <c r="O494" i="9"/>
  <c r="O496" i="9"/>
  <c r="O472" i="9"/>
  <c r="O461" i="9"/>
  <c r="O454" i="9"/>
  <c r="O447" i="9"/>
  <c r="O442" i="9"/>
  <c r="O436" i="9"/>
  <c r="O435" i="9"/>
  <c r="O432" i="9"/>
  <c r="O395" i="9"/>
  <c r="O381" i="9"/>
  <c r="O373" i="9"/>
  <c r="O483" i="9"/>
  <c r="O408" i="9"/>
  <c r="O414" i="9"/>
  <c r="O356" i="9"/>
  <c r="O394" i="9"/>
  <c r="O342" i="9"/>
  <c r="O347" i="9"/>
  <c r="O331" i="9"/>
  <c r="O315" i="9"/>
  <c r="O301" i="9"/>
  <c r="O479" i="9"/>
  <c r="O310" i="9"/>
  <c r="O280" i="9"/>
  <c r="O253" i="9"/>
  <c r="O221" i="9"/>
  <c r="O197" i="9"/>
  <c r="O177" i="9"/>
  <c r="O153" i="9"/>
  <c r="O133" i="9"/>
  <c r="O113" i="9"/>
  <c r="O30" i="9"/>
  <c r="O20" i="9"/>
  <c r="O413" i="9"/>
  <c r="O324" i="9"/>
  <c r="O287" i="9"/>
  <c r="O264" i="9"/>
  <c r="O240" i="9"/>
  <c r="O220" i="9"/>
  <c r="O200" i="9"/>
  <c r="O176" i="9"/>
  <c r="O156" i="9"/>
  <c r="O136" i="9"/>
  <c r="O112" i="9"/>
  <c r="O106" i="9"/>
  <c r="O101" i="9"/>
  <c r="O95" i="9"/>
  <c r="O90" i="9"/>
  <c r="O336" i="9"/>
  <c r="O262" i="9"/>
  <c r="O222" i="9"/>
  <c r="O182" i="9"/>
  <c r="O134" i="9"/>
  <c r="O76" i="9"/>
  <c r="O291" i="9"/>
  <c r="O223" i="9"/>
  <c r="O178" i="9"/>
  <c r="O115" i="9"/>
  <c r="O62" i="9"/>
  <c r="O42" i="9"/>
  <c r="O19" i="9"/>
  <c r="O48" i="9"/>
  <c r="O83" i="9"/>
  <c r="O175" i="9"/>
  <c r="O235" i="9"/>
  <c r="O357" i="9"/>
  <c r="O85" i="9"/>
  <c r="O56" i="9"/>
  <c r="O231" i="9"/>
  <c r="O35" i="9"/>
  <c r="O151" i="9"/>
  <c r="O314" i="9"/>
  <c r="O490" i="9"/>
  <c r="O492" i="9"/>
  <c r="O466" i="9"/>
  <c r="O459" i="9"/>
  <c r="O453" i="9"/>
  <c r="O481" i="9"/>
  <c r="O441" i="9"/>
  <c r="O485" i="9"/>
  <c r="O423" i="9"/>
  <c r="O428" i="9"/>
  <c r="O391" i="9"/>
  <c r="O378" i="9"/>
  <c r="O371" i="9"/>
  <c r="O433" i="9"/>
  <c r="O400" i="9"/>
  <c r="O406" i="9"/>
  <c r="O348" i="9"/>
  <c r="O362" i="9"/>
  <c r="O430" i="9"/>
  <c r="O341" i="9"/>
  <c r="O325" i="9"/>
  <c r="O311" i="9"/>
  <c r="O298" i="9"/>
  <c r="O397" i="9"/>
  <c r="O302" i="9"/>
  <c r="O273" i="9"/>
  <c r="O241" i="9"/>
  <c r="O217" i="9"/>
  <c r="O193" i="9"/>
  <c r="O169" i="9"/>
  <c r="O149" i="9"/>
  <c r="O129" i="9"/>
  <c r="O38" i="9"/>
  <c r="O28" i="9"/>
  <c r="O18" i="9"/>
  <c r="O349" i="9"/>
  <c r="O316" i="9"/>
  <c r="O284" i="9"/>
  <c r="O256" i="9"/>
  <c r="O236" i="9"/>
  <c r="O216" i="9"/>
  <c r="O192" i="9"/>
  <c r="O172" i="9"/>
  <c r="O152" i="9"/>
  <c r="O128" i="9"/>
  <c r="O110" i="9"/>
  <c r="O105" i="9"/>
  <c r="O99" i="9"/>
  <c r="O94" i="9"/>
  <c r="O89" i="9"/>
  <c r="O304" i="9"/>
  <c r="O254" i="9"/>
  <c r="O214" i="9"/>
  <c r="O166" i="9"/>
  <c r="O126" i="9"/>
  <c r="O72" i="9"/>
  <c r="O274" i="9"/>
  <c r="O211" i="9"/>
  <c r="O159" i="9"/>
  <c r="O81" i="9"/>
  <c r="O58" i="9"/>
  <c r="O37" i="9"/>
  <c r="O31" i="9"/>
  <c r="O45" i="9"/>
  <c r="O167" i="9"/>
  <c r="O194" i="9"/>
  <c r="O289" i="9"/>
  <c r="O312" i="9"/>
  <c r="O351" i="9"/>
  <c r="O130" i="9"/>
  <c r="O111" i="9"/>
  <c r="O251" i="9"/>
  <c r="O57" i="9"/>
  <c r="O33" i="9"/>
  <c r="O135" i="9"/>
  <c r="O162" i="9"/>
  <c r="O187" i="9"/>
  <c r="O482" i="9"/>
  <c r="O480" i="9"/>
  <c r="O465" i="9"/>
  <c r="O458" i="9"/>
  <c r="O450" i="9"/>
  <c r="O446" i="9"/>
  <c r="O250" i="9"/>
  <c r="O67" i="9"/>
  <c r="O170" i="9"/>
  <c r="O474" i="9"/>
  <c r="O449" i="9"/>
  <c r="O469" i="9"/>
  <c r="O411" i="9"/>
  <c r="O377" i="9"/>
  <c r="O420" i="9"/>
  <c r="O398" i="9"/>
  <c r="O358" i="9"/>
  <c r="O335" i="9"/>
  <c r="O309" i="9"/>
  <c r="O361" i="9"/>
  <c r="O265" i="9"/>
  <c r="O209" i="9"/>
  <c r="O165" i="9"/>
  <c r="O121" i="9"/>
  <c r="O26" i="9"/>
  <c r="O343" i="9"/>
  <c r="O272" i="9"/>
  <c r="O232" i="9"/>
  <c r="O188" i="9"/>
  <c r="O144" i="9"/>
  <c r="O109" i="9"/>
  <c r="O98" i="9"/>
  <c r="O365" i="9"/>
  <c r="O246" i="9"/>
  <c r="O158" i="9"/>
  <c r="O64" i="9"/>
  <c r="O210" i="9"/>
  <c r="O78" i="9"/>
  <c r="O21" i="9"/>
  <c r="O61" i="9"/>
  <c r="O79" i="9"/>
  <c r="O202" i="9"/>
  <c r="O227" i="9"/>
  <c r="O288" i="9"/>
  <c r="O119" i="9"/>
  <c r="O476" i="9"/>
  <c r="O445" i="9"/>
  <c r="O475" i="9"/>
  <c r="O403" i="9"/>
  <c r="O375" i="9"/>
  <c r="O417" i="9"/>
  <c r="O360" i="9"/>
  <c r="O354" i="9"/>
  <c r="O333" i="9"/>
  <c r="O303" i="9"/>
  <c r="O334" i="9"/>
  <c r="O257" i="9"/>
  <c r="O201" i="9"/>
  <c r="O161" i="9"/>
  <c r="O117" i="9"/>
  <c r="O22" i="9"/>
  <c r="O340" i="9"/>
  <c r="O268" i="9"/>
  <c r="O224" i="9"/>
  <c r="O184" i="9"/>
  <c r="O140" i="9"/>
  <c r="O107" i="9"/>
  <c r="O97" i="9"/>
  <c r="O353" i="9"/>
  <c r="O230" i="9"/>
  <c r="O150" i="9"/>
  <c r="O322" i="9"/>
  <c r="O179" i="9"/>
  <c r="O75" i="9"/>
  <c r="O285" i="9"/>
  <c r="O328" i="9"/>
  <c r="O345" i="9"/>
  <c r="O463" i="9"/>
  <c r="O440" i="9"/>
  <c r="O487" i="9"/>
  <c r="O383" i="9"/>
  <c r="O370" i="9"/>
  <c r="O392" i="9"/>
  <c r="O471" i="9"/>
  <c r="O405" i="9"/>
  <c r="O323" i="9"/>
  <c r="O286" i="9"/>
  <c r="O299" i="9"/>
  <c r="O237" i="9"/>
  <c r="O185" i="9"/>
  <c r="O145" i="9"/>
  <c r="O36" i="9"/>
  <c r="O422" i="9"/>
  <c r="O308" i="9"/>
  <c r="O252" i="9"/>
  <c r="O208" i="9"/>
  <c r="O168" i="9"/>
  <c r="O124" i="9"/>
  <c r="O103" i="9"/>
  <c r="O93" i="9"/>
  <c r="O292" i="9"/>
  <c r="O198" i="9"/>
  <c r="O118" i="9"/>
  <c r="O255" i="9"/>
  <c r="O146" i="9"/>
  <c r="O54" i="9"/>
  <c r="O51" i="9"/>
  <c r="O87" i="9"/>
  <c r="O183" i="9"/>
  <c r="O393" i="9"/>
  <c r="O359" i="9"/>
  <c r="O239" i="9"/>
  <c r="O271" i="9"/>
  <c r="O455" i="9"/>
  <c r="O437" i="9"/>
  <c r="O434" i="9"/>
  <c r="O382" i="9"/>
  <c r="O367" i="9"/>
  <c r="O388" i="9"/>
  <c r="O402" i="9"/>
  <c r="O363" i="9"/>
  <c r="O319" i="9"/>
  <c r="O282" i="9"/>
  <c r="O283" i="9"/>
  <c r="O233" i="9"/>
  <c r="O181" i="9"/>
  <c r="O137" i="9"/>
  <c r="O34" i="9"/>
  <c r="O419" i="9"/>
  <c r="O297" i="9"/>
  <c r="O248" i="9"/>
  <c r="O204" i="9"/>
  <c r="O160" i="9"/>
  <c r="O120" i="9"/>
  <c r="O102" i="9"/>
  <c r="O91" i="9"/>
  <c r="O279" i="9"/>
  <c r="O190" i="9"/>
  <c r="O80" i="9"/>
  <c r="O243" i="9"/>
  <c r="O127" i="9"/>
  <c r="O46" i="9"/>
  <c r="O186" i="9"/>
  <c r="O219" i="9"/>
  <c r="O306" i="9"/>
  <c r="F118" i="12" l="1"/>
  <c r="F170" i="12"/>
  <c r="F171" i="8"/>
  <c r="F172" i="8" s="1"/>
  <c r="E18" i="10"/>
  <c r="D18" i="10" s="1"/>
  <c r="C18" i="10" s="1"/>
  <c r="B19" i="10" s="1"/>
  <c r="N18" i="10"/>
  <c r="P19" i="10" s="1"/>
  <c r="Q19" i="10" s="1"/>
  <c r="M19" i="10" s="1"/>
  <c r="Q17" i="10"/>
  <c r="M17" i="10" s="1"/>
  <c r="Q17" i="9"/>
  <c r="M17" i="9" s="1"/>
  <c r="N17" i="9"/>
  <c r="E18" i="9"/>
  <c r="D18" i="9" s="1"/>
  <c r="C18" i="9" s="1"/>
  <c r="B19" i="9" s="1"/>
  <c r="F174" i="8" l="1"/>
  <c r="F179" i="8"/>
  <c r="F171" i="12"/>
  <c r="N19" i="10"/>
  <c r="P20" i="10" s="1"/>
  <c r="Q20" i="10" s="1"/>
  <c r="M20" i="10" s="1"/>
  <c r="E19" i="10"/>
  <c r="D19" i="10" s="1"/>
  <c r="C19" i="10" s="1"/>
  <c r="B20" i="10" s="1"/>
  <c r="N18" i="9"/>
  <c r="N19" i="9" s="1"/>
  <c r="P18" i="9"/>
  <c r="Q18" i="9" s="1"/>
  <c r="M18" i="9" s="1"/>
  <c r="E19" i="9"/>
  <c r="D19" i="9" s="1"/>
  <c r="C19" i="9" s="1"/>
  <c r="B20" i="9" s="1"/>
  <c r="F180" i="8" l="1"/>
  <c r="N20" i="10"/>
  <c r="N21" i="10" s="1"/>
  <c r="E20" i="10"/>
  <c r="D20" i="10" s="1"/>
  <c r="C20" i="10" s="1"/>
  <c r="B21" i="10" s="1"/>
  <c r="P19" i="9"/>
  <c r="Q19" i="9" s="1"/>
  <c r="M19" i="9" s="1"/>
  <c r="P20" i="9"/>
  <c r="Q20" i="9" s="1"/>
  <c r="M20" i="9" s="1"/>
  <c r="N20" i="9"/>
  <c r="E20" i="9"/>
  <c r="D20" i="9" s="1"/>
  <c r="C20" i="9" s="1"/>
  <c r="B21" i="9" s="1"/>
  <c r="P21" i="10" l="1"/>
  <c r="Q21" i="10" s="1"/>
  <c r="M21" i="10" s="1"/>
  <c r="E21" i="10"/>
  <c r="D21" i="10" s="1"/>
  <c r="C21" i="10" s="1"/>
  <c r="B22" i="10" s="1"/>
  <c r="P22" i="10"/>
  <c r="Q22" i="10" s="1"/>
  <c r="M22" i="10" s="1"/>
  <c r="N22" i="10"/>
  <c r="E21" i="9"/>
  <c r="D21" i="9" s="1"/>
  <c r="C21" i="9" s="1"/>
  <c r="B22" i="9" s="1"/>
  <c r="P21" i="9"/>
  <c r="Q21" i="9" s="1"/>
  <c r="M21" i="9" s="1"/>
  <c r="N21" i="9"/>
  <c r="E22" i="10" l="1"/>
  <c r="D22" i="10" s="1"/>
  <c r="C22" i="10" s="1"/>
  <c r="B23" i="10" s="1"/>
  <c r="N23" i="10"/>
  <c r="P23" i="10"/>
  <c r="Q23" i="10" s="1"/>
  <c r="M23" i="10" s="1"/>
  <c r="N22" i="9"/>
  <c r="P22" i="9"/>
  <c r="Q22" i="9" s="1"/>
  <c r="M22" i="9" s="1"/>
  <c r="E22" i="9"/>
  <c r="D22" i="9" s="1"/>
  <c r="C22" i="9" s="1"/>
  <c r="B23" i="9" s="1"/>
  <c r="E23" i="10" l="1"/>
  <c r="D23" i="10" s="1"/>
  <c r="C23" i="10" s="1"/>
  <c r="B24" i="10" s="1"/>
  <c r="N24" i="10"/>
  <c r="P24" i="10"/>
  <c r="Q24" i="10" s="1"/>
  <c r="M24" i="10" s="1"/>
  <c r="E23" i="9"/>
  <c r="D23" i="9" s="1"/>
  <c r="C23" i="9" s="1"/>
  <c r="B24" i="9" s="1"/>
  <c r="N23" i="9"/>
  <c r="P23" i="9"/>
  <c r="Q23" i="9" s="1"/>
  <c r="M23" i="9" s="1"/>
  <c r="E24" i="10" l="1"/>
  <c r="D24" i="10" s="1"/>
  <c r="C24" i="10" s="1"/>
  <c r="B25" i="10" s="1"/>
  <c r="P25" i="10"/>
  <c r="Q25" i="10" s="1"/>
  <c r="M25" i="10" s="1"/>
  <c r="N25" i="10"/>
  <c r="E24" i="9"/>
  <c r="D24" i="9" s="1"/>
  <c r="C24" i="9" s="1"/>
  <c r="B25" i="9" s="1"/>
  <c r="P24" i="9"/>
  <c r="Q24" i="9" s="1"/>
  <c r="M24" i="9" s="1"/>
  <c r="N24" i="9"/>
  <c r="E25" i="10" l="1"/>
  <c r="D25" i="10" s="1"/>
  <c r="C25" i="10" s="1"/>
  <c r="B26" i="10" s="1"/>
  <c r="N26" i="10"/>
  <c r="P26" i="10"/>
  <c r="Q26" i="10" s="1"/>
  <c r="M26" i="10" s="1"/>
  <c r="P25" i="9"/>
  <c r="Q25" i="9" s="1"/>
  <c r="M25" i="9" s="1"/>
  <c r="N25" i="9"/>
  <c r="E25" i="9"/>
  <c r="D25" i="9" s="1"/>
  <c r="C25" i="9" s="1"/>
  <c r="B26" i="9" s="1"/>
  <c r="E26" i="10" l="1"/>
  <c r="D26" i="10" s="1"/>
  <c r="C26" i="10" s="1"/>
  <c r="B27" i="10" s="1"/>
  <c r="P27" i="10"/>
  <c r="Q27" i="10" s="1"/>
  <c r="M27" i="10" s="1"/>
  <c r="N27" i="10"/>
  <c r="E26" i="9"/>
  <c r="D26" i="9" s="1"/>
  <c r="C26" i="9" s="1"/>
  <c r="B27" i="9" s="1"/>
  <c r="N26" i="9"/>
  <c r="P26" i="9"/>
  <c r="Q26" i="9" s="1"/>
  <c r="M26" i="9" s="1"/>
  <c r="E27" i="10" l="1"/>
  <c r="D27" i="10" s="1"/>
  <c r="C27" i="10" s="1"/>
  <c r="B28" i="10" s="1"/>
  <c r="N28" i="10"/>
  <c r="P28" i="10"/>
  <c r="Q28" i="10" s="1"/>
  <c r="M28" i="10" s="1"/>
  <c r="N27" i="9"/>
  <c r="P27" i="9"/>
  <c r="Q27" i="9" s="1"/>
  <c r="M27" i="9" s="1"/>
  <c r="E27" i="9"/>
  <c r="D27" i="9" s="1"/>
  <c r="C27" i="9" s="1"/>
  <c r="B28" i="9" s="1"/>
  <c r="E28" i="10" l="1"/>
  <c r="D28" i="10" s="1"/>
  <c r="C28" i="10" s="1"/>
  <c r="B29" i="10" s="1"/>
  <c r="P29" i="10"/>
  <c r="Q29" i="10" s="1"/>
  <c r="M29" i="10" s="1"/>
  <c r="N29" i="10"/>
  <c r="E28" i="9"/>
  <c r="D28" i="9" s="1"/>
  <c r="C28" i="9" s="1"/>
  <c r="B29" i="9" s="1"/>
  <c r="P28" i="9"/>
  <c r="Q28" i="9" s="1"/>
  <c r="M28" i="9" s="1"/>
  <c r="N28" i="9"/>
  <c r="E29" i="10" l="1"/>
  <c r="D29" i="10" s="1"/>
  <c r="C29" i="10" s="1"/>
  <c r="B30" i="10" s="1"/>
  <c r="N30" i="10"/>
  <c r="P30" i="10"/>
  <c r="Q30" i="10" s="1"/>
  <c r="M30" i="10" s="1"/>
  <c r="E29" i="9"/>
  <c r="D29" i="9" s="1"/>
  <c r="C29" i="9" s="1"/>
  <c r="B30" i="9" s="1"/>
  <c r="N29" i="9"/>
  <c r="P29" i="9"/>
  <c r="Q29" i="9" s="1"/>
  <c r="M29" i="9" s="1"/>
  <c r="E30" i="10" l="1"/>
  <c r="D30" i="10" s="1"/>
  <c r="C30" i="10" s="1"/>
  <c r="B31" i="10" s="1"/>
  <c r="P31" i="10"/>
  <c r="Q31" i="10" s="1"/>
  <c r="M31" i="10" s="1"/>
  <c r="N31" i="10"/>
  <c r="N30" i="9"/>
  <c r="P30" i="9"/>
  <c r="Q30" i="9" s="1"/>
  <c r="M30" i="9" s="1"/>
  <c r="E30" i="9"/>
  <c r="D30" i="9" s="1"/>
  <c r="C30" i="9" s="1"/>
  <c r="B31" i="9" s="1"/>
  <c r="E31" i="10" l="1"/>
  <c r="D31" i="10" s="1"/>
  <c r="C31" i="10" s="1"/>
  <c r="B32" i="10" s="1"/>
  <c r="N32" i="10"/>
  <c r="P32" i="10"/>
  <c r="Q32" i="10" s="1"/>
  <c r="M32" i="10" s="1"/>
  <c r="E31" i="9"/>
  <c r="D31" i="9" s="1"/>
  <c r="C31" i="9" s="1"/>
  <c r="B32" i="9" s="1"/>
  <c r="N31" i="9"/>
  <c r="P31" i="9"/>
  <c r="Q31" i="9" s="1"/>
  <c r="M31" i="9" s="1"/>
  <c r="E32" i="10" l="1"/>
  <c r="D32" i="10" s="1"/>
  <c r="C32" i="10" s="1"/>
  <c r="B33" i="10" s="1"/>
  <c r="P33" i="10"/>
  <c r="Q33" i="10" s="1"/>
  <c r="M33" i="10" s="1"/>
  <c r="N33" i="10"/>
  <c r="P32" i="9"/>
  <c r="Q32" i="9" s="1"/>
  <c r="M32" i="9" s="1"/>
  <c r="N32" i="9"/>
  <c r="E32" i="9"/>
  <c r="D32" i="9" s="1"/>
  <c r="C32" i="9" s="1"/>
  <c r="B33" i="9" s="1"/>
  <c r="E33" i="10" l="1"/>
  <c r="D33" i="10" s="1"/>
  <c r="C33" i="10" s="1"/>
  <c r="B34" i="10" s="1"/>
  <c r="N34" i="10"/>
  <c r="P34" i="10"/>
  <c r="Q34" i="10" s="1"/>
  <c r="M34" i="10" s="1"/>
  <c r="E33" i="9"/>
  <c r="D33" i="9" s="1"/>
  <c r="C33" i="9" s="1"/>
  <c r="B34" i="9" s="1"/>
  <c r="P33" i="9"/>
  <c r="Q33" i="9" s="1"/>
  <c r="M33" i="9" s="1"/>
  <c r="N33" i="9"/>
  <c r="E34" i="10" l="1"/>
  <c r="D34" i="10" s="1"/>
  <c r="C34" i="10" s="1"/>
  <c r="B35" i="10" s="1"/>
  <c r="P35" i="10"/>
  <c r="Q35" i="10" s="1"/>
  <c r="M35" i="10" s="1"/>
  <c r="N35" i="10"/>
  <c r="P34" i="9"/>
  <c r="Q34" i="9" s="1"/>
  <c r="M34" i="9" s="1"/>
  <c r="N34" i="9"/>
  <c r="E34" i="9"/>
  <c r="D34" i="9" s="1"/>
  <c r="C34" i="9" s="1"/>
  <c r="B35" i="9" s="1"/>
  <c r="E35" i="10" l="1"/>
  <c r="D35" i="10" s="1"/>
  <c r="C35" i="10" s="1"/>
  <c r="B36" i="10" s="1"/>
  <c r="N36" i="10"/>
  <c r="P36" i="10"/>
  <c r="Q36" i="10" s="1"/>
  <c r="M36" i="10" s="1"/>
  <c r="E35" i="9"/>
  <c r="D35" i="9" s="1"/>
  <c r="C35" i="9" s="1"/>
  <c r="B36" i="9" s="1"/>
  <c r="N35" i="9"/>
  <c r="P35" i="9"/>
  <c r="Q35" i="9" s="1"/>
  <c r="M35" i="9" s="1"/>
  <c r="E36" i="10" l="1"/>
  <c r="D36" i="10" s="1"/>
  <c r="C36" i="10" s="1"/>
  <c r="B37" i="10" s="1"/>
  <c r="P37" i="10"/>
  <c r="Q37" i="10" s="1"/>
  <c r="M37" i="10" s="1"/>
  <c r="N37" i="10"/>
  <c r="E36" i="9"/>
  <c r="D36" i="9" s="1"/>
  <c r="C36" i="9" s="1"/>
  <c r="B37" i="9" s="1"/>
  <c r="P36" i="9"/>
  <c r="Q36" i="9" s="1"/>
  <c r="M36" i="9" s="1"/>
  <c r="N36" i="9"/>
  <c r="E37" i="10" l="1"/>
  <c r="D37" i="10" s="1"/>
  <c r="C37" i="10" s="1"/>
  <c r="B38" i="10" s="1"/>
  <c r="N38" i="10"/>
  <c r="P38" i="10"/>
  <c r="Q38" i="10" s="1"/>
  <c r="M38" i="10" s="1"/>
  <c r="E37" i="9"/>
  <c r="D37" i="9" s="1"/>
  <c r="C37" i="9" s="1"/>
  <c r="B38" i="9" s="1"/>
  <c r="P37" i="9"/>
  <c r="Q37" i="9" s="1"/>
  <c r="M37" i="9" s="1"/>
  <c r="N37" i="9"/>
  <c r="E38" i="10" l="1"/>
  <c r="D38" i="10" s="1"/>
  <c r="C38" i="10" s="1"/>
  <c r="B39" i="10" s="1"/>
  <c r="P39" i="10"/>
  <c r="Q39" i="10" s="1"/>
  <c r="M39" i="10" s="1"/>
  <c r="N39" i="10"/>
  <c r="E38" i="9"/>
  <c r="D38" i="9" s="1"/>
  <c r="C38" i="9" s="1"/>
  <c r="B39" i="9" s="1"/>
  <c r="P38" i="9"/>
  <c r="Q38" i="9" s="1"/>
  <c r="M38" i="9" s="1"/>
  <c r="N38" i="9"/>
  <c r="E39" i="10" l="1"/>
  <c r="D39" i="10" s="1"/>
  <c r="C39" i="10" s="1"/>
  <c r="B40" i="10" s="1"/>
  <c r="N40" i="10"/>
  <c r="P40" i="10"/>
  <c r="Q40" i="10" s="1"/>
  <c r="M40" i="10" s="1"/>
  <c r="E39" i="9"/>
  <c r="D39" i="9" s="1"/>
  <c r="C39" i="9" s="1"/>
  <c r="B40" i="9" s="1"/>
  <c r="P39" i="9"/>
  <c r="Q39" i="9" s="1"/>
  <c r="M39" i="9" s="1"/>
  <c r="N39" i="9"/>
  <c r="E40" i="10" l="1"/>
  <c r="D40" i="10" s="1"/>
  <c r="C40" i="10" s="1"/>
  <c r="N41" i="10"/>
  <c r="P41" i="10"/>
  <c r="Q41" i="10" s="1"/>
  <c r="M41" i="10" s="1"/>
  <c r="E40" i="9"/>
  <c r="D40" i="9" s="1"/>
  <c r="C40" i="9" s="1"/>
  <c r="P40" i="9"/>
  <c r="Q40" i="9" s="1"/>
  <c r="M40" i="9" s="1"/>
  <c r="N40" i="9"/>
  <c r="R41" i="9" s="1"/>
  <c r="G41" i="9" l="1"/>
  <c r="B41" i="9" s="1"/>
  <c r="G41" i="10"/>
  <c r="B41" i="10" s="1"/>
  <c r="E41" i="10"/>
  <c r="D41" i="10" s="1"/>
  <c r="C41" i="10" s="1"/>
  <c r="N42" i="10"/>
  <c r="P42" i="10"/>
  <c r="Q42" i="10" s="1"/>
  <c r="M42" i="10" s="1"/>
  <c r="N41" i="9"/>
  <c r="R42" i="9" s="1"/>
  <c r="P41" i="9"/>
  <c r="Q41" i="9" s="1"/>
  <c r="M41" i="9" s="1"/>
  <c r="E41" i="9"/>
  <c r="D41" i="9" s="1"/>
  <c r="C41" i="9" s="1"/>
  <c r="G42" i="9" l="1"/>
  <c r="B42" i="9" s="1"/>
  <c r="G42" i="10"/>
  <c r="B42" i="10" s="1"/>
  <c r="E42" i="10"/>
  <c r="D42" i="10" s="1"/>
  <c r="C42" i="10" s="1"/>
  <c r="N43" i="10"/>
  <c r="P43" i="10"/>
  <c r="Q43" i="10" s="1"/>
  <c r="M43" i="10" s="1"/>
  <c r="E42" i="9"/>
  <c r="D42" i="9" s="1"/>
  <c r="C42" i="9" s="1"/>
  <c r="P42" i="9"/>
  <c r="Q42" i="9" s="1"/>
  <c r="M42" i="9" s="1"/>
  <c r="N42" i="9"/>
  <c r="R43" i="9" s="1"/>
  <c r="G43" i="9" l="1"/>
  <c r="B43" i="9" s="1"/>
  <c r="G43" i="10"/>
  <c r="B43" i="10" s="1"/>
  <c r="E43" i="10"/>
  <c r="D43" i="10" s="1"/>
  <c r="C43" i="10" s="1"/>
  <c r="P44" i="10"/>
  <c r="Q44" i="10" s="1"/>
  <c r="M44" i="10" s="1"/>
  <c r="N44" i="10"/>
  <c r="E43" i="9"/>
  <c r="D43" i="9" s="1"/>
  <c r="C43" i="9" s="1"/>
  <c r="N43" i="9"/>
  <c r="R44" i="9" s="1"/>
  <c r="P43" i="9"/>
  <c r="Q43" i="9" s="1"/>
  <c r="M43" i="9" s="1"/>
  <c r="G44" i="9" l="1"/>
  <c r="B44" i="9" s="1"/>
  <c r="G44" i="10"/>
  <c r="B44" i="10" s="1"/>
  <c r="E44" i="10"/>
  <c r="D44" i="10" s="1"/>
  <c r="C44" i="10" s="1"/>
  <c r="P45" i="10"/>
  <c r="Q45" i="10" s="1"/>
  <c r="M45" i="10" s="1"/>
  <c r="N45" i="10"/>
  <c r="E44" i="9"/>
  <c r="D44" i="9" s="1"/>
  <c r="C44" i="9" s="1"/>
  <c r="P44" i="9"/>
  <c r="Q44" i="9" s="1"/>
  <c r="M44" i="9" s="1"/>
  <c r="N44" i="9"/>
  <c r="R45" i="9" s="1"/>
  <c r="G45" i="9" l="1"/>
  <c r="B45" i="9" s="1"/>
  <c r="G45" i="10"/>
  <c r="B45" i="10" s="1"/>
  <c r="E45" i="10"/>
  <c r="D45" i="10" s="1"/>
  <c r="C45" i="10" s="1"/>
  <c r="N46" i="10"/>
  <c r="P46" i="10"/>
  <c r="Q46" i="10" s="1"/>
  <c r="M46" i="10" s="1"/>
  <c r="N45" i="9"/>
  <c r="R46" i="9" s="1"/>
  <c r="P45" i="9"/>
  <c r="Q45" i="9" s="1"/>
  <c r="M45" i="9" s="1"/>
  <c r="E45" i="9"/>
  <c r="D45" i="9" s="1"/>
  <c r="C45" i="9" s="1"/>
  <c r="G46" i="9" l="1"/>
  <c r="B46" i="9" s="1"/>
  <c r="G46" i="10"/>
  <c r="B46" i="10"/>
  <c r="E46" i="10"/>
  <c r="D46" i="10" s="1"/>
  <c r="C46" i="10" s="1"/>
  <c r="P47" i="10"/>
  <c r="Q47" i="10" s="1"/>
  <c r="M47" i="10" s="1"/>
  <c r="N47" i="10"/>
  <c r="E46" i="9"/>
  <c r="D46" i="9" s="1"/>
  <c r="C46" i="9" s="1"/>
  <c r="N46" i="9"/>
  <c r="R47" i="9" s="1"/>
  <c r="P46" i="9"/>
  <c r="Q46" i="9" s="1"/>
  <c r="M46" i="9" s="1"/>
  <c r="G47" i="9" l="1"/>
  <c r="B47" i="9" s="1"/>
  <c r="G47" i="10"/>
  <c r="B47" i="10" s="1"/>
  <c r="E47" i="10"/>
  <c r="D47" i="10" s="1"/>
  <c r="C47" i="10" s="1"/>
  <c r="N48" i="10"/>
  <c r="P48" i="10"/>
  <c r="Q48" i="10" s="1"/>
  <c r="M48" i="10" s="1"/>
  <c r="E47" i="9"/>
  <c r="D47" i="9" s="1"/>
  <c r="C47" i="9" s="1"/>
  <c r="P47" i="9"/>
  <c r="Q47" i="9" s="1"/>
  <c r="M47" i="9" s="1"/>
  <c r="N47" i="9"/>
  <c r="R48" i="9" s="1"/>
  <c r="G48" i="9" l="1"/>
  <c r="B48" i="9" s="1"/>
  <c r="G48" i="10"/>
  <c r="B48" i="10"/>
  <c r="E48" i="10"/>
  <c r="D48" i="10" s="1"/>
  <c r="C48" i="10" s="1"/>
  <c r="P49" i="10"/>
  <c r="Q49" i="10" s="1"/>
  <c r="M49" i="10" s="1"/>
  <c r="N49" i="10"/>
  <c r="P48" i="9"/>
  <c r="Q48" i="9" s="1"/>
  <c r="M48" i="9" s="1"/>
  <c r="N48" i="9"/>
  <c r="R49" i="9" s="1"/>
  <c r="E48" i="9"/>
  <c r="D48" i="9" s="1"/>
  <c r="C48" i="9" s="1"/>
  <c r="G49" i="9" l="1"/>
  <c r="B49" i="9" s="1"/>
  <c r="G49" i="10"/>
  <c r="B49" i="10" s="1"/>
  <c r="E49" i="10"/>
  <c r="D49" i="10" s="1"/>
  <c r="C49" i="10" s="1"/>
  <c r="P50" i="10"/>
  <c r="Q50" i="10" s="1"/>
  <c r="M50" i="10" s="1"/>
  <c r="N50" i="10"/>
  <c r="P49" i="9"/>
  <c r="Q49" i="9" s="1"/>
  <c r="M49" i="9" s="1"/>
  <c r="N49" i="9"/>
  <c r="R50" i="9" s="1"/>
  <c r="E49" i="9"/>
  <c r="D49" i="9" s="1"/>
  <c r="C49" i="9" s="1"/>
  <c r="G50" i="9" l="1"/>
  <c r="B50" i="9" s="1"/>
  <c r="G50" i="10"/>
  <c r="B50" i="10" s="1"/>
  <c r="E50" i="10"/>
  <c r="D50" i="10" s="1"/>
  <c r="C50" i="10" s="1"/>
  <c r="P51" i="10"/>
  <c r="Q51" i="10" s="1"/>
  <c r="M51" i="10" s="1"/>
  <c r="N51" i="10"/>
  <c r="P50" i="9"/>
  <c r="Q50" i="9" s="1"/>
  <c r="M50" i="9" s="1"/>
  <c r="N50" i="9"/>
  <c r="R51" i="9" s="1"/>
  <c r="E50" i="9"/>
  <c r="D50" i="9" s="1"/>
  <c r="C50" i="9" s="1"/>
  <c r="G51" i="9" l="1"/>
  <c r="B51" i="9" s="1"/>
  <c r="G51" i="10"/>
  <c r="B51" i="10" s="1"/>
  <c r="E51" i="10"/>
  <c r="D51" i="10" s="1"/>
  <c r="C51" i="10" s="1"/>
  <c r="N52" i="10"/>
  <c r="P52" i="10"/>
  <c r="Q52" i="10" s="1"/>
  <c r="M52" i="10" s="1"/>
  <c r="E51" i="9"/>
  <c r="D51" i="9" s="1"/>
  <c r="C51" i="9" s="1"/>
  <c r="N51" i="9"/>
  <c r="R52" i="9" s="1"/>
  <c r="P51" i="9"/>
  <c r="Q51" i="9" s="1"/>
  <c r="M51" i="9" s="1"/>
  <c r="G52" i="9" l="1"/>
  <c r="B52" i="9" s="1"/>
  <c r="G52" i="10"/>
  <c r="B52" i="10" s="1"/>
  <c r="E52" i="10"/>
  <c r="D52" i="10" s="1"/>
  <c r="C52" i="10" s="1"/>
  <c r="N53" i="10"/>
  <c r="P53" i="10"/>
  <c r="Q53" i="10" s="1"/>
  <c r="M53" i="10" s="1"/>
  <c r="E52" i="9"/>
  <c r="D52" i="9" s="1"/>
  <c r="C52" i="9" s="1"/>
  <c r="P52" i="9"/>
  <c r="Q52" i="9" s="1"/>
  <c r="M52" i="9" s="1"/>
  <c r="N52" i="9"/>
  <c r="R53" i="9" s="1"/>
  <c r="G53" i="9" l="1"/>
  <c r="B53" i="9" s="1"/>
  <c r="G53" i="10"/>
  <c r="B53" i="10" s="1"/>
  <c r="E53" i="10"/>
  <c r="D53" i="10" s="1"/>
  <c r="C53" i="10" s="1"/>
  <c r="N54" i="10"/>
  <c r="P54" i="10"/>
  <c r="Q54" i="10" s="1"/>
  <c r="M54" i="10" s="1"/>
  <c r="P53" i="9"/>
  <c r="Q53" i="9" s="1"/>
  <c r="M53" i="9" s="1"/>
  <c r="N53" i="9"/>
  <c r="R54" i="9" s="1"/>
  <c r="E53" i="9"/>
  <c r="D53" i="9" s="1"/>
  <c r="C53" i="9" s="1"/>
  <c r="G54" i="9" l="1"/>
  <c r="B54" i="9" s="1"/>
  <c r="G54" i="10"/>
  <c r="B54" i="10" s="1"/>
  <c r="E54" i="10"/>
  <c r="D54" i="10" s="1"/>
  <c r="C54" i="10" s="1"/>
  <c r="P55" i="10"/>
  <c r="Q55" i="10" s="1"/>
  <c r="M55" i="10" s="1"/>
  <c r="N55" i="10"/>
  <c r="E54" i="9"/>
  <c r="D54" i="9" s="1"/>
  <c r="C54" i="9" s="1"/>
  <c r="P54" i="9"/>
  <c r="Q54" i="9" s="1"/>
  <c r="M54" i="9" s="1"/>
  <c r="N54" i="9"/>
  <c r="R55" i="9" s="1"/>
  <c r="G55" i="9" l="1"/>
  <c r="B55" i="9" s="1"/>
  <c r="G55" i="10"/>
  <c r="B55" i="10"/>
  <c r="E55" i="10"/>
  <c r="D55" i="10" s="1"/>
  <c r="C55" i="10" s="1"/>
  <c r="P56" i="10"/>
  <c r="Q56" i="10" s="1"/>
  <c r="M56" i="10" s="1"/>
  <c r="N56" i="10"/>
  <c r="E55" i="9"/>
  <c r="D55" i="9" s="1"/>
  <c r="C55" i="9" s="1"/>
  <c r="N55" i="9"/>
  <c r="R56" i="9" s="1"/>
  <c r="P55" i="9"/>
  <c r="Q55" i="9" s="1"/>
  <c r="M55" i="9" s="1"/>
  <c r="G56" i="9" l="1"/>
  <c r="B56" i="9" s="1"/>
  <c r="G56" i="10"/>
  <c r="B56" i="10"/>
  <c r="E56" i="10"/>
  <c r="D56" i="10" s="1"/>
  <c r="C56" i="10" s="1"/>
  <c r="P57" i="10"/>
  <c r="Q57" i="10" s="1"/>
  <c r="M57" i="10" s="1"/>
  <c r="N57" i="10"/>
  <c r="E56" i="9"/>
  <c r="D56" i="9" s="1"/>
  <c r="C56" i="9" s="1"/>
  <c r="P56" i="9"/>
  <c r="Q56" i="9" s="1"/>
  <c r="M56" i="9" s="1"/>
  <c r="N56" i="9"/>
  <c r="R57" i="9" s="1"/>
  <c r="G57" i="9" l="1"/>
  <c r="B57" i="9" s="1"/>
  <c r="G57" i="10"/>
  <c r="B57" i="10" s="1"/>
  <c r="E57" i="10"/>
  <c r="D57" i="10" s="1"/>
  <c r="C57" i="10" s="1"/>
  <c r="P58" i="10"/>
  <c r="Q58" i="10" s="1"/>
  <c r="M58" i="10" s="1"/>
  <c r="N58" i="10"/>
  <c r="E57" i="9"/>
  <c r="D57" i="9" s="1"/>
  <c r="C57" i="9" s="1"/>
  <c r="P57" i="9"/>
  <c r="Q57" i="9" s="1"/>
  <c r="M57" i="9" s="1"/>
  <c r="N57" i="9"/>
  <c r="R58" i="9" s="1"/>
  <c r="G58" i="9" l="1"/>
  <c r="B58" i="9" s="1"/>
  <c r="G58" i="10"/>
  <c r="B58" i="10" s="1"/>
  <c r="E58" i="10"/>
  <c r="D58" i="10" s="1"/>
  <c r="C58" i="10" s="1"/>
  <c r="P59" i="10"/>
  <c r="Q59" i="10" s="1"/>
  <c r="M59" i="10" s="1"/>
  <c r="N59" i="10"/>
  <c r="E58" i="9"/>
  <c r="D58" i="9" s="1"/>
  <c r="C58" i="9" s="1"/>
  <c r="P58" i="9"/>
  <c r="Q58" i="9" s="1"/>
  <c r="M58" i="9" s="1"/>
  <c r="N58" i="9"/>
  <c r="R59" i="9" s="1"/>
  <c r="G59" i="9" l="1"/>
  <c r="B59" i="9" s="1"/>
  <c r="G59" i="10"/>
  <c r="B59" i="10"/>
  <c r="E59" i="10"/>
  <c r="D59" i="10" s="1"/>
  <c r="C59" i="10" s="1"/>
  <c r="P60" i="10"/>
  <c r="Q60" i="10" s="1"/>
  <c r="M60" i="10" s="1"/>
  <c r="N60" i="10"/>
  <c r="E59" i="9"/>
  <c r="D59" i="9" s="1"/>
  <c r="C59" i="9" s="1"/>
  <c r="P59" i="9"/>
  <c r="Q59" i="9" s="1"/>
  <c r="M59" i="9" s="1"/>
  <c r="N59" i="9"/>
  <c r="R60" i="9" s="1"/>
  <c r="G60" i="9" l="1"/>
  <c r="B60" i="9" s="1"/>
  <c r="G60" i="10"/>
  <c r="B60" i="10" s="1"/>
  <c r="E60" i="10"/>
  <c r="D60" i="10" s="1"/>
  <c r="C60" i="10" s="1"/>
  <c r="P61" i="10"/>
  <c r="Q61" i="10" s="1"/>
  <c r="M61" i="10" s="1"/>
  <c r="N61" i="10"/>
  <c r="P60" i="9"/>
  <c r="Q60" i="9" s="1"/>
  <c r="M60" i="9" s="1"/>
  <c r="N60" i="9"/>
  <c r="R61" i="9" s="1"/>
  <c r="E60" i="9"/>
  <c r="D60" i="9" s="1"/>
  <c r="C60" i="9" s="1"/>
  <c r="G61" i="9" l="1"/>
  <c r="B61" i="9" s="1"/>
  <c r="G61" i="10"/>
  <c r="B61" i="10" s="1"/>
  <c r="E61" i="10"/>
  <c r="D61" i="10" s="1"/>
  <c r="C61" i="10" s="1"/>
  <c r="P62" i="10"/>
  <c r="Q62" i="10" s="1"/>
  <c r="M62" i="10" s="1"/>
  <c r="N62" i="10"/>
  <c r="N61" i="9"/>
  <c r="R62" i="9" s="1"/>
  <c r="P61" i="9"/>
  <c r="Q61" i="9" s="1"/>
  <c r="M61" i="9" s="1"/>
  <c r="E61" i="9"/>
  <c r="D61" i="9" s="1"/>
  <c r="C61" i="9" s="1"/>
  <c r="G62" i="9" l="1"/>
  <c r="B62" i="9" s="1"/>
  <c r="G62" i="10"/>
  <c r="B62" i="10"/>
  <c r="E62" i="10"/>
  <c r="D62" i="10" s="1"/>
  <c r="C62" i="10" s="1"/>
  <c r="N63" i="10"/>
  <c r="P63" i="10"/>
  <c r="Q63" i="10" s="1"/>
  <c r="M63" i="10" s="1"/>
  <c r="E62" i="9"/>
  <c r="D62" i="9" s="1"/>
  <c r="C62" i="9" s="1"/>
  <c r="P62" i="9"/>
  <c r="Q62" i="9" s="1"/>
  <c r="M62" i="9" s="1"/>
  <c r="N62" i="9"/>
  <c r="R63" i="9" s="1"/>
  <c r="G63" i="9" l="1"/>
  <c r="B63" i="9" s="1"/>
  <c r="G63" i="10"/>
  <c r="B63" i="10" s="1"/>
  <c r="E63" i="10"/>
  <c r="D63" i="10" s="1"/>
  <c r="C63" i="10" s="1"/>
  <c r="P64" i="10"/>
  <c r="Q64" i="10" s="1"/>
  <c r="M64" i="10" s="1"/>
  <c r="N64" i="10"/>
  <c r="E63" i="9"/>
  <c r="D63" i="9" s="1"/>
  <c r="C63" i="9" s="1"/>
  <c r="P63" i="9"/>
  <c r="Q63" i="9" s="1"/>
  <c r="M63" i="9" s="1"/>
  <c r="N63" i="9"/>
  <c r="R64" i="9" s="1"/>
  <c r="G64" i="9" l="1"/>
  <c r="B64" i="9" s="1"/>
  <c r="G64" i="10"/>
  <c r="B64" i="10" s="1"/>
  <c r="E64" i="10"/>
  <c r="D64" i="10" s="1"/>
  <c r="C64" i="10" s="1"/>
  <c r="P65" i="10"/>
  <c r="Q65" i="10" s="1"/>
  <c r="M65" i="10" s="1"/>
  <c r="N65" i="10"/>
  <c r="E64" i="9"/>
  <c r="D64" i="9" s="1"/>
  <c r="C64" i="9" s="1"/>
  <c r="N64" i="9"/>
  <c r="R65" i="9" s="1"/>
  <c r="P64" i="9"/>
  <c r="Q64" i="9" s="1"/>
  <c r="M64" i="9" s="1"/>
  <c r="G65" i="9" l="1"/>
  <c r="B65" i="9" s="1"/>
  <c r="G65" i="10"/>
  <c r="B65" i="10" s="1"/>
  <c r="E65" i="10"/>
  <c r="D65" i="10" s="1"/>
  <c r="C65" i="10" s="1"/>
  <c r="P66" i="10"/>
  <c r="Q66" i="10" s="1"/>
  <c r="M66" i="10" s="1"/>
  <c r="N66" i="10"/>
  <c r="E65" i="9"/>
  <c r="D65" i="9" s="1"/>
  <c r="C65" i="9" s="1"/>
  <c r="P65" i="9"/>
  <c r="Q65" i="9" s="1"/>
  <c r="M65" i="9" s="1"/>
  <c r="N65" i="9"/>
  <c r="R66" i="9" s="1"/>
  <c r="G66" i="9" l="1"/>
  <c r="B66" i="9" s="1"/>
  <c r="G66" i="10"/>
  <c r="B66" i="10" s="1"/>
  <c r="E66" i="10"/>
  <c r="D66" i="10" s="1"/>
  <c r="C66" i="10" s="1"/>
  <c r="P67" i="10"/>
  <c r="Q67" i="10" s="1"/>
  <c r="M67" i="10" s="1"/>
  <c r="N67" i="10"/>
  <c r="P66" i="9"/>
  <c r="Q66" i="9" s="1"/>
  <c r="M66" i="9" s="1"/>
  <c r="N66" i="9"/>
  <c r="R67" i="9" s="1"/>
  <c r="E66" i="9"/>
  <c r="D66" i="9" s="1"/>
  <c r="C66" i="9" s="1"/>
  <c r="G67" i="9" l="1"/>
  <c r="B67" i="9" s="1"/>
  <c r="G67" i="10"/>
  <c r="B67" i="10" s="1"/>
  <c r="E67" i="10"/>
  <c r="D67" i="10" s="1"/>
  <c r="C67" i="10" s="1"/>
  <c r="P68" i="10"/>
  <c r="Q68" i="10" s="1"/>
  <c r="M68" i="10" s="1"/>
  <c r="N68" i="10"/>
  <c r="E67" i="9"/>
  <c r="D67" i="9" s="1"/>
  <c r="C67" i="9" s="1"/>
  <c r="N67" i="9"/>
  <c r="R68" i="9" s="1"/>
  <c r="P67" i="9"/>
  <c r="Q67" i="9" s="1"/>
  <c r="M67" i="9" s="1"/>
  <c r="G68" i="9" l="1"/>
  <c r="B68" i="9" s="1"/>
  <c r="G68" i="10"/>
  <c r="B68" i="10" s="1"/>
  <c r="E68" i="10"/>
  <c r="D68" i="10" s="1"/>
  <c r="C68" i="10" s="1"/>
  <c r="N69" i="10"/>
  <c r="P69" i="10"/>
  <c r="Q69" i="10" s="1"/>
  <c r="M69" i="10" s="1"/>
  <c r="E68" i="9"/>
  <c r="D68" i="9" s="1"/>
  <c r="C68" i="9" s="1"/>
  <c r="P68" i="9"/>
  <c r="Q68" i="9" s="1"/>
  <c r="M68" i="9" s="1"/>
  <c r="N68" i="9"/>
  <c r="R69" i="9" s="1"/>
  <c r="G69" i="9" l="1"/>
  <c r="B69" i="9" s="1"/>
  <c r="G69" i="10"/>
  <c r="B69" i="10" s="1"/>
  <c r="E69" i="10"/>
  <c r="D69" i="10" s="1"/>
  <c r="C69" i="10" s="1"/>
  <c r="P70" i="10"/>
  <c r="Q70" i="10" s="1"/>
  <c r="M70" i="10" s="1"/>
  <c r="N70" i="10"/>
  <c r="E69" i="9"/>
  <c r="D69" i="9" s="1"/>
  <c r="C69" i="9" s="1"/>
  <c r="P69" i="9"/>
  <c r="Q69" i="9" s="1"/>
  <c r="M69" i="9" s="1"/>
  <c r="N69" i="9"/>
  <c r="R70" i="9" s="1"/>
  <c r="G70" i="9" l="1"/>
  <c r="B70" i="9" s="1"/>
  <c r="G70" i="10"/>
  <c r="B70" i="10" s="1"/>
  <c r="E70" i="10"/>
  <c r="D70" i="10" s="1"/>
  <c r="C70" i="10" s="1"/>
  <c r="N71" i="10"/>
  <c r="P71" i="10"/>
  <c r="Q71" i="10" s="1"/>
  <c r="M71" i="10" s="1"/>
  <c r="E70" i="9"/>
  <c r="D70" i="9" s="1"/>
  <c r="C70" i="9" s="1"/>
  <c r="P70" i="9"/>
  <c r="Q70" i="9" s="1"/>
  <c r="M70" i="9" s="1"/>
  <c r="N70" i="9"/>
  <c r="R71" i="9" s="1"/>
  <c r="G71" i="9" l="1"/>
  <c r="B71" i="9" s="1"/>
  <c r="G71" i="10"/>
  <c r="B71" i="10"/>
  <c r="E71" i="10"/>
  <c r="D71" i="10" s="1"/>
  <c r="C71" i="10" s="1"/>
  <c r="N72" i="10"/>
  <c r="P72" i="10"/>
  <c r="Q72" i="10" s="1"/>
  <c r="M72" i="10" s="1"/>
  <c r="N71" i="9"/>
  <c r="R72" i="9" s="1"/>
  <c r="P71" i="9"/>
  <c r="Q71" i="9" s="1"/>
  <c r="M71" i="9" s="1"/>
  <c r="E71" i="9"/>
  <c r="D71" i="9" s="1"/>
  <c r="C71" i="9" s="1"/>
  <c r="G72" i="9" l="1"/>
  <c r="B72" i="9" s="1"/>
  <c r="G72" i="10"/>
  <c r="B72" i="10"/>
  <c r="E72" i="10"/>
  <c r="D72" i="10" s="1"/>
  <c r="C72" i="10" s="1"/>
  <c r="P73" i="10"/>
  <c r="Q73" i="10" s="1"/>
  <c r="M73" i="10" s="1"/>
  <c r="N73" i="10"/>
  <c r="N72" i="9"/>
  <c r="R73" i="9" s="1"/>
  <c r="P72" i="9"/>
  <c r="Q72" i="9" s="1"/>
  <c r="M72" i="9" s="1"/>
  <c r="E72" i="9"/>
  <c r="D72" i="9" s="1"/>
  <c r="C72" i="9" s="1"/>
  <c r="G73" i="9" l="1"/>
  <c r="B73" i="9" s="1"/>
  <c r="G73" i="10"/>
  <c r="B73" i="10" s="1"/>
  <c r="E73" i="10"/>
  <c r="D73" i="10" s="1"/>
  <c r="C73" i="10" s="1"/>
  <c r="P74" i="10"/>
  <c r="Q74" i="10" s="1"/>
  <c r="M74" i="10" s="1"/>
  <c r="N74" i="10"/>
  <c r="P73" i="9"/>
  <c r="Q73" i="9" s="1"/>
  <c r="M73" i="9" s="1"/>
  <c r="N73" i="9"/>
  <c r="R74" i="9" s="1"/>
  <c r="E73" i="9"/>
  <c r="D73" i="9" s="1"/>
  <c r="C73" i="9" s="1"/>
  <c r="G74" i="9" l="1"/>
  <c r="B74" i="9" s="1"/>
  <c r="G74" i="10"/>
  <c r="B74" i="10"/>
  <c r="E74" i="10"/>
  <c r="D74" i="10" s="1"/>
  <c r="C74" i="10" s="1"/>
  <c r="P75" i="10"/>
  <c r="Q75" i="10" s="1"/>
  <c r="M75" i="10" s="1"/>
  <c r="N75" i="10"/>
  <c r="E74" i="9"/>
  <c r="D74" i="9" s="1"/>
  <c r="C74" i="9" s="1"/>
  <c r="N74" i="9"/>
  <c r="R75" i="9" s="1"/>
  <c r="P74" i="9"/>
  <c r="Q74" i="9" s="1"/>
  <c r="M74" i="9" s="1"/>
  <c r="G75" i="9" l="1"/>
  <c r="B75" i="9" s="1"/>
  <c r="G75" i="10"/>
  <c r="B75" i="10"/>
  <c r="E75" i="10"/>
  <c r="D75" i="10" s="1"/>
  <c r="C75" i="10" s="1"/>
  <c r="P76" i="10"/>
  <c r="Q76" i="10" s="1"/>
  <c r="M76" i="10" s="1"/>
  <c r="N76" i="10"/>
  <c r="E75" i="9"/>
  <c r="D75" i="9" s="1"/>
  <c r="C75" i="9" s="1"/>
  <c r="P75" i="9"/>
  <c r="Q75" i="9" s="1"/>
  <c r="M75" i="9" s="1"/>
  <c r="N75" i="9"/>
  <c r="R76" i="9" s="1"/>
  <c r="G76" i="9" l="1"/>
  <c r="B76" i="9" s="1"/>
  <c r="G76" i="10"/>
  <c r="B76" i="10"/>
  <c r="E76" i="10"/>
  <c r="D76" i="10" s="1"/>
  <c r="C76" i="10" s="1"/>
  <c r="N77" i="10"/>
  <c r="P77" i="10"/>
  <c r="Q77" i="10" s="1"/>
  <c r="M77" i="10" s="1"/>
  <c r="E76" i="9"/>
  <c r="D76" i="9" s="1"/>
  <c r="C76" i="9" s="1"/>
  <c r="P76" i="9"/>
  <c r="Q76" i="9" s="1"/>
  <c r="M76" i="9" s="1"/>
  <c r="N76" i="9"/>
  <c r="R77" i="9" s="1"/>
  <c r="G77" i="9" l="1"/>
  <c r="B77" i="9" s="1"/>
  <c r="G77" i="10"/>
  <c r="B77" i="10" s="1"/>
  <c r="E77" i="10"/>
  <c r="D77" i="10" s="1"/>
  <c r="C77" i="10" s="1"/>
  <c r="P78" i="10"/>
  <c r="Q78" i="10" s="1"/>
  <c r="M78" i="10" s="1"/>
  <c r="N78" i="10"/>
  <c r="N77" i="9"/>
  <c r="R78" i="9" s="1"/>
  <c r="P77" i="9"/>
  <c r="Q77" i="9" s="1"/>
  <c r="M77" i="9" s="1"/>
  <c r="E77" i="9"/>
  <c r="D77" i="9" s="1"/>
  <c r="C77" i="9" s="1"/>
  <c r="G78" i="9" l="1"/>
  <c r="B78" i="9" s="1"/>
  <c r="G78" i="10"/>
  <c r="B78" i="10" s="1"/>
  <c r="E78" i="10"/>
  <c r="D78" i="10" s="1"/>
  <c r="C78" i="10" s="1"/>
  <c r="P79" i="10"/>
  <c r="Q79" i="10" s="1"/>
  <c r="M79" i="10" s="1"/>
  <c r="N79" i="10"/>
  <c r="E78" i="9"/>
  <c r="D78" i="9" s="1"/>
  <c r="C78" i="9" s="1"/>
  <c r="P78" i="9"/>
  <c r="Q78" i="9" s="1"/>
  <c r="M78" i="9" s="1"/>
  <c r="N78" i="9"/>
  <c r="R79" i="9" s="1"/>
  <c r="G79" i="9" l="1"/>
  <c r="B79" i="9" s="1"/>
  <c r="G79" i="10"/>
  <c r="B79" i="10" s="1"/>
  <c r="E79" i="10"/>
  <c r="D79" i="10" s="1"/>
  <c r="C79" i="10" s="1"/>
  <c r="P80" i="10"/>
  <c r="Q80" i="10" s="1"/>
  <c r="M80" i="10" s="1"/>
  <c r="N80" i="10"/>
  <c r="E79" i="9"/>
  <c r="D79" i="9" s="1"/>
  <c r="C79" i="9" s="1"/>
  <c r="P79" i="9"/>
  <c r="Q79" i="9" s="1"/>
  <c r="M79" i="9" s="1"/>
  <c r="N79" i="9"/>
  <c r="R80" i="9" s="1"/>
  <c r="G80" i="9" l="1"/>
  <c r="B80" i="9" s="1"/>
  <c r="G80" i="10"/>
  <c r="B80" i="10" s="1"/>
  <c r="E80" i="10"/>
  <c r="D80" i="10" s="1"/>
  <c r="C80" i="10" s="1"/>
  <c r="P81" i="10"/>
  <c r="Q81" i="10" s="1"/>
  <c r="M81" i="10" s="1"/>
  <c r="N81" i="10"/>
  <c r="N80" i="9"/>
  <c r="R81" i="9" s="1"/>
  <c r="P80" i="9"/>
  <c r="Q80" i="9" s="1"/>
  <c r="M80" i="9" s="1"/>
  <c r="E80" i="9"/>
  <c r="D80" i="9" s="1"/>
  <c r="C80" i="9" s="1"/>
  <c r="G81" i="9" l="1"/>
  <c r="B81" i="9" s="1"/>
  <c r="G81" i="10"/>
  <c r="B81" i="10" s="1"/>
  <c r="E81" i="10"/>
  <c r="D81" i="10" s="1"/>
  <c r="C81" i="10" s="1"/>
  <c r="P82" i="10"/>
  <c r="Q82" i="10" s="1"/>
  <c r="M82" i="10" s="1"/>
  <c r="N82" i="10"/>
  <c r="N81" i="9"/>
  <c r="R82" i="9" s="1"/>
  <c r="P81" i="9"/>
  <c r="Q81" i="9" s="1"/>
  <c r="M81" i="9" s="1"/>
  <c r="E81" i="9"/>
  <c r="D81" i="9" s="1"/>
  <c r="C81" i="9" s="1"/>
  <c r="G82" i="9" l="1"/>
  <c r="B82" i="9" s="1"/>
  <c r="G82" i="10"/>
  <c r="B82" i="10" s="1"/>
  <c r="E82" i="10"/>
  <c r="D82" i="10" s="1"/>
  <c r="C82" i="10" s="1"/>
  <c r="P83" i="10"/>
  <c r="Q83" i="10" s="1"/>
  <c r="M83" i="10" s="1"/>
  <c r="N83" i="10"/>
  <c r="E82" i="9"/>
  <c r="D82" i="9" s="1"/>
  <c r="C82" i="9" s="1"/>
  <c r="P82" i="9"/>
  <c r="Q82" i="9" s="1"/>
  <c r="M82" i="9" s="1"/>
  <c r="N82" i="9"/>
  <c r="R83" i="9" s="1"/>
  <c r="G83" i="9" l="1"/>
  <c r="B83" i="9" s="1"/>
  <c r="G83" i="10"/>
  <c r="B83" i="10"/>
  <c r="E83" i="10"/>
  <c r="D83" i="10" s="1"/>
  <c r="C83" i="10" s="1"/>
  <c r="P84" i="10"/>
  <c r="Q84" i="10" s="1"/>
  <c r="M84" i="10" s="1"/>
  <c r="N84" i="10"/>
  <c r="E83" i="9"/>
  <c r="D83" i="9" s="1"/>
  <c r="C83" i="9" s="1"/>
  <c r="N83" i="9"/>
  <c r="R84" i="9" s="1"/>
  <c r="P83" i="9"/>
  <c r="Q83" i="9" s="1"/>
  <c r="M83" i="9" s="1"/>
  <c r="G84" i="9" l="1"/>
  <c r="B84" i="9" s="1"/>
  <c r="G84" i="10"/>
  <c r="B84" i="10" s="1"/>
  <c r="E84" i="10"/>
  <c r="D84" i="10" s="1"/>
  <c r="C84" i="10" s="1"/>
  <c r="P85" i="10"/>
  <c r="Q85" i="10" s="1"/>
  <c r="M85" i="10" s="1"/>
  <c r="N85" i="10"/>
  <c r="E84" i="9"/>
  <c r="D84" i="9" s="1"/>
  <c r="C84" i="9" s="1"/>
  <c r="P84" i="9"/>
  <c r="Q84" i="9" s="1"/>
  <c r="M84" i="9" s="1"/>
  <c r="N84" i="9"/>
  <c r="R85" i="9" s="1"/>
  <c r="G85" i="9" l="1"/>
  <c r="B85" i="9" s="1"/>
  <c r="G85" i="10"/>
  <c r="B85" i="10" s="1"/>
  <c r="E85" i="10"/>
  <c r="D85" i="10" s="1"/>
  <c r="C85" i="10" s="1"/>
  <c r="N86" i="10"/>
  <c r="P86" i="10"/>
  <c r="Q86" i="10" s="1"/>
  <c r="M86" i="10" s="1"/>
  <c r="P85" i="9"/>
  <c r="Q85" i="9" s="1"/>
  <c r="M85" i="9" s="1"/>
  <c r="N85" i="9"/>
  <c r="R86" i="9" s="1"/>
  <c r="E85" i="9"/>
  <c r="D85" i="9" s="1"/>
  <c r="C85" i="9" s="1"/>
  <c r="G86" i="9" l="1"/>
  <c r="B86" i="9" s="1"/>
  <c r="G86" i="10"/>
  <c r="B86" i="10" s="1"/>
  <c r="E86" i="10"/>
  <c r="D86" i="10" s="1"/>
  <c r="C86" i="10" s="1"/>
  <c r="P87" i="10"/>
  <c r="Q87" i="10" s="1"/>
  <c r="M87" i="10" s="1"/>
  <c r="N87" i="10"/>
  <c r="E86" i="9"/>
  <c r="D86" i="9" s="1"/>
  <c r="C86" i="9" s="1"/>
  <c r="P86" i="9"/>
  <c r="Q86" i="9" s="1"/>
  <c r="M86" i="9" s="1"/>
  <c r="N86" i="9"/>
  <c r="R87" i="9" s="1"/>
  <c r="G87" i="9" l="1"/>
  <c r="B87" i="9" s="1"/>
  <c r="G87" i="10"/>
  <c r="B87" i="10" s="1"/>
  <c r="E87" i="10"/>
  <c r="D87" i="10" s="1"/>
  <c r="C87" i="10" s="1"/>
  <c r="N88" i="10"/>
  <c r="P88" i="10"/>
  <c r="Q88" i="10" s="1"/>
  <c r="M88" i="10" s="1"/>
  <c r="N87" i="9"/>
  <c r="R88" i="9" s="1"/>
  <c r="P87" i="9"/>
  <c r="Q87" i="9" s="1"/>
  <c r="M87" i="9" s="1"/>
  <c r="E87" i="9"/>
  <c r="D87" i="9" s="1"/>
  <c r="C87" i="9" s="1"/>
  <c r="G88" i="9" l="1"/>
  <c r="B88" i="9" s="1"/>
  <c r="G88" i="10"/>
  <c r="B88" i="10"/>
  <c r="E88" i="10"/>
  <c r="D88" i="10" s="1"/>
  <c r="C88" i="10" s="1"/>
  <c r="P89" i="10"/>
  <c r="Q89" i="10" s="1"/>
  <c r="M89" i="10" s="1"/>
  <c r="N89" i="10"/>
  <c r="P88" i="9"/>
  <c r="Q88" i="9" s="1"/>
  <c r="M88" i="9" s="1"/>
  <c r="N88" i="9"/>
  <c r="R89" i="9" s="1"/>
  <c r="E88" i="9"/>
  <c r="D88" i="9" s="1"/>
  <c r="C88" i="9" s="1"/>
  <c r="G89" i="9" l="1"/>
  <c r="B89" i="9" s="1"/>
  <c r="G89" i="10"/>
  <c r="B89" i="10" s="1"/>
  <c r="E89" i="10"/>
  <c r="D89" i="10" s="1"/>
  <c r="C89" i="10" s="1"/>
  <c r="P90" i="10"/>
  <c r="Q90" i="10" s="1"/>
  <c r="M90" i="10" s="1"/>
  <c r="N90" i="10"/>
  <c r="P89" i="9"/>
  <c r="Q89" i="9" s="1"/>
  <c r="M89" i="9" s="1"/>
  <c r="N89" i="9"/>
  <c r="R90" i="9" s="1"/>
  <c r="E89" i="9"/>
  <c r="D89" i="9" s="1"/>
  <c r="C89" i="9" s="1"/>
  <c r="G90" i="9" l="1"/>
  <c r="B90" i="9" s="1"/>
  <c r="G90" i="10"/>
  <c r="B90" i="10" s="1"/>
  <c r="E90" i="10"/>
  <c r="D90" i="10" s="1"/>
  <c r="C90" i="10" s="1"/>
  <c r="N91" i="10"/>
  <c r="P91" i="10"/>
  <c r="Q91" i="10" s="1"/>
  <c r="M91" i="10" s="1"/>
  <c r="E90" i="9"/>
  <c r="D90" i="9" s="1"/>
  <c r="C90" i="9" s="1"/>
  <c r="P90" i="9"/>
  <c r="Q90" i="9" s="1"/>
  <c r="M90" i="9" s="1"/>
  <c r="N90" i="9"/>
  <c r="R91" i="9" s="1"/>
  <c r="G91" i="9" l="1"/>
  <c r="B91" i="9" s="1"/>
  <c r="G91" i="10"/>
  <c r="B91" i="10" s="1"/>
  <c r="E91" i="10"/>
  <c r="D91" i="10" s="1"/>
  <c r="C91" i="10" s="1"/>
  <c r="P92" i="10"/>
  <c r="Q92" i="10" s="1"/>
  <c r="M92" i="10" s="1"/>
  <c r="N92" i="10"/>
  <c r="E91" i="9"/>
  <c r="D91" i="9" s="1"/>
  <c r="C91" i="9" s="1"/>
  <c r="P91" i="9"/>
  <c r="Q91" i="9" s="1"/>
  <c r="M91" i="9" s="1"/>
  <c r="N91" i="9"/>
  <c r="R92" i="9" s="1"/>
  <c r="G92" i="9" l="1"/>
  <c r="B92" i="9" s="1"/>
  <c r="G92" i="10"/>
  <c r="B92" i="10" s="1"/>
  <c r="E92" i="10"/>
  <c r="D92" i="10" s="1"/>
  <c r="C92" i="10" s="1"/>
  <c r="N93" i="10"/>
  <c r="P93" i="10"/>
  <c r="Q93" i="10" s="1"/>
  <c r="M93" i="10" s="1"/>
  <c r="E92" i="9"/>
  <c r="D92" i="9" s="1"/>
  <c r="C92" i="9" s="1"/>
  <c r="P92" i="9"/>
  <c r="Q92" i="9" s="1"/>
  <c r="M92" i="9" s="1"/>
  <c r="N92" i="9"/>
  <c r="R93" i="9" s="1"/>
  <c r="G93" i="9" l="1"/>
  <c r="B93" i="9" s="1"/>
  <c r="G93" i="10"/>
  <c r="B93" i="10" s="1"/>
  <c r="E93" i="10"/>
  <c r="D93" i="10" s="1"/>
  <c r="C93" i="10" s="1"/>
  <c r="P94" i="10"/>
  <c r="Q94" i="10" s="1"/>
  <c r="M94" i="10" s="1"/>
  <c r="N94" i="10"/>
  <c r="P93" i="9"/>
  <c r="Q93" i="9" s="1"/>
  <c r="M93" i="9" s="1"/>
  <c r="N93" i="9"/>
  <c r="R94" i="9" s="1"/>
  <c r="E93" i="9"/>
  <c r="D93" i="9" s="1"/>
  <c r="C93" i="9" s="1"/>
  <c r="G94" i="9" l="1"/>
  <c r="B94" i="9" s="1"/>
  <c r="G94" i="10"/>
  <c r="B94" i="10" s="1"/>
  <c r="E94" i="10"/>
  <c r="D94" i="10" s="1"/>
  <c r="C94" i="10" s="1"/>
  <c r="P95" i="10"/>
  <c r="Q95" i="10" s="1"/>
  <c r="M95" i="10" s="1"/>
  <c r="N95" i="10"/>
  <c r="N94" i="9"/>
  <c r="R95" i="9" s="1"/>
  <c r="P94" i="9"/>
  <c r="Q94" i="9" s="1"/>
  <c r="M94" i="9" s="1"/>
  <c r="E94" i="9"/>
  <c r="D94" i="9" s="1"/>
  <c r="C94" i="9" s="1"/>
  <c r="G95" i="9" l="1"/>
  <c r="B95" i="9" s="1"/>
  <c r="G95" i="10"/>
  <c r="B95" i="10"/>
  <c r="E95" i="10"/>
  <c r="D95" i="10" s="1"/>
  <c r="C95" i="10" s="1"/>
  <c r="N96" i="10"/>
  <c r="P96" i="10"/>
  <c r="Q96" i="10" s="1"/>
  <c r="M96" i="10" s="1"/>
  <c r="P95" i="9"/>
  <c r="Q95" i="9" s="1"/>
  <c r="M95" i="9" s="1"/>
  <c r="N95" i="9"/>
  <c r="R96" i="9" s="1"/>
  <c r="E95" i="9"/>
  <c r="D95" i="9" s="1"/>
  <c r="C95" i="9" s="1"/>
  <c r="G96" i="9" l="1"/>
  <c r="B96" i="9" s="1"/>
  <c r="G96" i="10"/>
  <c r="B96" i="10"/>
  <c r="E96" i="10"/>
  <c r="D96" i="10" s="1"/>
  <c r="C96" i="10" s="1"/>
  <c r="P97" i="10"/>
  <c r="Q97" i="10" s="1"/>
  <c r="M97" i="10" s="1"/>
  <c r="N97" i="10"/>
  <c r="P96" i="9"/>
  <c r="Q96" i="9" s="1"/>
  <c r="M96" i="9" s="1"/>
  <c r="N96" i="9"/>
  <c r="R97" i="9" s="1"/>
  <c r="E96" i="9"/>
  <c r="D96" i="9" s="1"/>
  <c r="C96" i="9" s="1"/>
  <c r="G97" i="9" l="1"/>
  <c r="B97" i="9" s="1"/>
  <c r="G97" i="10"/>
  <c r="B97" i="10" s="1"/>
  <c r="E97" i="10"/>
  <c r="D97" i="10" s="1"/>
  <c r="C97" i="10" s="1"/>
  <c r="N98" i="10"/>
  <c r="P98" i="10"/>
  <c r="Q98" i="10" s="1"/>
  <c r="M98" i="10" s="1"/>
  <c r="P97" i="9"/>
  <c r="Q97" i="9" s="1"/>
  <c r="M97" i="9" s="1"/>
  <c r="N97" i="9"/>
  <c r="R98" i="9" s="1"/>
  <c r="E97" i="9"/>
  <c r="D97" i="9" s="1"/>
  <c r="C97" i="9" s="1"/>
  <c r="G98" i="9" l="1"/>
  <c r="B98" i="9" s="1"/>
  <c r="G98" i="10"/>
  <c r="B98" i="10" s="1"/>
  <c r="E98" i="10"/>
  <c r="D98" i="10" s="1"/>
  <c r="C98" i="10" s="1"/>
  <c r="N99" i="10"/>
  <c r="P99" i="10"/>
  <c r="Q99" i="10" s="1"/>
  <c r="M99" i="10" s="1"/>
  <c r="E98" i="9"/>
  <c r="D98" i="9" s="1"/>
  <c r="C98" i="9" s="1"/>
  <c r="P98" i="9"/>
  <c r="Q98" i="9" s="1"/>
  <c r="M98" i="9" s="1"/>
  <c r="N98" i="9"/>
  <c r="R99" i="9" s="1"/>
  <c r="G99" i="9" l="1"/>
  <c r="B99" i="9" s="1"/>
  <c r="G99" i="10"/>
  <c r="B99" i="10" s="1"/>
  <c r="E99" i="10"/>
  <c r="D99" i="10" s="1"/>
  <c r="C99" i="10" s="1"/>
  <c r="P100" i="10"/>
  <c r="Q100" i="10" s="1"/>
  <c r="M100" i="10" s="1"/>
  <c r="N100" i="10"/>
  <c r="P99" i="9"/>
  <c r="Q99" i="9" s="1"/>
  <c r="M99" i="9" s="1"/>
  <c r="N99" i="9"/>
  <c r="R100" i="9" s="1"/>
  <c r="E99" i="9"/>
  <c r="D99" i="9" s="1"/>
  <c r="C99" i="9" s="1"/>
  <c r="G100" i="9" l="1"/>
  <c r="B100" i="9" s="1"/>
  <c r="G100" i="10"/>
  <c r="B100" i="10" s="1"/>
  <c r="E100" i="10"/>
  <c r="D100" i="10" s="1"/>
  <c r="C100" i="10" s="1"/>
  <c r="P101" i="10"/>
  <c r="Q101" i="10" s="1"/>
  <c r="M101" i="10" s="1"/>
  <c r="N101" i="10"/>
  <c r="E100" i="9"/>
  <c r="D100" i="9" s="1"/>
  <c r="C100" i="9" s="1"/>
  <c r="N100" i="9"/>
  <c r="R101" i="9" s="1"/>
  <c r="P100" i="9"/>
  <c r="Q100" i="9" s="1"/>
  <c r="M100" i="9" s="1"/>
  <c r="G101" i="9" l="1"/>
  <c r="B101" i="9" s="1"/>
  <c r="G101" i="10"/>
  <c r="B101" i="10" s="1"/>
  <c r="E101" i="10"/>
  <c r="D101" i="10" s="1"/>
  <c r="C101" i="10" s="1"/>
  <c r="N102" i="10"/>
  <c r="P102" i="10"/>
  <c r="Q102" i="10" s="1"/>
  <c r="M102" i="10" s="1"/>
  <c r="E101" i="9"/>
  <c r="D101" i="9" s="1"/>
  <c r="C101" i="9" s="1"/>
  <c r="P101" i="9"/>
  <c r="Q101" i="9" s="1"/>
  <c r="M101" i="9" s="1"/>
  <c r="N101" i="9"/>
  <c r="R102" i="9" s="1"/>
  <c r="G102" i="9" l="1"/>
  <c r="B102" i="9" s="1"/>
  <c r="G102" i="10"/>
  <c r="B102" i="10"/>
  <c r="E102" i="10"/>
  <c r="D102" i="10" s="1"/>
  <c r="C102" i="10" s="1"/>
  <c r="N103" i="10"/>
  <c r="P103" i="10"/>
  <c r="Q103" i="10" s="1"/>
  <c r="M103" i="10" s="1"/>
  <c r="E102" i="9"/>
  <c r="D102" i="9" s="1"/>
  <c r="C102" i="9" s="1"/>
  <c r="P102" i="9"/>
  <c r="Q102" i="9" s="1"/>
  <c r="M102" i="9" s="1"/>
  <c r="N102" i="9"/>
  <c r="R103" i="9" s="1"/>
  <c r="G103" i="9" l="1"/>
  <c r="B103" i="9" s="1"/>
  <c r="G103" i="10"/>
  <c r="B103" i="10" s="1"/>
  <c r="E103" i="10"/>
  <c r="D103" i="10" s="1"/>
  <c r="C103" i="10" s="1"/>
  <c r="N104" i="10"/>
  <c r="P104" i="10"/>
  <c r="Q104" i="10" s="1"/>
  <c r="M104" i="10" s="1"/>
  <c r="E103" i="9"/>
  <c r="D103" i="9" s="1"/>
  <c r="C103" i="9" s="1"/>
  <c r="N103" i="9"/>
  <c r="R104" i="9" s="1"/>
  <c r="P103" i="9"/>
  <c r="Q103" i="9" s="1"/>
  <c r="M103" i="9" s="1"/>
  <c r="G104" i="9" l="1"/>
  <c r="B104" i="9" s="1"/>
  <c r="G104" i="10"/>
  <c r="B104" i="10"/>
  <c r="E104" i="10"/>
  <c r="D104" i="10" s="1"/>
  <c r="C104" i="10" s="1"/>
  <c r="N105" i="10"/>
  <c r="P105" i="10"/>
  <c r="Q105" i="10" s="1"/>
  <c r="M105" i="10" s="1"/>
  <c r="E104" i="9"/>
  <c r="D104" i="9" s="1"/>
  <c r="C104" i="9" s="1"/>
  <c r="N104" i="9"/>
  <c r="R105" i="9" s="1"/>
  <c r="P104" i="9"/>
  <c r="Q104" i="9" s="1"/>
  <c r="M104" i="9" s="1"/>
  <c r="G105" i="9" l="1"/>
  <c r="B105" i="9" s="1"/>
  <c r="G105" i="10"/>
  <c r="B105" i="10" s="1"/>
  <c r="E105" i="10"/>
  <c r="D105" i="10" s="1"/>
  <c r="C105" i="10" s="1"/>
  <c r="N106" i="10"/>
  <c r="P106" i="10"/>
  <c r="Q106" i="10" s="1"/>
  <c r="M106" i="10" s="1"/>
  <c r="E105" i="9"/>
  <c r="D105" i="9" s="1"/>
  <c r="C105" i="9" s="1"/>
  <c r="P105" i="9"/>
  <c r="Q105" i="9" s="1"/>
  <c r="M105" i="9" s="1"/>
  <c r="N105" i="9"/>
  <c r="R106" i="9" s="1"/>
  <c r="G106" i="9" l="1"/>
  <c r="B106" i="9" s="1"/>
  <c r="G106" i="10"/>
  <c r="B106" i="10"/>
  <c r="E106" i="10"/>
  <c r="D106" i="10" s="1"/>
  <c r="C106" i="10" s="1"/>
  <c r="P107" i="10"/>
  <c r="Q107" i="10" s="1"/>
  <c r="M107" i="10" s="1"/>
  <c r="N107" i="10"/>
  <c r="E106" i="9"/>
  <c r="D106" i="9" s="1"/>
  <c r="C106" i="9" s="1"/>
  <c r="N106" i="9"/>
  <c r="R107" i="9" s="1"/>
  <c r="P106" i="9"/>
  <c r="Q106" i="9" s="1"/>
  <c r="M106" i="9" s="1"/>
  <c r="G107" i="9" l="1"/>
  <c r="B107" i="9" s="1"/>
  <c r="G107" i="10"/>
  <c r="B107" i="10"/>
  <c r="E107" i="10"/>
  <c r="D107" i="10" s="1"/>
  <c r="C107" i="10" s="1"/>
  <c r="N108" i="10"/>
  <c r="P108" i="10"/>
  <c r="Q108" i="10" s="1"/>
  <c r="M108" i="10" s="1"/>
  <c r="E107" i="9"/>
  <c r="D107" i="9" s="1"/>
  <c r="C107" i="9" s="1"/>
  <c r="P107" i="9"/>
  <c r="Q107" i="9" s="1"/>
  <c r="M107" i="9" s="1"/>
  <c r="N107" i="9"/>
  <c r="R108" i="9" s="1"/>
  <c r="G108" i="9" l="1"/>
  <c r="B108" i="9" s="1"/>
  <c r="G108" i="10"/>
  <c r="B108" i="10" s="1"/>
  <c r="E108" i="10"/>
  <c r="D108" i="10" s="1"/>
  <c r="C108" i="10" s="1"/>
  <c r="P109" i="10"/>
  <c r="Q109" i="10" s="1"/>
  <c r="M109" i="10" s="1"/>
  <c r="N109" i="10"/>
  <c r="E108" i="9"/>
  <c r="D108" i="9" s="1"/>
  <c r="C108" i="9" s="1"/>
  <c r="P108" i="9"/>
  <c r="Q108" i="9" s="1"/>
  <c r="M108" i="9" s="1"/>
  <c r="N108" i="9"/>
  <c r="R109" i="9" s="1"/>
  <c r="G109" i="9" l="1"/>
  <c r="B109" i="9" s="1"/>
  <c r="G109" i="10"/>
  <c r="B109" i="10" s="1"/>
  <c r="E109" i="10"/>
  <c r="D109" i="10" s="1"/>
  <c r="C109" i="10" s="1"/>
  <c r="N110" i="10"/>
  <c r="P110" i="10"/>
  <c r="Q110" i="10" s="1"/>
  <c r="M110" i="10" s="1"/>
  <c r="E109" i="9"/>
  <c r="D109" i="9" s="1"/>
  <c r="C109" i="9" s="1"/>
  <c r="P109" i="9"/>
  <c r="Q109" i="9" s="1"/>
  <c r="M109" i="9" s="1"/>
  <c r="N109" i="9"/>
  <c r="R110" i="9" s="1"/>
  <c r="G110" i="9" l="1"/>
  <c r="B110" i="9" s="1"/>
  <c r="G110" i="10"/>
  <c r="B110" i="10"/>
  <c r="E110" i="10"/>
  <c r="D110" i="10" s="1"/>
  <c r="C110" i="10" s="1"/>
  <c r="N111" i="10"/>
  <c r="P111" i="10"/>
  <c r="Q111" i="10" s="1"/>
  <c r="M111" i="10" s="1"/>
  <c r="E110" i="9"/>
  <c r="D110" i="9" s="1"/>
  <c r="C110" i="9" s="1"/>
  <c r="P110" i="9"/>
  <c r="Q110" i="9" s="1"/>
  <c r="M110" i="9" s="1"/>
  <c r="N110" i="9"/>
  <c r="R111" i="9" s="1"/>
  <c r="G111" i="9" l="1"/>
  <c r="B111" i="9" s="1"/>
  <c r="G111" i="10"/>
  <c r="B111" i="10" s="1"/>
  <c r="E111" i="10"/>
  <c r="D111" i="10" s="1"/>
  <c r="C111" i="10" s="1"/>
  <c r="P112" i="10"/>
  <c r="Q112" i="10" s="1"/>
  <c r="M112" i="10" s="1"/>
  <c r="N112" i="10"/>
  <c r="E111" i="9"/>
  <c r="D111" i="9" s="1"/>
  <c r="C111" i="9" s="1"/>
  <c r="N111" i="9"/>
  <c r="R112" i="9" s="1"/>
  <c r="P111" i="9"/>
  <c r="Q111" i="9" s="1"/>
  <c r="M111" i="9" s="1"/>
  <c r="G112" i="9" l="1"/>
  <c r="B112" i="9" s="1"/>
  <c r="G112" i="10"/>
  <c r="B112" i="10" s="1"/>
  <c r="E112" i="10"/>
  <c r="D112" i="10" s="1"/>
  <c r="C112" i="10" s="1"/>
  <c r="P113" i="10"/>
  <c r="Q113" i="10" s="1"/>
  <c r="M113" i="10" s="1"/>
  <c r="N113" i="10"/>
  <c r="E112" i="9"/>
  <c r="D112" i="9" s="1"/>
  <c r="C112" i="9" s="1"/>
  <c r="N112" i="9"/>
  <c r="R113" i="9" s="1"/>
  <c r="P112" i="9"/>
  <c r="Q112" i="9" s="1"/>
  <c r="M112" i="9" s="1"/>
  <c r="G113" i="9" l="1"/>
  <c r="B113" i="9" s="1"/>
  <c r="G113" i="10"/>
  <c r="B113" i="10" s="1"/>
  <c r="E113" i="10"/>
  <c r="D113" i="10" s="1"/>
  <c r="C113" i="10" s="1"/>
  <c r="N114" i="10"/>
  <c r="P114" i="10"/>
  <c r="Q114" i="10" s="1"/>
  <c r="M114" i="10" s="1"/>
  <c r="E113" i="9"/>
  <c r="D113" i="9" s="1"/>
  <c r="C113" i="9" s="1"/>
  <c r="N113" i="9"/>
  <c r="R114" i="9" s="1"/>
  <c r="P113" i="9"/>
  <c r="Q113" i="9" s="1"/>
  <c r="M113" i="9" s="1"/>
  <c r="G114" i="9" l="1"/>
  <c r="B114" i="9" s="1"/>
  <c r="G114" i="10"/>
  <c r="B114" i="10" s="1"/>
  <c r="E114" i="10"/>
  <c r="D114" i="10" s="1"/>
  <c r="C114" i="10" s="1"/>
  <c r="P115" i="10"/>
  <c r="Q115" i="10" s="1"/>
  <c r="M115" i="10" s="1"/>
  <c r="N115" i="10"/>
  <c r="E114" i="9"/>
  <c r="D114" i="9" s="1"/>
  <c r="C114" i="9" s="1"/>
  <c r="P114" i="9"/>
  <c r="Q114" i="9" s="1"/>
  <c r="M114" i="9" s="1"/>
  <c r="N114" i="9"/>
  <c r="R115" i="9" s="1"/>
  <c r="G115" i="9" l="1"/>
  <c r="B115" i="9" s="1"/>
  <c r="G115" i="10"/>
  <c r="B115" i="10" s="1"/>
  <c r="E115" i="10"/>
  <c r="D115" i="10" s="1"/>
  <c r="C115" i="10" s="1"/>
  <c r="N116" i="10"/>
  <c r="P116" i="10"/>
  <c r="Q116" i="10" s="1"/>
  <c r="M116" i="10" s="1"/>
  <c r="P115" i="9"/>
  <c r="Q115" i="9" s="1"/>
  <c r="M115" i="9" s="1"/>
  <c r="N115" i="9"/>
  <c r="R116" i="9" s="1"/>
  <c r="E115" i="9"/>
  <c r="D115" i="9" s="1"/>
  <c r="C115" i="9" s="1"/>
  <c r="G116" i="9" l="1"/>
  <c r="B116" i="9" s="1"/>
  <c r="G116" i="10"/>
  <c r="B116" i="10"/>
  <c r="E116" i="10"/>
  <c r="D116" i="10" s="1"/>
  <c r="C116" i="10" s="1"/>
  <c r="N117" i="10"/>
  <c r="P117" i="10"/>
  <c r="Q117" i="10" s="1"/>
  <c r="M117" i="10" s="1"/>
  <c r="N116" i="9"/>
  <c r="R117" i="9" s="1"/>
  <c r="P116" i="9"/>
  <c r="Q116" i="9" s="1"/>
  <c r="M116" i="9" s="1"/>
  <c r="E116" i="9"/>
  <c r="D116" i="9" s="1"/>
  <c r="C116" i="9" s="1"/>
  <c r="G117" i="9" l="1"/>
  <c r="B117" i="9" s="1"/>
  <c r="G117" i="10"/>
  <c r="B117" i="10" s="1"/>
  <c r="E117" i="10"/>
  <c r="D117" i="10" s="1"/>
  <c r="C117" i="10" s="1"/>
  <c r="P118" i="10"/>
  <c r="Q118" i="10" s="1"/>
  <c r="M118" i="10" s="1"/>
  <c r="N118" i="10"/>
  <c r="N117" i="9"/>
  <c r="R118" i="9" s="1"/>
  <c r="P117" i="9"/>
  <c r="Q117" i="9" s="1"/>
  <c r="M117" i="9" s="1"/>
  <c r="E117" i="9"/>
  <c r="D117" i="9" s="1"/>
  <c r="C117" i="9" s="1"/>
  <c r="G118" i="9" l="1"/>
  <c r="B118" i="9" s="1"/>
  <c r="G118" i="10"/>
  <c r="B118" i="10" s="1"/>
  <c r="E118" i="10"/>
  <c r="D118" i="10" s="1"/>
  <c r="C118" i="10" s="1"/>
  <c r="P119" i="10"/>
  <c r="Q119" i="10" s="1"/>
  <c r="M119" i="10" s="1"/>
  <c r="N119" i="10"/>
  <c r="E118" i="9"/>
  <c r="D118" i="9" s="1"/>
  <c r="C118" i="9" s="1"/>
  <c r="P118" i="9"/>
  <c r="Q118" i="9" s="1"/>
  <c r="M118" i="9" s="1"/>
  <c r="N118" i="9"/>
  <c r="R119" i="9" s="1"/>
  <c r="G119" i="9" l="1"/>
  <c r="B119" i="9" s="1"/>
  <c r="G119" i="10"/>
  <c r="B119" i="10"/>
  <c r="E119" i="10"/>
  <c r="D119" i="10" s="1"/>
  <c r="C119" i="10" s="1"/>
  <c r="P120" i="10"/>
  <c r="Q120" i="10" s="1"/>
  <c r="M120" i="10" s="1"/>
  <c r="N120" i="10"/>
  <c r="E119" i="9"/>
  <c r="D119" i="9" s="1"/>
  <c r="C119" i="9" s="1"/>
  <c r="N119" i="9"/>
  <c r="R120" i="9" s="1"/>
  <c r="P119" i="9"/>
  <c r="Q119" i="9" s="1"/>
  <c r="M119" i="9" s="1"/>
  <c r="G120" i="9" l="1"/>
  <c r="B120" i="9" s="1"/>
  <c r="G120" i="10"/>
  <c r="B120" i="10" s="1"/>
  <c r="E120" i="10"/>
  <c r="D120" i="10" s="1"/>
  <c r="C120" i="10" s="1"/>
  <c r="P121" i="10"/>
  <c r="Q121" i="10" s="1"/>
  <c r="M121" i="10" s="1"/>
  <c r="N121" i="10"/>
  <c r="E120" i="9"/>
  <c r="D120" i="9" s="1"/>
  <c r="C120" i="9" s="1"/>
  <c r="P120" i="9"/>
  <c r="Q120" i="9" s="1"/>
  <c r="M120" i="9" s="1"/>
  <c r="N120" i="9"/>
  <c r="R121" i="9" s="1"/>
  <c r="G121" i="9" l="1"/>
  <c r="B121" i="9" s="1"/>
  <c r="G121" i="10"/>
  <c r="B121" i="10" s="1"/>
  <c r="E121" i="10"/>
  <c r="D121" i="10" s="1"/>
  <c r="C121" i="10" s="1"/>
  <c r="N122" i="10"/>
  <c r="P122" i="10"/>
  <c r="Q122" i="10" s="1"/>
  <c r="M122" i="10" s="1"/>
  <c r="E121" i="9"/>
  <c r="D121" i="9" s="1"/>
  <c r="C121" i="9" s="1"/>
  <c r="P121" i="9"/>
  <c r="Q121" i="9" s="1"/>
  <c r="M121" i="9" s="1"/>
  <c r="N121" i="9"/>
  <c r="R122" i="9" s="1"/>
  <c r="G122" i="9" l="1"/>
  <c r="B122" i="9" s="1"/>
  <c r="G122" i="10"/>
  <c r="B122" i="10" s="1"/>
  <c r="E122" i="10"/>
  <c r="D122" i="10" s="1"/>
  <c r="C122" i="10" s="1"/>
  <c r="P123" i="10"/>
  <c r="Q123" i="10" s="1"/>
  <c r="M123" i="10" s="1"/>
  <c r="N123" i="10"/>
  <c r="E122" i="9"/>
  <c r="D122" i="9" s="1"/>
  <c r="C122" i="9" s="1"/>
  <c r="P122" i="9"/>
  <c r="Q122" i="9" s="1"/>
  <c r="M122" i="9" s="1"/>
  <c r="N122" i="9"/>
  <c r="R123" i="9" s="1"/>
  <c r="G123" i="9" l="1"/>
  <c r="B123" i="9" s="1"/>
  <c r="G123" i="10"/>
  <c r="B123" i="10" s="1"/>
  <c r="E123" i="10"/>
  <c r="D123" i="10" s="1"/>
  <c r="C123" i="10" s="1"/>
  <c r="N124" i="10"/>
  <c r="P124" i="10"/>
  <c r="Q124" i="10" s="1"/>
  <c r="M124" i="10" s="1"/>
  <c r="E123" i="9"/>
  <c r="D123" i="9" s="1"/>
  <c r="C123" i="9" s="1"/>
  <c r="P123" i="9"/>
  <c r="Q123" i="9" s="1"/>
  <c r="M123" i="9" s="1"/>
  <c r="N123" i="9"/>
  <c r="R124" i="9" s="1"/>
  <c r="G124" i="9" l="1"/>
  <c r="B124" i="9" s="1"/>
  <c r="G124" i="10"/>
  <c r="B124" i="10" s="1"/>
  <c r="E124" i="10"/>
  <c r="D124" i="10" s="1"/>
  <c r="C124" i="10" s="1"/>
  <c r="P125" i="10"/>
  <c r="Q125" i="10" s="1"/>
  <c r="M125" i="10" s="1"/>
  <c r="N125" i="10"/>
  <c r="N124" i="9"/>
  <c r="R125" i="9" s="1"/>
  <c r="P124" i="9"/>
  <c r="Q124" i="9" s="1"/>
  <c r="M124" i="9" s="1"/>
  <c r="E124" i="9"/>
  <c r="D124" i="9" s="1"/>
  <c r="C124" i="9" s="1"/>
  <c r="G125" i="9" l="1"/>
  <c r="B125" i="9" s="1"/>
  <c r="G125" i="10"/>
  <c r="B125" i="10" s="1"/>
  <c r="E125" i="10"/>
  <c r="D125" i="10" s="1"/>
  <c r="C125" i="10" s="1"/>
  <c r="P126" i="10"/>
  <c r="Q126" i="10" s="1"/>
  <c r="M126" i="10" s="1"/>
  <c r="N126" i="10"/>
  <c r="E125" i="9"/>
  <c r="D125" i="9" s="1"/>
  <c r="C125" i="9" s="1"/>
  <c r="P125" i="9"/>
  <c r="Q125" i="9" s="1"/>
  <c r="M125" i="9" s="1"/>
  <c r="N125" i="9"/>
  <c r="R126" i="9" s="1"/>
  <c r="G126" i="9" l="1"/>
  <c r="B126" i="9" s="1"/>
  <c r="G126" i="10"/>
  <c r="B126" i="10" s="1"/>
  <c r="E126" i="10"/>
  <c r="D126" i="10" s="1"/>
  <c r="C126" i="10" s="1"/>
  <c r="P127" i="10"/>
  <c r="Q127" i="10" s="1"/>
  <c r="M127" i="10" s="1"/>
  <c r="N127" i="10"/>
  <c r="E126" i="9"/>
  <c r="D126" i="9" s="1"/>
  <c r="C126" i="9" s="1"/>
  <c r="P126" i="9"/>
  <c r="Q126" i="9" s="1"/>
  <c r="M126" i="9" s="1"/>
  <c r="N126" i="9"/>
  <c r="R127" i="9" s="1"/>
  <c r="G127" i="9" l="1"/>
  <c r="B127" i="9" s="1"/>
  <c r="G127" i="10"/>
  <c r="B127" i="10" s="1"/>
  <c r="E127" i="10"/>
  <c r="D127" i="10" s="1"/>
  <c r="C127" i="10" s="1"/>
  <c r="P128" i="10"/>
  <c r="Q128" i="10" s="1"/>
  <c r="M128" i="10" s="1"/>
  <c r="N128" i="10"/>
  <c r="E127" i="9"/>
  <c r="D127" i="9" s="1"/>
  <c r="C127" i="9" s="1"/>
  <c r="P127" i="9"/>
  <c r="Q127" i="9" s="1"/>
  <c r="M127" i="9" s="1"/>
  <c r="N127" i="9"/>
  <c r="R128" i="9" s="1"/>
  <c r="G128" i="9" l="1"/>
  <c r="B128" i="9" s="1"/>
  <c r="G128" i="10"/>
  <c r="B128" i="10"/>
  <c r="E128" i="10"/>
  <c r="D128" i="10" s="1"/>
  <c r="C128" i="10" s="1"/>
  <c r="P129" i="10"/>
  <c r="Q129" i="10" s="1"/>
  <c r="M129" i="10" s="1"/>
  <c r="N129" i="10"/>
  <c r="P128" i="9"/>
  <c r="Q128" i="9" s="1"/>
  <c r="M128" i="9" s="1"/>
  <c r="N128" i="9"/>
  <c r="R129" i="9" s="1"/>
  <c r="E128" i="9"/>
  <c r="D128" i="9" s="1"/>
  <c r="C128" i="9" s="1"/>
  <c r="G129" i="9" l="1"/>
  <c r="B129" i="9" s="1"/>
  <c r="G129" i="10"/>
  <c r="B129" i="10" s="1"/>
  <c r="E129" i="10"/>
  <c r="D129" i="10" s="1"/>
  <c r="C129" i="10" s="1"/>
  <c r="P130" i="10"/>
  <c r="Q130" i="10" s="1"/>
  <c r="M130" i="10" s="1"/>
  <c r="N130" i="10"/>
  <c r="N129" i="9"/>
  <c r="R130" i="9" s="1"/>
  <c r="P129" i="9"/>
  <c r="Q129" i="9" s="1"/>
  <c r="M129" i="9" s="1"/>
  <c r="E129" i="9"/>
  <c r="D129" i="9" s="1"/>
  <c r="C129" i="9" s="1"/>
  <c r="G130" i="9" l="1"/>
  <c r="B130" i="9" s="1"/>
  <c r="G130" i="10"/>
  <c r="B130" i="10" s="1"/>
  <c r="E130" i="10"/>
  <c r="D130" i="10" s="1"/>
  <c r="C130" i="10" s="1"/>
  <c r="P131" i="10"/>
  <c r="Q131" i="10" s="1"/>
  <c r="M131" i="10" s="1"/>
  <c r="N131" i="10"/>
  <c r="E130" i="9"/>
  <c r="D130" i="9" s="1"/>
  <c r="C130" i="9" s="1"/>
  <c r="P130" i="9"/>
  <c r="Q130" i="9" s="1"/>
  <c r="M130" i="9" s="1"/>
  <c r="N130" i="9"/>
  <c r="R131" i="9" s="1"/>
  <c r="G131" i="9" l="1"/>
  <c r="B131" i="9" s="1"/>
  <c r="G131" i="10"/>
  <c r="B131" i="10" s="1"/>
  <c r="E131" i="10"/>
  <c r="D131" i="10" s="1"/>
  <c r="C131" i="10" s="1"/>
  <c r="P132" i="10"/>
  <c r="Q132" i="10" s="1"/>
  <c r="M132" i="10" s="1"/>
  <c r="N132" i="10"/>
  <c r="E131" i="9"/>
  <c r="D131" i="9" s="1"/>
  <c r="C131" i="9" s="1"/>
  <c r="N131" i="9"/>
  <c r="R132" i="9" s="1"/>
  <c r="P131" i="9"/>
  <c r="Q131" i="9" s="1"/>
  <c r="M131" i="9" s="1"/>
  <c r="G132" i="9" l="1"/>
  <c r="B132" i="9" s="1"/>
  <c r="G132" i="10"/>
  <c r="B132" i="10"/>
  <c r="E132" i="10"/>
  <c r="D132" i="10" s="1"/>
  <c r="C132" i="10" s="1"/>
  <c r="N133" i="10"/>
  <c r="P133" i="10"/>
  <c r="Q133" i="10" s="1"/>
  <c r="M133" i="10" s="1"/>
  <c r="E132" i="9"/>
  <c r="D132" i="9" s="1"/>
  <c r="C132" i="9" s="1"/>
  <c r="N132" i="9"/>
  <c r="R133" i="9" s="1"/>
  <c r="P132" i="9"/>
  <c r="Q132" i="9" s="1"/>
  <c r="M132" i="9" s="1"/>
  <c r="G133" i="9" l="1"/>
  <c r="B133" i="9" s="1"/>
  <c r="G133" i="10"/>
  <c r="B133" i="10" s="1"/>
  <c r="E133" i="10"/>
  <c r="D133" i="10" s="1"/>
  <c r="C133" i="10" s="1"/>
  <c r="P134" i="10"/>
  <c r="Q134" i="10" s="1"/>
  <c r="M134" i="10" s="1"/>
  <c r="N134" i="10"/>
  <c r="E133" i="9"/>
  <c r="D133" i="9" s="1"/>
  <c r="C133" i="9" s="1"/>
  <c r="N133" i="9"/>
  <c r="R134" i="9" s="1"/>
  <c r="P133" i="9"/>
  <c r="Q133" i="9" s="1"/>
  <c r="M133" i="9" s="1"/>
  <c r="G134" i="9" l="1"/>
  <c r="B134" i="9" s="1"/>
  <c r="G134" i="10"/>
  <c r="B134" i="10" s="1"/>
  <c r="E134" i="10"/>
  <c r="D134" i="10" s="1"/>
  <c r="C134" i="10" s="1"/>
  <c r="N135" i="10"/>
  <c r="P135" i="10"/>
  <c r="Q135" i="10" s="1"/>
  <c r="M135" i="10" s="1"/>
  <c r="E134" i="9"/>
  <c r="D134" i="9" s="1"/>
  <c r="C134" i="9" s="1"/>
  <c r="P134" i="9"/>
  <c r="Q134" i="9" s="1"/>
  <c r="M134" i="9" s="1"/>
  <c r="N134" i="9"/>
  <c r="R135" i="9" s="1"/>
  <c r="G135" i="9" l="1"/>
  <c r="B135" i="9" s="1"/>
  <c r="G135" i="10"/>
  <c r="B135" i="10" s="1"/>
  <c r="E135" i="10"/>
  <c r="D135" i="10" s="1"/>
  <c r="C135" i="10" s="1"/>
  <c r="P136" i="10"/>
  <c r="Q136" i="10" s="1"/>
  <c r="M136" i="10" s="1"/>
  <c r="N136" i="10"/>
  <c r="E135" i="9"/>
  <c r="D135" i="9" s="1"/>
  <c r="C135" i="9" s="1"/>
  <c r="N135" i="9"/>
  <c r="R136" i="9" s="1"/>
  <c r="P135" i="9"/>
  <c r="Q135" i="9" s="1"/>
  <c r="M135" i="9" s="1"/>
  <c r="G136" i="9" l="1"/>
  <c r="B136" i="9" s="1"/>
  <c r="G136" i="10"/>
  <c r="B136" i="10" s="1"/>
  <c r="E136" i="10"/>
  <c r="D136" i="10" s="1"/>
  <c r="C136" i="10" s="1"/>
  <c r="P137" i="10"/>
  <c r="Q137" i="10" s="1"/>
  <c r="M137" i="10" s="1"/>
  <c r="N137" i="10"/>
  <c r="E136" i="9"/>
  <c r="D136" i="9" s="1"/>
  <c r="C136" i="9" s="1"/>
  <c r="N136" i="9"/>
  <c r="R137" i="9" s="1"/>
  <c r="P136" i="9"/>
  <c r="Q136" i="9" s="1"/>
  <c r="M136" i="9" s="1"/>
  <c r="G137" i="9" l="1"/>
  <c r="B137" i="9" s="1"/>
  <c r="G137" i="10"/>
  <c r="B137" i="10" s="1"/>
  <c r="E137" i="10"/>
  <c r="D137" i="10" s="1"/>
  <c r="C137" i="10" s="1"/>
  <c r="N138" i="10"/>
  <c r="P138" i="10"/>
  <c r="Q138" i="10" s="1"/>
  <c r="M138" i="10" s="1"/>
  <c r="E137" i="9"/>
  <c r="D137" i="9" s="1"/>
  <c r="C137" i="9" s="1"/>
  <c r="P137" i="9"/>
  <c r="Q137" i="9" s="1"/>
  <c r="M137" i="9" s="1"/>
  <c r="N137" i="9"/>
  <c r="R138" i="9" s="1"/>
  <c r="G138" i="9" l="1"/>
  <c r="B138" i="9" s="1"/>
  <c r="G138" i="10"/>
  <c r="B138" i="10"/>
  <c r="E138" i="10"/>
  <c r="D138" i="10" s="1"/>
  <c r="C138" i="10" s="1"/>
  <c r="N139" i="10"/>
  <c r="P139" i="10"/>
  <c r="Q139" i="10" s="1"/>
  <c r="M139" i="10" s="1"/>
  <c r="E138" i="9"/>
  <c r="D138" i="9" s="1"/>
  <c r="C138" i="9" s="1"/>
  <c r="N138" i="9"/>
  <c r="R139" i="9" s="1"/>
  <c r="P138" i="9"/>
  <c r="Q138" i="9" s="1"/>
  <c r="M138" i="9" s="1"/>
  <c r="G139" i="9" l="1"/>
  <c r="B139" i="9" s="1"/>
  <c r="G139" i="10"/>
  <c r="B139" i="10"/>
  <c r="E139" i="10"/>
  <c r="D139" i="10" s="1"/>
  <c r="C139" i="10" s="1"/>
  <c r="P140" i="10"/>
  <c r="Q140" i="10" s="1"/>
  <c r="M140" i="10" s="1"/>
  <c r="N140" i="10"/>
  <c r="E139" i="9"/>
  <c r="D139" i="9" s="1"/>
  <c r="C139" i="9" s="1"/>
  <c r="P139" i="9"/>
  <c r="Q139" i="9" s="1"/>
  <c r="M139" i="9" s="1"/>
  <c r="N139" i="9"/>
  <c r="R140" i="9" s="1"/>
  <c r="G140" i="9" l="1"/>
  <c r="B140" i="9" s="1"/>
  <c r="G140" i="10"/>
  <c r="B140" i="10"/>
  <c r="E140" i="10"/>
  <c r="D140" i="10" s="1"/>
  <c r="C140" i="10" s="1"/>
  <c r="N141" i="10"/>
  <c r="P141" i="10"/>
  <c r="Q141" i="10" s="1"/>
  <c r="M141" i="10" s="1"/>
  <c r="E140" i="9"/>
  <c r="D140" i="9" s="1"/>
  <c r="C140" i="9" s="1"/>
  <c r="P140" i="9"/>
  <c r="Q140" i="9" s="1"/>
  <c r="M140" i="9" s="1"/>
  <c r="N140" i="9"/>
  <c r="R141" i="9" s="1"/>
  <c r="G141" i="9" l="1"/>
  <c r="B141" i="9" s="1"/>
  <c r="G141" i="10"/>
  <c r="B141" i="10" s="1"/>
  <c r="E141" i="10"/>
  <c r="D141" i="10" s="1"/>
  <c r="C141" i="10" s="1"/>
  <c r="P142" i="10"/>
  <c r="Q142" i="10" s="1"/>
  <c r="M142" i="10" s="1"/>
  <c r="N142" i="10"/>
  <c r="E141" i="9"/>
  <c r="D141" i="9" s="1"/>
  <c r="C141" i="9" s="1"/>
  <c r="P141" i="9"/>
  <c r="Q141" i="9" s="1"/>
  <c r="M141" i="9" s="1"/>
  <c r="N141" i="9"/>
  <c r="R142" i="9" s="1"/>
  <c r="G142" i="9" l="1"/>
  <c r="B142" i="9" s="1"/>
  <c r="G142" i="10"/>
  <c r="B142" i="10"/>
  <c r="E142" i="10"/>
  <c r="D142" i="10" s="1"/>
  <c r="C142" i="10" s="1"/>
  <c r="P143" i="10"/>
  <c r="Q143" i="10" s="1"/>
  <c r="M143" i="10" s="1"/>
  <c r="N143" i="10"/>
  <c r="P142" i="9"/>
  <c r="Q142" i="9" s="1"/>
  <c r="M142" i="9" s="1"/>
  <c r="N142" i="9"/>
  <c r="R143" i="9" s="1"/>
  <c r="E142" i="9"/>
  <c r="D142" i="9" s="1"/>
  <c r="C142" i="9" s="1"/>
  <c r="G143" i="9" l="1"/>
  <c r="B143" i="9" s="1"/>
  <c r="G143" i="10"/>
  <c r="B143" i="10"/>
  <c r="E143" i="10"/>
  <c r="D143" i="10" s="1"/>
  <c r="C143" i="10" s="1"/>
  <c r="P144" i="10"/>
  <c r="Q144" i="10" s="1"/>
  <c r="M144" i="10" s="1"/>
  <c r="N144" i="10"/>
  <c r="E143" i="9"/>
  <c r="D143" i="9" s="1"/>
  <c r="C143" i="9" s="1"/>
  <c r="N143" i="9"/>
  <c r="R144" i="9" s="1"/>
  <c r="P143" i="9"/>
  <c r="Q143" i="9" s="1"/>
  <c r="M143" i="9" s="1"/>
  <c r="G144" i="9" l="1"/>
  <c r="B144" i="9" s="1"/>
  <c r="G144" i="10"/>
  <c r="B144" i="10" s="1"/>
  <c r="E144" i="10"/>
  <c r="D144" i="10" s="1"/>
  <c r="C144" i="10" s="1"/>
  <c r="P145" i="10"/>
  <c r="Q145" i="10" s="1"/>
  <c r="M145" i="10" s="1"/>
  <c r="N145" i="10"/>
  <c r="E144" i="9"/>
  <c r="D144" i="9" s="1"/>
  <c r="C144" i="9" s="1"/>
  <c r="N144" i="9"/>
  <c r="R145" i="9" s="1"/>
  <c r="P144" i="9"/>
  <c r="Q144" i="9" s="1"/>
  <c r="M144" i="9" s="1"/>
  <c r="G145" i="9" l="1"/>
  <c r="B145" i="9" s="1"/>
  <c r="G145" i="10"/>
  <c r="B145" i="10" s="1"/>
  <c r="E145" i="10"/>
  <c r="D145" i="10" s="1"/>
  <c r="C145" i="10" s="1"/>
  <c r="P146" i="10"/>
  <c r="Q146" i="10" s="1"/>
  <c r="M146" i="10" s="1"/>
  <c r="N146" i="10"/>
  <c r="E145" i="9"/>
  <c r="D145" i="9" s="1"/>
  <c r="C145" i="9" s="1"/>
  <c r="N145" i="9"/>
  <c r="R146" i="9" s="1"/>
  <c r="P145" i="9"/>
  <c r="Q145" i="9" s="1"/>
  <c r="M145" i="9" s="1"/>
  <c r="G146" i="9" l="1"/>
  <c r="B146" i="9" s="1"/>
  <c r="G146" i="10"/>
  <c r="B146" i="10" s="1"/>
  <c r="E146" i="10"/>
  <c r="D146" i="10" s="1"/>
  <c r="C146" i="10" s="1"/>
  <c r="P147" i="10"/>
  <c r="Q147" i="10" s="1"/>
  <c r="M147" i="10" s="1"/>
  <c r="N147" i="10"/>
  <c r="E146" i="9"/>
  <c r="D146" i="9" s="1"/>
  <c r="C146" i="9" s="1"/>
  <c r="N146" i="9"/>
  <c r="R147" i="9" s="1"/>
  <c r="P146" i="9"/>
  <c r="Q146" i="9" s="1"/>
  <c r="M146" i="9" s="1"/>
  <c r="G147" i="9" l="1"/>
  <c r="B147" i="9" s="1"/>
  <c r="G147" i="10"/>
  <c r="B147" i="10" s="1"/>
  <c r="E147" i="10"/>
  <c r="D147" i="10" s="1"/>
  <c r="C147" i="10" s="1"/>
  <c r="P148" i="10"/>
  <c r="Q148" i="10" s="1"/>
  <c r="M148" i="10" s="1"/>
  <c r="N148" i="10"/>
  <c r="E147" i="9"/>
  <c r="D147" i="9" s="1"/>
  <c r="C147" i="9" s="1"/>
  <c r="N147" i="9"/>
  <c r="R148" i="9" s="1"/>
  <c r="P147" i="9"/>
  <c r="Q147" i="9" s="1"/>
  <c r="M147" i="9" s="1"/>
  <c r="G148" i="9" l="1"/>
  <c r="B148" i="9" s="1"/>
  <c r="G148" i="10"/>
  <c r="B148" i="10"/>
  <c r="E148" i="10"/>
  <c r="D148" i="10" s="1"/>
  <c r="C148" i="10" s="1"/>
  <c r="N149" i="10"/>
  <c r="P149" i="10"/>
  <c r="Q149" i="10" s="1"/>
  <c r="M149" i="10" s="1"/>
  <c r="P148" i="9"/>
  <c r="Q148" i="9" s="1"/>
  <c r="M148" i="9" s="1"/>
  <c r="N148" i="9"/>
  <c r="R149" i="9" s="1"/>
  <c r="E148" i="9"/>
  <c r="D148" i="9" s="1"/>
  <c r="C148" i="9" s="1"/>
  <c r="G149" i="9" l="1"/>
  <c r="B149" i="9" s="1"/>
  <c r="G149" i="10"/>
  <c r="B149" i="10"/>
  <c r="E149" i="10"/>
  <c r="D149" i="10" s="1"/>
  <c r="C149" i="10" s="1"/>
  <c r="P150" i="10"/>
  <c r="Q150" i="10" s="1"/>
  <c r="M150" i="10" s="1"/>
  <c r="N150" i="10"/>
  <c r="N149" i="9"/>
  <c r="R150" i="9" s="1"/>
  <c r="P149" i="9"/>
  <c r="Q149" i="9" s="1"/>
  <c r="M149" i="9" s="1"/>
  <c r="E149" i="9"/>
  <c r="D149" i="9" s="1"/>
  <c r="C149" i="9" s="1"/>
  <c r="G150" i="9" l="1"/>
  <c r="B150" i="9" s="1"/>
  <c r="G150" i="10"/>
  <c r="B150" i="10"/>
  <c r="E150" i="10"/>
  <c r="D150" i="10" s="1"/>
  <c r="C150" i="10" s="1"/>
  <c r="P151" i="10"/>
  <c r="Q151" i="10" s="1"/>
  <c r="M151" i="10" s="1"/>
  <c r="N151" i="10"/>
  <c r="E150" i="9"/>
  <c r="D150" i="9" s="1"/>
  <c r="C150" i="9" s="1"/>
  <c r="P150" i="9"/>
  <c r="Q150" i="9" s="1"/>
  <c r="M150" i="9" s="1"/>
  <c r="N150" i="9"/>
  <c r="R151" i="9" s="1"/>
  <c r="G151" i="9" l="1"/>
  <c r="B151" i="9" s="1"/>
  <c r="G151" i="10"/>
  <c r="B151" i="10" s="1"/>
  <c r="E151" i="10"/>
  <c r="D151" i="10" s="1"/>
  <c r="C151" i="10" s="1"/>
  <c r="P152" i="10"/>
  <c r="Q152" i="10" s="1"/>
  <c r="M152" i="10" s="1"/>
  <c r="N152" i="10"/>
  <c r="N151" i="9"/>
  <c r="R152" i="9" s="1"/>
  <c r="P151" i="9"/>
  <c r="Q151" i="9" s="1"/>
  <c r="M151" i="9" s="1"/>
  <c r="E151" i="9"/>
  <c r="D151" i="9" s="1"/>
  <c r="C151" i="9" s="1"/>
  <c r="G152" i="9" l="1"/>
  <c r="B152" i="9" s="1"/>
  <c r="G152" i="10"/>
  <c r="B152" i="10" s="1"/>
  <c r="E152" i="10"/>
  <c r="D152" i="10" s="1"/>
  <c r="C152" i="10" s="1"/>
  <c r="N153" i="10"/>
  <c r="P153" i="10"/>
  <c r="Q153" i="10" s="1"/>
  <c r="M153" i="10" s="1"/>
  <c r="P152" i="9"/>
  <c r="Q152" i="9" s="1"/>
  <c r="M152" i="9" s="1"/>
  <c r="N152" i="9"/>
  <c r="R153" i="9" s="1"/>
  <c r="E152" i="9"/>
  <c r="D152" i="9" s="1"/>
  <c r="C152" i="9" s="1"/>
  <c r="G153" i="9" l="1"/>
  <c r="B153" i="9" s="1"/>
  <c r="G153" i="10"/>
  <c r="B153" i="10" s="1"/>
  <c r="E153" i="10"/>
  <c r="D153" i="10" s="1"/>
  <c r="C153" i="10" s="1"/>
  <c r="P154" i="10"/>
  <c r="Q154" i="10" s="1"/>
  <c r="M154" i="10" s="1"/>
  <c r="N154" i="10"/>
  <c r="N153" i="9"/>
  <c r="R154" i="9" s="1"/>
  <c r="P153" i="9"/>
  <c r="Q153" i="9" s="1"/>
  <c r="M153" i="9" s="1"/>
  <c r="E153" i="9"/>
  <c r="D153" i="9" s="1"/>
  <c r="C153" i="9" s="1"/>
  <c r="G154" i="9" l="1"/>
  <c r="B154" i="9" s="1"/>
  <c r="G154" i="10"/>
  <c r="B154" i="10"/>
  <c r="E154" i="10"/>
  <c r="D154" i="10" s="1"/>
  <c r="C154" i="10" s="1"/>
  <c r="P155" i="10"/>
  <c r="Q155" i="10" s="1"/>
  <c r="M155" i="10" s="1"/>
  <c r="N155" i="10"/>
  <c r="N154" i="9"/>
  <c r="R155" i="9" s="1"/>
  <c r="P154" i="9"/>
  <c r="Q154" i="9" s="1"/>
  <c r="M154" i="9" s="1"/>
  <c r="E154" i="9"/>
  <c r="D154" i="9" s="1"/>
  <c r="C154" i="9" s="1"/>
  <c r="G155" i="9" l="1"/>
  <c r="B155" i="9" s="1"/>
  <c r="G155" i="10"/>
  <c r="B155" i="10"/>
  <c r="E155" i="10"/>
  <c r="D155" i="10" s="1"/>
  <c r="C155" i="10" s="1"/>
  <c r="N156" i="10"/>
  <c r="P156" i="10"/>
  <c r="Q156" i="10" s="1"/>
  <c r="M156" i="10" s="1"/>
  <c r="E155" i="9"/>
  <c r="D155" i="9" s="1"/>
  <c r="C155" i="9" s="1"/>
  <c r="P155" i="9"/>
  <c r="Q155" i="9" s="1"/>
  <c r="M155" i="9" s="1"/>
  <c r="N155" i="9"/>
  <c r="R156" i="9" s="1"/>
  <c r="G156" i="9" l="1"/>
  <c r="B156" i="9" s="1"/>
  <c r="G156" i="10"/>
  <c r="B156" i="10" s="1"/>
  <c r="E156" i="10"/>
  <c r="D156" i="10" s="1"/>
  <c r="C156" i="10" s="1"/>
  <c r="N157" i="10"/>
  <c r="P157" i="10"/>
  <c r="Q157" i="10" s="1"/>
  <c r="M157" i="10" s="1"/>
  <c r="E156" i="9"/>
  <c r="D156" i="9" s="1"/>
  <c r="C156" i="9" s="1"/>
  <c r="P156" i="9"/>
  <c r="Q156" i="9" s="1"/>
  <c r="M156" i="9" s="1"/>
  <c r="N156" i="9"/>
  <c r="R157" i="9" s="1"/>
  <c r="G157" i="9" l="1"/>
  <c r="B157" i="9" s="1"/>
  <c r="G157" i="10"/>
  <c r="B157" i="10" s="1"/>
  <c r="E157" i="10"/>
  <c r="D157" i="10" s="1"/>
  <c r="C157" i="10" s="1"/>
  <c r="P158" i="10"/>
  <c r="Q158" i="10" s="1"/>
  <c r="M158" i="10" s="1"/>
  <c r="N158" i="10"/>
  <c r="E157" i="9"/>
  <c r="D157" i="9" s="1"/>
  <c r="C157" i="9" s="1"/>
  <c r="N157" i="9"/>
  <c r="R158" i="9" s="1"/>
  <c r="P157" i="9"/>
  <c r="Q157" i="9" s="1"/>
  <c r="M157" i="9" s="1"/>
  <c r="G158" i="9" l="1"/>
  <c r="B158" i="9" s="1"/>
  <c r="G158" i="10"/>
  <c r="B158" i="10" s="1"/>
  <c r="E158" i="10"/>
  <c r="D158" i="10" s="1"/>
  <c r="C158" i="10" s="1"/>
  <c r="N159" i="10"/>
  <c r="P159" i="10"/>
  <c r="Q159" i="10" s="1"/>
  <c r="M159" i="10" s="1"/>
  <c r="E158" i="9"/>
  <c r="D158" i="9" s="1"/>
  <c r="C158" i="9" s="1"/>
  <c r="N158" i="9"/>
  <c r="R159" i="9" s="1"/>
  <c r="P158" i="9"/>
  <c r="Q158" i="9" s="1"/>
  <c r="M158" i="9" s="1"/>
  <c r="G159" i="9" l="1"/>
  <c r="B159" i="9" s="1"/>
  <c r="G159" i="10"/>
  <c r="B159" i="10" s="1"/>
  <c r="E159" i="10"/>
  <c r="D159" i="10" s="1"/>
  <c r="C159" i="10" s="1"/>
  <c r="N160" i="10"/>
  <c r="P160" i="10"/>
  <c r="Q160" i="10" s="1"/>
  <c r="M160" i="10" s="1"/>
  <c r="E159" i="9"/>
  <c r="D159" i="9" s="1"/>
  <c r="C159" i="9" s="1"/>
  <c r="P159" i="9"/>
  <c r="Q159" i="9" s="1"/>
  <c r="M159" i="9" s="1"/>
  <c r="N159" i="9"/>
  <c r="R160" i="9" s="1"/>
  <c r="G160" i="9" l="1"/>
  <c r="B160" i="9" s="1"/>
  <c r="G160" i="10"/>
  <c r="B160" i="10" s="1"/>
  <c r="E160" i="10"/>
  <c r="D160" i="10" s="1"/>
  <c r="C160" i="10" s="1"/>
  <c r="P161" i="10"/>
  <c r="Q161" i="10" s="1"/>
  <c r="M161" i="10" s="1"/>
  <c r="N161" i="10"/>
  <c r="E160" i="9"/>
  <c r="D160" i="9" s="1"/>
  <c r="C160" i="9" s="1"/>
  <c r="P160" i="9"/>
  <c r="Q160" i="9" s="1"/>
  <c r="M160" i="9" s="1"/>
  <c r="N160" i="9"/>
  <c r="R161" i="9" s="1"/>
  <c r="G161" i="9" l="1"/>
  <c r="B161" i="9" s="1"/>
  <c r="G161" i="10"/>
  <c r="B161" i="10" s="1"/>
  <c r="E161" i="10"/>
  <c r="D161" i="10" s="1"/>
  <c r="C161" i="10" s="1"/>
  <c r="P162" i="10"/>
  <c r="Q162" i="10" s="1"/>
  <c r="M162" i="10" s="1"/>
  <c r="N162" i="10"/>
  <c r="N161" i="9"/>
  <c r="R162" i="9" s="1"/>
  <c r="P161" i="9"/>
  <c r="Q161" i="9" s="1"/>
  <c r="M161" i="9" s="1"/>
  <c r="E161" i="9"/>
  <c r="D161" i="9" s="1"/>
  <c r="C161" i="9" s="1"/>
  <c r="G162" i="9" l="1"/>
  <c r="B162" i="9" s="1"/>
  <c r="G162" i="10"/>
  <c r="B162" i="10" s="1"/>
  <c r="E162" i="10"/>
  <c r="D162" i="10" s="1"/>
  <c r="C162" i="10" s="1"/>
  <c r="P163" i="10"/>
  <c r="Q163" i="10" s="1"/>
  <c r="M163" i="10" s="1"/>
  <c r="N163" i="10"/>
  <c r="E162" i="9"/>
  <c r="D162" i="9" s="1"/>
  <c r="C162" i="9" s="1"/>
  <c r="N162" i="9"/>
  <c r="R163" i="9" s="1"/>
  <c r="P162" i="9"/>
  <c r="Q162" i="9" s="1"/>
  <c r="M162" i="9" s="1"/>
  <c r="G163" i="9" l="1"/>
  <c r="B163" i="9" s="1"/>
  <c r="G163" i="10"/>
  <c r="B163" i="10" s="1"/>
  <c r="E163" i="10"/>
  <c r="D163" i="10" s="1"/>
  <c r="C163" i="10" s="1"/>
  <c r="N164" i="10"/>
  <c r="P164" i="10"/>
  <c r="Q164" i="10" s="1"/>
  <c r="M164" i="10" s="1"/>
  <c r="E163" i="9"/>
  <c r="D163" i="9" s="1"/>
  <c r="C163" i="9" s="1"/>
  <c r="P163" i="9"/>
  <c r="Q163" i="9" s="1"/>
  <c r="M163" i="9" s="1"/>
  <c r="N163" i="9"/>
  <c r="R164" i="9" s="1"/>
  <c r="G164" i="9" l="1"/>
  <c r="B164" i="9" s="1"/>
  <c r="G164" i="10"/>
  <c r="B164" i="10" s="1"/>
  <c r="E164" i="10"/>
  <c r="D164" i="10" s="1"/>
  <c r="C164" i="10" s="1"/>
  <c r="P165" i="10"/>
  <c r="Q165" i="10" s="1"/>
  <c r="M165" i="10" s="1"/>
  <c r="N165" i="10"/>
  <c r="N164" i="9"/>
  <c r="R165" i="9" s="1"/>
  <c r="P164" i="9"/>
  <c r="Q164" i="9" s="1"/>
  <c r="M164" i="9" s="1"/>
  <c r="E164" i="9"/>
  <c r="D164" i="9" s="1"/>
  <c r="C164" i="9" s="1"/>
  <c r="G165" i="9" l="1"/>
  <c r="B165" i="9" s="1"/>
  <c r="G165" i="10"/>
  <c r="B165" i="10" s="1"/>
  <c r="E165" i="10"/>
  <c r="D165" i="10" s="1"/>
  <c r="C165" i="10" s="1"/>
  <c r="P166" i="10"/>
  <c r="Q166" i="10" s="1"/>
  <c r="M166" i="10" s="1"/>
  <c r="N166" i="10"/>
  <c r="P165" i="9"/>
  <c r="Q165" i="9" s="1"/>
  <c r="M165" i="9" s="1"/>
  <c r="N165" i="9"/>
  <c r="R166" i="9" s="1"/>
  <c r="E165" i="9"/>
  <c r="D165" i="9" s="1"/>
  <c r="C165" i="9" s="1"/>
  <c r="G166" i="9" l="1"/>
  <c r="B166" i="9" s="1"/>
  <c r="G166" i="10"/>
  <c r="B166" i="10" s="1"/>
  <c r="E166" i="10"/>
  <c r="D166" i="10" s="1"/>
  <c r="C166" i="10" s="1"/>
  <c r="P167" i="10"/>
  <c r="Q167" i="10" s="1"/>
  <c r="M167" i="10" s="1"/>
  <c r="N167" i="10"/>
  <c r="P166" i="9"/>
  <c r="Q166" i="9" s="1"/>
  <c r="M166" i="9" s="1"/>
  <c r="N166" i="9"/>
  <c r="R167" i="9" s="1"/>
  <c r="E166" i="9"/>
  <c r="D166" i="9" s="1"/>
  <c r="C166" i="9" s="1"/>
  <c r="G167" i="9" l="1"/>
  <c r="B167" i="9" s="1"/>
  <c r="G167" i="10"/>
  <c r="B167" i="10"/>
  <c r="E167" i="10"/>
  <c r="D167" i="10" s="1"/>
  <c r="C167" i="10" s="1"/>
  <c r="N168" i="10"/>
  <c r="P168" i="10"/>
  <c r="Q168" i="10" s="1"/>
  <c r="M168" i="10" s="1"/>
  <c r="N167" i="9"/>
  <c r="R168" i="9" s="1"/>
  <c r="P167" i="9"/>
  <c r="Q167" i="9" s="1"/>
  <c r="M167" i="9" s="1"/>
  <c r="E167" i="9"/>
  <c r="D167" i="9" s="1"/>
  <c r="C167" i="9" s="1"/>
  <c r="G168" i="9" l="1"/>
  <c r="B168" i="9" s="1"/>
  <c r="G168" i="10"/>
  <c r="B168" i="10" s="1"/>
  <c r="E168" i="10"/>
  <c r="D168" i="10" s="1"/>
  <c r="C168" i="10" s="1"/>
  <c r="N169" i="10"/>
  <c r="P169" i="10"/>
  <c r="Q169" i="10" s="1"/>
  <c r="M169" i="10" s="1"/>
  <c r="E168" i="9"/>
  <c r="D168" i="9" s="1"/>
  <c r="C168" i="9" s="1"/>
  <c r="N168" i="9"/>
  <c r="R169" i="9" s="1"/>
  <c r="P168" i="9"/>
  <c r="Q168" i="9" s="1"/>
  <c r="M168" i="9" s="1"/>
  <c r="G169" i="9" l="1"/>
  <c r="B169" i="9" s="1"/>
  <c r="G169" i="10"/>
  <c r="B169" i="10" s="1"/>
  <c r="E169" i="10"/>
  <c r="D169" i="10" s="1"/>
  <c r="C169" i="10" s="1"/>
  <c r="P170" i="10"/>
  <c r="Q170" i="10" s="1"/>
  <c r="M170" i="10" s="1"/>
  <c r="N170" i="10"/>
  <c r="E169" i="9"/>
  <c r="D169" i="9" s="1"/>
  <c r="C169" i="9" s="1"/>
  <c r="P169" i="9"/>
  <c r="Q169" i="9" s="1"/>
  <c r="M169" i="9" s="1"/>
  <c r="N169" i="9"/>
  <c r="R170" i="9" s="1"/>
  <c r="G170" i="9" l="1"/>
  <c r="B170" i="9" s="1"/>
  <c r="G170" i="10"/>
  <c r="B170" i="10" s="1"/>
  <c r="E170" i="10"/>
  <c r="D170" i="10" s="1"/>
  <c r="C170" i="10" s="1"/>
  <c r="P171" i="10"/>
  <c r="Q171" i="10" s="1"/>
  <c r="M171" i="10" s="1"/>
  <c r="N171" i="10"/>
  <c r="E170" i="9"/>
  <c r="D170" i="9" s="1"/>
  <c r="C170" i="9" s="1"/>
  <c r="P170" i="9"/>
  <c r="Q170" i="9" s="1"/>
  <c r="M170" i="9" s="1"/>
  <c r="N170" i="9"/>
  <c r="R171" i="9" s="1"/>
  <c r="G171" i="9" l="1"/>
  <c r="B171" i="9" s="1"/>
  <c r="G171" i="10"/>
  <c r="B171" i="10" s="1"/>
  <c r="E171" i="10"/>
  <c r="D171" i="10" s="1"/>
  <c r="C171" i="10" s="1"/>
  <c r="N172" i="10"/>
  <c r="P172" i="10"/>
  <c r="Q172" i="10" s="1"/>
  <c r="M172" i="10" s="1"/>
  <c r="E171" i="9"/>
  <c r="D171" i="9" s="1"/>
  <c r="C171" i="9" s="1"/>
  <c r="N171" i="9"/>
  <c r="R172" i="9" s="1"/>
  <c r="P171" i="9"/>
  <c r="Q171" i="9" s="1"/>
  <c r="M171" i="9" s="1"/>
  <c r="G172" i="9" l="1"/>
  <c r="B172" i="9" s="1"/>
  <c r="G172" i="10"/>
  <c r="B172" i="10" s="1"/>
  <c r="E172" i="10"/>
  <c r="D172" i="10" s="1"/>
  <c r="C172" i="10" s="1"/>
  <c r="P173" i="10"/>
  <c r="Q173" i="10" s="1"/>
  <c r="M173" i="10" s="1"/>
  <c r="N173" i="10"/>
  <c r="E172" i="9"/>
  <c r="D172" i="9" s="1"/>
  <c r="C172" i="9" s="1"/>
  <c r="P172" i="9"/>
  <c r="Q172" i="9" s="1"/>
  <c r="M172" i="9" s="1"/>
  <c r="N172" i="9"/>
  <c r="R173" i="9" s="1"/>
  <c r="G173" i="9" l="1"/>
  <c r="B173" i="9" s="1"/>
  <c r="G173" i="10"/>
  <c r="B173" i="10" s="1"/>
  <c r="E173" i="10"/>
  <c r="D173" i="10" s="1"/>
  <c r="C173" i="10" s="1"/>
  <c r="P174" i="10"/>
  <c r="Q174" i="10" s="1"/>
  <c r="M174" i="10" s="1"/>
  <c r="N174" i="10"/>
  <c r="E173" i="9"/>
  <c r="D173" i="9" s="1"/>
  <c r="C173" i="9" s="1"/>
  <c r="N173" i="9"/>
  <c r="R174" i="9" s="1"/>
  <c r="P173" i="9"/>
  <c r="Q173" i="9" s="1"/>
  <c r="M173" i="9" s="1"/>
  <c r="G174" i="9" l="1"/>
  <c r="B174" i="9" s="1"/>
  <c r="G174" i="10"/>
  <c r="B174" i="10" s="1"/>
  <c r="E174" i="10"/>
  <c r="D174" i="10" s="1"/>
  <c r="C174" i="10" s="1"/>
  <c r="P175" i="10"/>
  <c r="Q175" i="10" s="1"/>
  <c r="M175" i="10" s="1"/>
  <c r="N175" i="10"/>
  <c r="E174" i="9"/>
  <c r="D174" i="9" s="1"/>
  <c r="C174" i="9" s="1"/>
  <c r="P174" i="9"/>
  <c r="Q174" i="9" s="1"/>
  <c r="M174" i="9" s="1"/>
  <c r="N174" i="9"/>
  <c r="R175" i="9" s="1"/>
  <c r="G175" i="9" l="1"/>
  <c r="B175" i="9" s="1"/>
  <c r="G175" i="10"/>
  <c r="B175" i="10" s="1"/>
  <c r="E175" i="10"/>
  <c r="D175" i="10" s="1"/>
  <c r="C175" i="10" s="1"/>
  <c r="N176" i="10"/>
  <c r="P176" i="10"/>
  <c r="Q176" i="10" s="1"/>
  <c r="M176" i="10" s="1"/>
  <c r="P175" i="9"/>
  <c r="Q175" i="9" s="1"/>
  <c r="M175" i="9" s="1"/>
  <c r="N175" i="9"/>
  <c r="R176" i="9" s="1"/>
  <c r="E175" i="9"/>
  <c r="D175" i="9" s="1"/>
  <c r="C175" i="9" s="1"/>
  <c r="G176" i="9" l="1"/>
  <c r="B176" i="9" s="1"/>
  <c r="G176" i="10"/>
  <c r="B176" i="10" s="1"/>
  <c r="E176" i="10"/>
  <c r="D176" i="10" s="1"/>
  <c r="C176" i="10" s="1"/>
  <c r="P177" i="10"/>
  <c r="Q177" i="10" s="1"/>
  <c r="M177" i="10" s="1"/>
  <c r="N177" i="10"/>
  <c r="N176" i="9"/>
  <c r="R177" i="9" s="1"/>
  <c r="P176" i="9"/>
  <c r="Q176" i="9" s="1"/>
  <c r="M176" i="9" s="1"/>
  <c r="E176" i="9"/>
  <c r="D176" i="9" s="1"/>
  <c r="C176" i="9" s="1"/>
  <c r="G177" i="9" l="1"/>
  <c r="B177" i="9" s="1"/>
  <c r="G177" i="10"/>
  <c r="B177" i="10" s="1"/>
  <c r="E177" i="10"/>
  <c r="D177" i="10" s="1"/>
  <c r="C177" i="10" s="1"/>
  <c r="P178" i="10"/>
  <c r="Q178" i="10" s="1"/>
  <c r="M178" i="10" s="1"/>
  <c r="N178" i="10"/>
  <c r="E177" i="9"/>
  <c r="D177" i="9" s="1"/>
  <c r="C177" i="9" s="1"/>
  <c r="N177" i="9"/>
  <c r="R178" i="9" s="1"/>
  <c r="P177" i="9"/>
  <c r="Q177" i="9" s="1"/>
  <c r="M177" i="9" s="1"/>
  <c r="G178" i="9" l="1"/>
  <c r="B178" i="9" s="1"/>
  <c r="G178" i="10"/>
  <c r="B178" i="10" s="1"/>
  <c r="E178" i="10"/>
  <c r="D178" i="10" s="1"/>
  <c r="C178" i="10" s="1"/>
  <c r="P179" i="10"/>
  <c r="Q179" i="10" s="1"/>
  <c r="M179" i="10" s="1"/>
  <c r="N179" i="10"/>
  <c r="E178" i="9"/>
  <c r="D178" i="9" s="1"/>
  <c r="C178" i="9" s="1"/>
  <c r="N178" i="9"/>
  <c r="R179" i="9" s="1"/>
  <c r="P178" i="9"/>
  <c r="Q178" i="9" s="1"/>
  <c r="M178" i="9" s="1"/>
  <c r="G179" i="9" l="1"/>
  <c r="B179" i="9" s="1"/>
  <c r="G179" i="10"/>
  <c r="B179" i="10" s="1"/>
  <c r="E179" i="10"/>
  <c r="D179" i="10" s="1"/>
  <c r="C179" i="10" s="1"/>
  <c r="N180" i="10"/>
  <c r="P180" i="10"/>
  <c r="Q180" i="10" s="1"/>
  <c r="M180" i="10" s="1"/>
  <c r="N179" i="9"/>
  <c r="R180" i="9" s="1"/>
  <c r="P179" i="9"/>
  <c r="Q179" i="9" s="1"/>
  <c r="M179" i="9" s="1"/>
  <c r="E179" i="9"/>
  <c r="D179" i="9" s="1"/>
  <c r="C179" i="9" s="1"/>
  <c r="G180" i="9" l="1"/>
  <c r="B180" i="9" s="1"/>
  <c r="G180" i="10"/>
  <c r="B180" i="10" s="1"/>
  <c r="E180" i="10"/>
  <c r="D180" i="10" s="1"/>
  <c r="C180" i="10" s="1"/>
  <c r="P181" i="10"/>
  <c r="Q181" i="10" s="1"/>
  <c r="M181" i="10" s="1"/>
  <c r="N181" i="10"/>
  <c r="E180" i="9"/>
  <c r="D180" i="9" s="1"/>
  <c r="C180" i="9" s="1"/>
  <c r="N180" i="9"/>
  <c r="R181" i="9" s="1"/>
  <c r="P180" i="9"/>
  <c r="Q180" i="9" s="1"/>
  <c r="M180" i="9" s="1"/>
  <c r="G181" i="9" l="1"/>
  <c r="B181" i="9" s="1"/>
  <c r="G181" i="10"/>
  <c r="B181" i="10" s="1"/>
  <c r="E181" i="10"/>
  <c r="D181" i="10" s="1"/>
  <c r="C181" i="10" s="1"/>
  <c r="P182" i="10"/>
  <c r="Q182" i="10" s="1"/>
  <c r="M182" i="10" s="1"/>
  <c r="N182" i="10"/>
  <c r="E181" i="9"/>
  <c r="D181" i="9" s="1"/>
  <c r="C181" i="9" s="1"/>
  <c r="N181" i="9"/>
  <c r="R182" i="9" s="1"/>
  <c r="P181" i="9"/>
  <c r="Q181" i="9" s="1"/>
  <c r="M181" i="9" s="1"/>
  <c r="G182" i="9" l="1"/>
  <c r="B182" i="9" s="1"/>
  <c r="G182" i="10"/>
  <c r="B182" i="10" s="1"/>
  <c r="E182" i="10"/>
  <c r="D182" i="10" s="1"/>
  <c r="C182" i="10" s="1"/>
  <c r="P183" i="10"/>
  <c r="Q183" i="10" s="1"/>
  <c r="M183" i="10" s="1"/>
  <c r="N183" i="10"/>
  <c r="N182" i="9"/>
  <c r="R183" i="9" s="1"/>
  <c r="P182" i="9"/>
  <c r="Q182" i="9" s="1"/>
  <c r="M182" i="9" s="1"/>
  <c r="E182" i="9"/>
  <c r="D182" i="9" s="1"/>
  <c r="C182" i="9" s="1"/>
  <c r="G183" i="9" l="1"/>
  <c r="B183" i="9" s="1"/>
  <c r="G183" i="10"/>
  <c r="B183" i="10" s="1"/>
  <c r="E183" i="10"/>
  <c r="D183" i="10" s="1"/>
  <c r="C183" i="10" s="1"/>
  <c r="N184" i="10"/>
  <c r="P184" i="10"/>
  <c r="Q184" i="10" s="1"/>
  <c r="M184" i="10" s="1"/>
  <c r="P183" i="9"/>
  <c r="Q183" i="9" s="1"/>
  <c r="M183" i="9" s="1"/>
  <c r="N183" i="9"/>
  <c r="R184" i="9" s="1"/>
  <c r="E183" i="9"/>
  <c r="D183" i="9" s="1"/>
  <c r="C183" i="9" s="1"/>
  <c r="G184" i="9" l="1"/>
  <c r="B184" i="9" s="1"/>
  <c r="G184" i="10"/>
  <c r="B184" i="10" s="1"/>
  <c r="E184" i="10"/>
  <c r="D184" i="10" s="1"/>
  <c r="C184" i="10" s="1"/>
  <c r="N185" i="10"/>
  <c r="P185" i="10"/>
  <c r="Q185" i="10" s="1"/>
  <c r="M185" i="10" s="1"/>
  <c r="E184" i="9"/>
  <c r="D184" i="9" s="1"/>
  <c r="C184" i="9" s="1"/>
  <c r="N184" i="9"/>
  <c r="R185" i="9" s="1"/>
  <c r="P184" i="9"/>
  <c r="Q184" i="9" s="1"/>
  <c r="M184" i="9" s="1"/>
  <c r="G185" i="9" l="1"/>
  <c r="B185" i="9" s="1"/>
  <c r="G185" i="10"/>
  <c r="B185" i="10" s="1"/>
  <c r="E185" i="10"/>
  <c r="D185" i="10" s="1"/>
  <c r="C185" i="10" s="1"/>
  <c r="P186" i="10"/>
  <c r="Q186" i="10" s="1"/>
  <c r="M186" i="10" s="1"/>
  <c r="N186" i="10"/>
  <c r="E185" i="9"/>
  <c r="D185" i="9" s="1"/>
  <c r="C185" i="9" s="1"/>
  <c r="P185" i="9"/>
  <c r="Q185" i="9" s="1"/>
  <c r="M185" i="9" s="1"/>
  <c r="N185" i="9"/>
  <c r="R186" i="9" s="1"/>
  <c r="G186" i="9" l="1"/>
  <c r="B186" i="9" s="1"/>
  <c r="G186" i="10"/>
  <c r="B186" i="10"/>
  <c r="E186" i="10"/>
  <c r="D186" i="10" s="1"/>
  <c r="C186" i="10" s="1"/>
  <c r="P187" i="10"/>
  <c r="Q187" i="10" s="1"/>
  <c r="M187" i="10" s="1"/>
  <c r="N187" i="10"/>
  <c r="N186" i="9"/>
  <c r="R187" i="9" s="1"/>
  <c r="P186" i="9"/>
  <c r="Q186" i="9" s="1"/>
  <c r="M186" i="9" s="1"/>
  <c r="E186" i="9"/>
  <c r="D186" i="9" s="1"/>
  <c r="C186" i="9" s="1"/>
  <c r="G187" i="9" l="1"/>
  <c r="B187" i="9" s="1"/>
  <c r="G187" i="10"/>
  <c r="B187" i="10"/>
  <c r="E187" i="10"/>
  <c r="D187" i="10" s="1"/>
  <c r="C187" i="10" s="1"/>
  <c r="P188" i="10"/>
  <c r="Q188" i="10" s="1"/>
  <c r="M188" i="10" s="1"/>
  <c r="N188" i="10"/>
  <c r="E187" i="9"/>
  <c r="D187" i="9" s="1"/>
  <c r="C187" i="9" s="1"/>
  <c r="N187" i="9"/>
  <c r="R188" i="9" s="1"/>
  <c r="P187" i="9"/>
  <c r="Q187" i="9" s="1"/>
  <c r="M187" i="9" s="1"/>
  <c r="G188" i="9" l="1"/>
  <c r="B188" i="9" s="1"/>
  <c r="G188" i="10"/>
  <c r="B188" i="10" s="1"/>
  <c r="E188" i="10"/>
  <c r="D188" i="10" s="1"/>
  <c r="C188" i="10" s="1"/>
  <c r="N189" i="10"/>
  <c r="P189" i="10"/>
  <c r="Q189" i="10" s="1"/>
  <c r="M189" i="10" s="1"/>
  <c r="E188" i="9"/>
  <c r="D188" i="9" s="1"/>
  <c r="C188" i="9" s="1"/>
  <c r="N188" i="9"/>
  <c r="R189" i="9" s="1"/>
  <c r="P188" i="9"/>
  <c r="Q188" i="9" s="1"/>
  <c r="M188" i="9" s="1"/>
  <c r="G189" i="9" l="1"/>
  <c r="B189" i="9" s="1"/>
  <c r="B189" i="10"/>
  <c r="G189" i="10"/>
  <c r="E189" i="10"/>
  <c r="D189" i="10" s="1"/>
  <c r="C189" i="10" s="1"/>
  <c r="P190" i="10"/>
  <c r="Q190" i="10" s="1"/>
  <c r="M190" i="10" s="1"/>
  <c r="N190" i="10"/>
  <c r="E189" i="9"/>
  <c r="D189" i="9" s="1"/>
  <c r="C189" i="9" s="1"/>
  <c r="N189" i="9"/>
  <c r="R190" i="9" s="1"/>
  <c r="P189" i="9"/>
  <c r="Q189" i="9" s="1"/>
  <c r="M189" i="9" s="1"/>
  <c r="G190" i="9" l="1"/>
  <c r="B190" i="9" s="1"/>
  <c r="G190" i="10"/>
  <c r="B190" i="10" s="1"/>
  <c r="E190" i="10"/>
  <c r="D190" i="10" s="1"/>
  <c r="C190" i="10" s="1"/>
  <c r="P191" i="10"/>
  <c r="Q191" i="10" s="1"/>
  <c r="M191" i="10" s="1"/>
  <c r="N191" i="10"/>
  <c r="E190" i="9"/>
  <c r="D190" i="9" s="1"/>
  <c r="C190" i="9" s="1"/>
  <c r="N190" i="9"/>
  <c r="R191" i="9" s="1"/>
  <c r="P190" i="9"/>
  <c r="Q190" i="9" s="1"/>
  <c r="M190" i="9" s="1"/>
  <c r="G191" i="9" l="1"/>
  <c r="B191" i="9" s="1"/>
  <c r="G191" i="10"/>
  <c r="B191" i="10" s="1"/>
  <c r="E191" i="10"/>
  <c r="D191" i="10" s="1"/>
  <c r="C191" i="10" s="1"/>
  <c r="N192" i="10"/>
  <c r="P192" i="10"/>
  <c r="Q192" i="10" s="1"/>
  <c r="M192" i="10" s="1"/>
  <c r="E191" i="9"/>
  <c r="D191" i="9" s="1"/>
  <c r="C191" i="9" s="1"/>
  <c r="P191" i="9"/>
  <c r="Q191" i="9" s="1"/>
  <c r="M191" i="9" s="1"/>
  <c r="N191" i="9"/>
  <c r="R192" i="9" s="1"/>
  <c r="G192" i="9" l="1"/>
  <c r="B192" i="9" s="1"/>
  <c r="G192" i="10"/>
  <c r="B192" i="10" s="1"/>
  <c r="E192" i="10"/>
  <c r="D192" i="10" s="1"/>
  <c r="C192" i="10" s="1"/>
  <c r="P193" i="10"/>
  <c r="Q193" i="10" s="1"/>
  <c r="M193" i="10" s="1"/>
  <c r="N193" i="10"/>
  <c r="P192" i="9"/>
  <c r="Q192" i="9" s="1"/>
  <c r="M192" i="9" s="1"/>
  <c r="N192" i="9"/>
  <c r="R193" i="9" s="1"/>
  <c r="E192" i="9"/>
  <c r="D192" i="9" s="1"/>
  <c r="C192" i="9" s="1"/>
  <c r="G193" i="9" l="1"/>
  <c r="B193" i="9" s="1"/>
  <c r="B193" i="10"/>
  <c r="G193" i="10"/>
  <c r="E193" i="10"/>
  <c r="D193" i="10" s="1"/>
  <c r="C193" i="10" s="1"/>
  <c r="P194" i="10"/>
  <c r="Q194" i="10" s="1"/>
  <c r="M194" i="10" s="1"/>
  <c r="N194" i="10"/>
  <c r="E193" i="9"/>
  <c r="D193" i="9" s="1"/>
  <c r="C193" i="9" s="1"/>
  <c r="P193" i="9"/>
  <c r="Q193" i="9" s="1"/>
  <c r="M193" i="9" s="1"/>
  <c r="N193" i="9"/>
  <c r="R194" i="9" s="1"/>
  <c r="G194" i="9" l="1"/>
  <c r="B194" i="9" s="1"/>
  <c r="G194" i="10"/>
  <c r="B194" i="10" s="1"/>
  <c r="E194" i="10"/>
  <c r="D194" i="10" s="1"/>
  <c r="C194" i="10" s="1"/>
  <c r="P195" i="10"/>
  <c r="Q195" i="10" s="1"/>
  <c r="M195" i="10" s="1"/>
  <c r="N195" i="10"/>
  <c r="E194" i="9"/>
  <c r="D194" i="9" s="1"/>
  <c r="C194" i="9" s="1"/>
  <c r="N194" i="9"/>
  <c r="R195" i="9" s="1"/>
  <c r="P194" i="9"/>
  <c r="Q194" i="9" s="1"/>
  <c r="M194" i="9" s="1"/>
  <c r="G195" i="9" l="1"/>
  <c r="B195" i="9" s="1"/>
  <c r="G195" i="10"/>
  <c r="B195" i="10"/>
  <c r="E195" i="10"/>
  <c r="D195" i="10" s="1"/>
  <c r="C195" i="10" s="1"/>
  <c r="N196" i="10"/>
  <c r="P196" i="10"/>
  <c r="Q196" i="10" s="1"/>
  <c r="M196" i="10" s="1"/>
  <c r="E195" i="9"/>
  <c r="D195" i="9" s="1"/>
  <c r="C195" i="9" s="1"/>
  <c r="N195" i="9"/>
  <c r="R196" i="9" s="1"/>
  <c r="P195" i="9"/>
  <c r="Q195" i="9" s="1"/>
  <c r="M195" i="9" s="1"/>
  <c r="G196" i="9" l="1"/>
  <c r="B196" i="9" s="1"/>
  <c r="G196" i="10"/>
  <c r="B196" i="10" s="1"/>
  <c r="E196" i="10"/>
  <c r="D196" i="10" s="1"/>
  <c r="C196" i="10" s="1"/>
  <c r="P197" i="10"/>
  <c r="Q197" i="10" s="1"/>
  <c r="M197" i="10" s="1"/>
  <c r="N197" i="10"/>
  <c r="E196" i="9"/>
  <c r="D196" i="9" s="1"/>
  <c r="C196" i="9" s="1"/>
  <c r="N196" i="9"/>
  <c r="R197" i="9" s="1"/>
  <c r="P196" i="9"/>
  <c r="Q196" i="9" s="1"/>
  <c r="M196" i="9" s="1"/>
  <c r="G197" i="9" l="1"/>
  <c r="B197" i="9" s="1"/>
  <c r="G197" i="10"/>
  <c r="B197" i="10" s="1"/>
  <c r="E197" i="10"/>
  <c r="D197" i="10" s="1"/>
  <c r="C197" i="10" s="1"/>
  <c r="P198" i="10"/>
  <c r="Q198" i="10" s="1"/>
  <c r="M198" i="10" s="1"/>
  <c r="N198" i="10"/>
  <c r="E197" i="9"/>
  <c r="D197" i="9" s="1"/>
  <c r="C197" i="9" s="1"/>
  <c r="P197" i="9"/>
  <c r="Q197" i="9" s="1"/>
  <c r="M197" i="9" s="1"/>
  <c r="N197" i="9"/>
  <c r="R198" i="9" s="1"/>
  <c r="G198" i="9" l="1"/>
  <c r="B198" i="9" s="1"/>
  <c r="G198" i="10"/>
  <c r="B198" i="10" s="1"/>
  <c r="E198" i="10"/>
  <c r="D198" i="10" s="1"/>
  <c r="C198" i="10" s="1"/>
  <c r="N199" i="10"/>
  <c r="P199" i="10"/>
  <c r="Q199" i="10" s="1"/>
  <c r="M199" i="10" s="1"/>
  <c r="E198" i="9"/>
  <c r="D198" i="9" s="1"/>
  <c r="C198" i="9" s="1"/>
  <c r="P198" i="9"/>
  <c r="Q198" i="9" s="1"/>
  <c r="M198" i="9" s="1"/>
  <c r="N198" i="9"/>
  <c r="R199" i="9" s="1"/>
  <c r="G199" i="9" l="1"/>
  <c r="B199" i="9" s="1"/>
  <c r="G199" i="10"/>
  <c r="B199" i="10"/>
  <c r="E199" i="10"/>
  <c r="D199" i="10" s="1"/>
  <c r="C199" i="10" s="1"/>
  <c r="N200" i="10"/>
  <c r="P200" i="10"/>
  <c r="Q200" i="10" s="1"/>
  <c r="M200" i="10" s="1"/>
  <c r="E199" i="9"/>
  <c r="D199" i="9" s="1"/>
  <c r="C199" i="9" s="1"/>
  <c r="N199" i="9"/>
  <c r="R200" i="9" s="1"/>
  <c r="P199" i="9"/>
  <c r="Q199" i="9" s="1"/>
  <c r="M199" i="9" s="1"/>
  <c r="G200" i="9" l="1"/>
  <c r="B200" i="9" s="1"/>
  <c r="G200" i="10"/>
  <c r="B200" i="10"/>
  <c r="E200" i="10"/>
  <c r="D200" i="10" s="1"/>
  <c r="C200" i="10" s="1"/>
  <c r="N201" i="10"/>
  <c r="P201" i="10"/>
  <c r="Q201" i="10" s="1"/>
  <c r="M201" i="10" s="1"/>
  <c r="E200" i="9"/>
  <c r="D200" i="9" s="1"/>
  <c r="C200" i="9" s="1"/>
  <c r="N200" i="9"/>
  <c r="R201" i="9" s="1"/>
  <c r="P200" i="9"/>
  <c r="Q200" i="9" s="1"/>
  <c r="M200" i="9" s="1"/>
  <c r="G201" i="9" l="1"/>
  <c r="B201" i="9" s="1"/>
  <c r="G201" i="10"/>
  <c r="B201" i="10" s="1"/>
  <c r="E201" i="10"/>
  <c r="D201" i="10" s="1"/>
  <c r="C201" i="10" s="1"/>
  <c r="P202" i="10"/>
  <c r="Q202" i="10" s="1"/>
  <c r="M202" i="10" s="1"/>
  <c r="N202" i="10"/>
  <c r="E201" i="9"/>
  <c r="D201" i="9" s="1"/>
  <c r="C201" i="9" s="1"/>
  <c r="P201" i="9"/>
  <c r="Q201" i="9" s="1"/>
  <c r="M201" i="9" s="1"/>
  <c r="N201" i="9"/>
  <c r="R202" i="9" s="1"/>
  <c r="G202" i="9" l="1"/>
  <c r="B202" i="9" s="1"/>
  <c r="G202" i="10"/>
  <c r="B202" i="10" s="1"/>
  <c r="E202" i="10"/>
  <c r="D202" i="10" s="1"/>
  <c r="C202" i="10" s="1"/>
  <c r="P203" i="10"/>
  <c r="Q203" i="10" s="1"/>
  <c r="M203" i="10" s="1"/>
  <c r="N203" i="10"/>
  <c r="E202" i="9"/>
  <c r="D202" i="9" s="1"/>
  <c r="C202" i="9" s="1"/>
  <c r="P202" i="9"/>
  <c r="Q202" i="9" s="1"/>
  <c r="M202" i="9" s="1"/>
  <c r="N202" i="9"/>
  <c r="R203" i="9" s="1"/>
  <c r="G203" i="9" l="1"/>
  <c r="B203" i="9" s="1"/>
  <c r="G203" i="10"/>
  <c r="B203" i="10" s="1"/>
  <c r="E203" i="10"/>
  <c r="D203" i="10" s="1"/>
  <c r="C203" i="10" s="1"/>
  <c r="P204" i="10"/>
  <c r="Q204" i="10" s="1"/>
  <c r="M204" i="10" s="1"/>
  <c r="N204" i="10"/>
  <c r="E203" i="9"/>
  <c r="D203" i="9" s="1"/>
  <c r="C203" i="9" s="1"/>
  <c r="P203" i="9"/>
  <c r="Q203" i="9" s="1"/>
  <c r="M203" i="9" s="1"/>
  <c r="N203" i="9"/>
  <c r="R204" i="9" s="1"/>
  <c r="G204" i="9" l="1"/>
  <c r="B204" i="9" s="1"/>
  <c r="G204" i="10"/>
  <c r="B204" i="10"/>
  <c r="E204" i="10"/>
  <c r="D204" i="10" s="1"/>
  <c r="C204" i="10" s="1"/>
  <c r="N205" i="10"/>
  <c r="P205" i="10"/>
  <c r="Q205" i="10" s="1"/>
  <c r="M205" i="10" s="1"/>
  <c r="E204" i="9"/>
  <c r="D204" i="9" s="1"/>
  <c r="C204" i="9" s="1"/>
  <c r="N204" i="9"/>
  <c r="R205" i="9" s="1"/>
  <c r="P204" i="9"/>
  <c r="Q204" i="9" s="1"/>
  <c r="M204" i="9" s="1"/>
  <c r="G205" i="9" l="1"/>
  <c r="B205" i="9" s="1"/>
  <c r="G205" i="10"/>
  <c r="B205" i="10" s="1"/>
  <c r="E205" i="10"/>
  <c r="D205" i="10" s="1"/>
  <c r="C205" i="10" s="1"/>
  <c r="P206" i="10"/>
  <c r="Q206" i="10" s="1"/>
  <c r="M206" i="10" s="1"/>
  <c r="N206" i="10"/>
  <c r="E205" i="9"/>
  <c r="D205" i="9" s="1"/>
  <c r="C205" i="9" s="1"/>
  <c r="P205" i="9"/>
  <c r="Q205" i="9" s="1"/>
  <c r="M205" i="9" s="1"/>
  <c r="N205" i="9"/>
  <c r="R206" i="9" s="1"/>
  <c r="G206" i="9" l="1"/>
  <c r="B206" i="9" s="1"/>
  <c r="G206" i="10"/>
  <c r="B206" i="10" s="1"/>
  <c r="E206" i="10"/>
  <c r="D206" i="10" s="1"/>
  <c r="C206" i="10" s="1"/>
  <c r="P207" i="10"/>
  <c r="Q207" i="10" s="1"/>
  <c r="M207" i="10" s="1"/>
  <c r="N207" i="10"/>
  <c r="E206" i="9"/>
  <c r="D206" i="9" s="1"/>
  <c r="C206" i="9" s="1"/>
  <c r="P206" i="9"/>
  <c r="Q206" i="9" s="1"/>
  <c r="M206" i="9" s="1"/>
  <c r="N206" i="9"/>
  <c r="R207" i="9" s="1"/>
  <c r="G207" i="9" l="1"/>
  <c r="B207" i="9" s="1"/>
  <c r="G207" i="10"/>
  <c r="B207" i="10" s="1"/>
  <c r="E207" i="10"/>
  <c r="D207" i="10" s="1"/>
  <c r="C207" i="10" s="1"/>
  <c r="N208" i="10"/>
  <c r="P208" i="10"/>
  <c r="Q208" i="10" s="1"/>
  <c r="M208" i="10" s="1"/>
  <c r="E207" i="9"/>
  <c r="D207" i="9" s="1"/>
  <c r="C207" i="9" s="1"/>
  <c r="N207" i="9"/>
  <c r="R208" i="9" s="1"/>
  <c r="P207" i="9"/>
  <c r="Q207" i="9" s="1"/>
  <c r="M207" i="9" s="1"/>
  <c r="G208" i="9" l="1"/>
  <c r="B208" i="9" s="1"/>
  <c r="G208" i="10"/>
  <c r="B208" i="10" s="1"/>
  <c r="E208" i="10"/>
  <c r="D208" i="10" s="1"/>
  <c r="C208" i="10" s="1"/>
  <c r="P209" i="10"/>
  <c r="Q209" i="10" s="1"/>
  <c r="M209" i="10" s="1"/>
  <c r="N209" i="10"/>
  <c r="E208" i="9"/>
  <c r="D208" i="9" s="1"/>
  <c r="C208" i="9" s="1"/>
  <c r="N208" i="9"/>
  <c r="R209" i="9" s="1"/>
  <c r="P208" i="9"/>
  <c r="Q208" i="9" s="1"/>
  <c r="M208" i="9" s="1"/>
  <c r="G209" i="9" l="1"/>
  <c r="B209" i="9" s="1"/>
  <c r="G209" i="10"/>
  <c r="B209" i="10" s="1"/>
  <c r="E209" i="10"/>
  <c r="D209" i="10" s="1"/>
  <c r="C209" i="10" s="1"/>
  <c r="P210" i="10"/>
  <c r="Q210" i="10" s="1"/>
  <c r="M210" i="10" s="1"/>
  <c r="N210" i="10"/>
  <c r="P209" i="9"/>
  <c r="Q209" i="9" s="1"/>
  <c r="M209" i="9" s="1"/>
  <c r="N209" i="9"/>
  <c r="R210" i="9" s="1"/>
  <c r="E209" i="9"/>
  <c r="D209" i="9" s="1"/>
  <c r="C209" i="9" s="1"/>
  <c r="G210" i="9" l="1"/>
  <c r="B210" i="9" s="1"/>
  <c r="G210" i="10"/>
  <c r="B210" i="10"/>
  <c r="E210" i="10"/>
  <c r="D210" i="10" s="1"/>
  <c r="C210" i="10" s="1"/>
  <c r="P211" i="10"/>
  <c r="Q211" i="10" s="1"/>
  <c r="M211" i="10" s="1"/>
  <c r="N211" i="10"/>
  <c r="P210" i="9"/>
  <c r="Q210" i="9" s="1"/>
  <c r="M210" i="9" s="1"/>
  <c r="N210" i="9"/>
  <c r="R211" i="9" s="1"/>
  <c r="E210" i="9"/>
  <c r="D210" i="9" s="1"/>
  <c r="C210" i="9" s="1"/>
  <c r="G211" i="9" l="1"/>
  <c r="B211" i="9" s="1"/>
  <c r="G211" i="10"/>
  <c r="B211" i="10" s="1"/>
  <c r="E211" i="10"/>
  <c r="D211" i="10" s="1"/>
  <c r="C211" i="10" s="1"/>
  <c r="N212" i="10"/>
  <c r="P212" i="10"/>
  <c r="Q212" i="10" s="1"/>
  <c r="M212" i="10" s="1"/>
  <c r="E211" i="9"/>
  <c r="D211" i="9" s="1"/>
  <c r="C211" i="9" s="1"/>
  <c r="N211" i="9"/>
  <c r="R212" i="9" s="1"/>
  <c r="P211" i="9"/>
  <c r="Q211" i="9" s="1"/>
  <c r="M211" i="9" s="1"/>
  <c r="G212" i="9" l="1"/>
  <c r="B212" i="9" s="1"/>
  <c r="G212" i="10"/>
  <c r="B212" i="10" s="1"/>
  <c r="E212" i="10"/>
  <c r="D212" i="10" s="1"/>
  <c r="C212" i="10" s="1"/>
  <c r="P213" i="10"/>
  <c r="Q213" i="10" s="1"/>
  <c r="M213" i="10" s="1"/>
  <c r="N213" i="10"/>
  <c r="E212" i="9"/>
  <c r="D212" i="9" s="1"/>
  <c r="C212" i="9" s="1"/>
  <c r="P212" i="9"/>
  <c r="Q212" i="9" s="1"/>
  <c r="M212" i="9" s="1"/>
  <c r="N212" i="9"/>
  <c r="R213" i="9" s="1"/>
  <c r="G213" i="9" l="1"/>
  <c r="B213" i="9" s="1"/>
  <c r="G213" i="10"/>
  <c r="B213" i="10" s="1"/>
  <c r="E213" i="10"/>
  <c r="D213" i="10" s="1"/>
  <c r="C213" i="10" s="1"/>
  <c r="P214" i="10"/>
  <c r="Q214" i="10" s="1"/>
  <c r="M214" i="10" s="1"/>
  <c r="N214" i="10"/>
  <c r="P213" i="9"/>
  <c r="Q213" i="9" s="1"/>
  <c r="M213" i="9" s="1"/>
  <c r="N213" i="9"/>
  <c r="R214" i="9" s="1"/>
  <c r="E213" i="9"/>
  <c r="D213" i="9" s="1"/>
  <c r="C213" i="9" s="1"/>
  <c r="G214" i="9" l="1"/>
  <c r="B214" i="9" s="1"/>
  <c r="G214" i="10"/>
  <c r="B214" i="10" s="1"/>
  <c r="E214" i="10"/>
  <c r="D214" i="10" s="1"/>
  <c r="C214" i="10" s="1"/>
  <c r="N215" i="10"/>
  <c r="P215" i="10"/>
  <c r="Q215" i="10" s="1"/>
  <c r="M215" i="10" s="1"/>
  <c r="E214" i="9"/>
  <c r="D214" i="9" s="1"/>
  <c r="C214" i="9" s="1"/>
  <c r="P214" i="9"/>
  <c r="Q214" i="9" s="1"/>
  <c r="M214" i="9" s="1"/>
  <c r="N214" i="9"/>
  <c r="R215" i="9" s="1"/>
  <c r="G215" i="9" l="1"/>
  <c r="B215" i="9" s="1"/>
  <c r="G215" i="10"/>
  <c r="B215" i="10" s="1"/>
  <c r="E215" i="10"/>
  <c r="D215" i="10" s="1"/>
  <c r="C215" i="10" s="1"/>
  <c r="N216" i="10"/>
  <c r="P216" i="10"/>
  <c r="Q216" i="10" s="1"/>
  <c r="M216" i="10" s="1"/>
  <c r="N215" i="9"/>
  <c r="R216" i="9" s="1"/>
  <c r="P215" i="9"/>
  <c r="Q215" i="9" s="1"/>
  <c r="M215" i="9" s="1"/>
  <c r="E215" i="9"/>
  <c r="D215" i="9" s="1"/>
  <c r="C215" i="9" s="1"/>
  <c r="G216" i="9" l="1"/>
  <c r="B216" i="9" s="1"/>
  <c r="G216" i="10"/>
  <c r="B216" i="10"/>
  <c r="E216" i="10"/>
  <c r="D216" i="10" s="1"/>
  <c r="C216" i="10" s="1"/>
  <c r="P217" i="10"/>
  <c r="Q217" i="10" s="1"/>
  <c r="M217" i="10" s="1"/>
  <c r="N217" i="10"/>
  <c r="E216" i="9"/>
  <c r="D216" i="9" s="1"/>
  <c r="C216" i="9" s="1"/>
  <c r="N216" i="9"/>
  <c r="R217" i="9" s="1"/>
  <c r="P216" i="9"/>
  <c r="Q216" i="9" s="1"/>
  <c r="M216" i="9" s="1"/>
  <c r="G217" i="9" l="1"/>
  <c r="B217" i="9" s="1"/>
  <c r="B217" i="10"/>
  <c r="G217" i="10"/>
  <c r="E217" i="10"/>
  <c r="D217" i="10" s="1"/>
  <c r="C217" i="10" s="1"/>
  <c r="P218" i="10"/>
  <c r="Q218" i="10" s="1"/>
  <c r="M218" i="10" s="1"/>
  <c r="N218" i="10"/>
  <c r="E217" i="9"/>
  <c r="D217" i="9" s="1"/>
  <c r="C217" i="9" s="1"/>
  <c r="P217" i="9"/>
  <c r="Q217" i="9" s="1"/>
  <c r="M217" i="9" s="1"/>
  <c r="N217" i="9"/>
  <c r="R218" i="9" s="1"/>
  <c r="G218" i="9" l="1"/>
  <c r="B218" i="9" s="1"/>
  <c r="G218" i="10"/>
  <c r="B218" i="10" s="1"/>
  <c r="E218" i="10"/>
  <c r="D218" i="10" s="1"/>
  <c r="C218" i="10" s="1"/>
  <c r="N219" i="10"/>
  <c r="P219" i="10"/>
  <c r="Q219" i="10" s="1"/>
  <c r="M219" i="10" s="1"/>
  <c r="E218" i="9"/>
  <c r="D218" i="9" s="1"/>
  <c r="C218" i="9" s="1"/>
  <c r="P218" i="9"/>
  <c r="Q218" i="9" s="1"/>
  <c r="M218" i="9" s="1"/>
  <c r="N218" i="9"/>
  <c r="R219" i="9" s="1"/>
  <c r="G219" i="9" l="1"/>
  <c r="B219" i="9" s="1"/>
  <c r="G219" i="10"/>
  <c r="B219" i="10" s="1"/>
  <c r="E219" i="10"/>
  <c r="D219" i="10" s="1"/>
  <c r="C219" i="10" s="1"/>
  <c r="N220" i="10"/>
  <c r="P220" i="10"/>
  <c r="Q220" i="10" s="1"/>
  <c r="M220" i="10" s="1"/>
  <c r="E219" i="9"/>
  <c r="D219" i="9" s="1"/>
  <c r="C219" i="9" s="1"/>
  <c r="P219" i="9"/>
  <c r="Q219" i="9" s="1"/>
  <c r="M219" i="9" s="1"/>
  <c r="N219" i="9"/>
  <c r="R220" i="9" s="1"/>
  <c r="G220" i="9" l="1"/>
  <c r="B220" i="9" s="1"/>
  <c r="G220" i="10"/>
  <c r="B220" i="10" s="1"/>
  <c r="E220" i="10"/>
  <c r="D220" i="10" s="1"/>
  <c r="C220" i="10" s="1"/>
  <c r="P221" i="10"/>
  <c r="Q221" i="10" s="1"/>
  <c r="M221" i="10" s="1"/>
  <c r="N221" i="10"/>
  <c r="N220" i="9"/>
  <c r="R221" i="9" s="1"/>
  <c r="P220" i="9"/>
  <c r="Q220" i="9" s="1"/>
  <c r="M220" i="9" s="1"/>
  <c r="E220" i="9"/>
  <c r="D220" i="9" s="1"/>
  <c r="C220" i="9" s="1"/>
  <c r="G221" i="9" l="1"/>
  <c r="B221" i="9" s="1"/>
  <c r="G221" i="10"/>
  <c r="B221" i="10" s="1"/>
  <c r="E221" i="10"/>
  <c r="D221" i="10" s="1"/>
  <c r="C221" i="10" s="1"/>
  <c r="P222" i="10"/>
  <c r="Q222" i="10" s="1"/>
  <c r="M222" i="10" s="1"/>
  <c r="N222" i="10"/>
  <c r="E221" i="9"/>
  <c r="D221" i="9" s="1"/>
  <c r="C221" i="9" s="1"/>
  <c r="P221" i="9"/>
  <c r="Q221" i="9" s="1"/>
  <c r="M221" i="9" s="1"/>
  <c r="N221" i="9"/>
  <c r="R222" i="9" s="1"/>
  <c r="G222" i="9" l="1"/>
  <c r="B222" i="9" s="1"/>
  <c r="G222" i="10"/>
  <c r="B222" i="10" s="1"/>
  <c r="E222" i="10"/>
  <c r="D222" i="10" s="1"/>
  <c r="C222" i="10" s="1"/>
  <c r="N223" i="10"/>
  <c r="P223" i="10"/>
  <c r="Q223" i="10" s="1"/>
  <c r="M223" i="10" s="1"/>
  <c r="E222" i="9"/>
  <c r="D222" i="9" s="1"/>
  <c r="C222" i="9" s="1"/>
  <c r="P222" i="9"/>
  <c r="Q222" i="9" s="1"/>
  <c r="M222" i="9" s="1"/>
  <c r="N222" i="9"/>
  <c r="R223" i="9" s="1"/>
  <c r="G223" i="9" l="1"/>
  <c r="B223" i="9" s="1"/>
  <c r="G223" i="10"/>
  <c r="B223" i="10"/>
  <c r="E223" i="10"/>
  <c r="D223" i="10" s="1"/>
  <c r="C223" i="10" s="1"/>
  <c r="N224" i="10"/>
  <c r="P224" i="10"/>
  <c r="Q224" i="10" s="1"/>
  <c r="M224" i="10" s="1"/>
  <c r="E223" i="9"/>
  <c r="D223" i="9" s="1"/>
  <c r="C223" i="9" s="1"/>
  <c r="N223" i="9"/>
  <c r="R224" i="9" s="1"/>
  <c r="P223" i="9"/>
  <c r="Q223" i="9" s="1"/>
  <c r="M223" i="9" s="1"/>
  <c r="G224" i="9" l="1"/>
  <c r="B224" i="9" s="1"/>
  <c r="G224" i="10"/>
  <c r="B224" i="10" s="1"/>
  <c r="E224" i="10"/>
  <c r="D224" i="10" s="1"/>
  <c r="C224" i="10" s="1"/>
  <c r="P225" i="10"/>
  <c r="Q225" i="10" s="1"/>
  <c r="M225" i="10" s="1"/>
  <c r="N225" i="10"/>
  <c r="E224" i="9"/>
  <c r="D224" i="9" s="1"/>
  <c r="C224" i="9" s="1"/>
  <c r="N224" i="9"/>
  <c r="R225" i="9" s="1"/>
  <c r="P224" i="9"/>
  <c r="Q224" i="9" s="1"/>
  <c r="M224" i="9" s="1"/>
  <c r="G225" i="9" l="1"/>
  <c r="B225" i="9" s="1"/>
  <c r="G225" i="10"/>
  <c r="B225" i="10" s="1"/>
  <c r="E225" i="10"/>
  <c r="D225" i="10" s="1"/>
  <c r="C225" i="10" s="1"/>
  <c r="P226" i="10"/>
  <c r="Q226" i="10" s="1"/>
  <c r="M226" i="10" s="1"/>
  <c r="N226" i="10"/>
  <c r="E225" i="9"/>
  <c r="D225" i="9" s="1"/>
  <c r="C225" i="9" s="1"/>
  <c r="P225" i="9"/>
  <c r="Q225" i="9" s="1"/>
  <c r="M225" i="9" s="1"/>
  <c r="N225" i="9"/>
  <c r="R226" i="9" s="1"/>
  <c r="G226" i="9" l="1"/>
  <c r="B226" i="9" s="1"/>
  <c r="G226" i="10"/>
  <c r="B226" i="10" s="1"/>
  <c r="E226" i="10"/>
  <c r="D226" i="10" s="1"/>
  <c r="C226" i="10" s="1"/>
  <c r="N227" i="10"/>
  <c r="P227" i="10"/>
  <c r="Q227" i="10" s="1"/>
  <c r="M227" i="10" s="1"/>
  <c r="E226" i="9"/>
  <c r="D226" i="9" s="1"/>
  <c r="C226" i="9" s="1"/>
  <c r="P226" i="9"/>
  <c r="Q226" i="9" s="1"/>
  <c r="M226" i="9" s="1"/>
  <c r="N226" i="9"/>
  <c r="R227" i="9" s="1"/>
  <c r="G227" i="9" l="1"/>
  <c r="B227" i="9" s="1"/>
  <c r="G227" i="10"/>
  <c r="B227" i="10"/>
  <c r="E227" i="10"/>
  <c r="D227" i="10" s="1"/>
  <c r="C227" i="10" s="1"/>
  <c r="N228" i="10"/>
  <c r="P228" i="10"/>
  <c r="Q228" i="10" s="1"/>
  <c r="M228" i="10" s="1"/>
  <c r="E227" i="9"/>
  <c r="D227" i="9" s="1"/>
  <c r="C227" i="9" s="1"/>
  <c r="P227" i="9"/>
  <c r="Q227" i="9" s="1"/>
  <c r="M227" i="9" s="1"/>
  <c r="N227" i="9"/>
  <c r="R228" i="9" s="1"/>
  <c r="G228" i="9" l="1"/>
  <c r="B228" i="9" s="1"/>
  <c r="G228" i="10"/>
  <c r="B228" i="10" s="1"/>
  <c r="E228" i="10"/>
  <c r="D228" i="10" s="1"/>
  <c r="C228" i="10" s="1"/>
  <c r="P229" i="10"/>
  <c r="Q229" i="10" s="1"/>
  <c r="M229" i="10" s="1"/>
  <c r="N229" i="10"/>
  <c r="E228" i="9"/>
  <c r="D228" i="9" s="1"/>
  <c r="C228" i="9" s="1"/>
  <c r="N228" i="9"/>
  <c r="R229" i="9" s="1"/>
  <c r="P228" i="9"/>
  <c r="Q228" i="9" s="1"/>
  <c r="M228" i="9" s="1"/>
  <c r="G229" i="9" l="1"/>
  <c r="B229" i="9" s="1"/>
  <c r="G229" i="10"/>
  <c r="B229" i="10" s="1"/>
  <c r="E229" i="10"/>
  <c r="D229" i="10" s="1"/>
  <c r="C229" i="10" s="1"/>
  <c r="P230" i="10"/>
  <c r="Q230" i="10" s="1"/>
  <c r="M230" i="10" s="1"/>
  <c r="N230" i="10"/>
  <c r="E229" i="9"/>
  <c r="D229" i="9" s="1"/>
  <c r="C229" i="9" s="1"/>
  <c r="P229" i="9"/>
  <c r="Q229" i="9" s="1"/>
  <c r="M229" i="9" s="1"/>
  <c r="N229" i="9"/>
  <c r="R230" i="9" s="1"/>
  <c r="G230" i="9" l="1"/>
  <c r="B230" i="9" s="1"/>
  <c r="G230" i="10"/>
  <c r="B230" i="10" s="1"/>
  <c r="E230" i="10"/>
  <c r="D230" i="10" s="1"/>
  <c r="C230" i="10" s="1"/>
  <c r="N231" i="10"/>
  <c r="P231" i="10"/>
  <c r="Q231" i="10" s="1"/>
  <c r="M231" i="10" s="1"/>
  <c r="P230" i="9"/>
  <c r="Q230" i="9" s="1"/>
  <c r="M230" i="9" s="1"/>
  <c r="N230" i="9"/>
  <c r="R231" i="9" s="1"/>
  <c r="E230" i="9"/>
  <c r="D230" i="9" s="1"/>
  <c r="C230" i="9" s="1"/>
  <c r="G231" i="9" l="1"/>
  <c r="B231" i="9" s="1"/>
  <c r="G231" i="10"/>
  <c r="B231" i="10" s="1"/>
  <c r="E231" i="10"/>
  <c r="D231" i="10" s="1"/>
  <c r="C231" i="10" s="1"/>
  <c r="N232" i="10"/>
  <c r="P232" i="10"/>
  <c r="Q232" i="10" s="1"/>
  <c r="M232" i="10" s="1"/>
  <c r="E231" i="9"/>
  <c r="D231" i="9" s="1"/>
  <c r="C231" i="9" s="1"/>
  <c r="N231" i="9"/>
  <c r="R232" i="9" s="1"/>
  <c r="P231" i="9"/>
  <c r="Q231" i="9" s="1"/>
  <c r="M231" i="9" s="1"/>
  <c r="G232" i="9" l="1"/>
  <c r="B232" i="9" s="1"/>
  <c r="G232" i="10"/>
  <c r="B232" i="10"/>
  <c r="E232" i="10"/>
  <c r="D232" i="10" s="1"/>
  <c r="C232" i="10" s="1"/>
  <c r="P233" i="10"/>
  <c r="Q233" i="10" s="1"/>
  <c r="M233" i="10" s="1"/>
  <c r="N233" i="10"/>
  <c r="E232" i="9"/>
  <c r="D232" i="9" s="1"/>
  <c r="C232" i="9" s="1"/>
  <c r="N232" i="9"/>
  <c r="R233" i="9" s="1"/>
  <c r="P232" i="9"/>
  <c r="Q232" i="9" s="1"/>
  <c r="M232" i="9" s="1"/>
  <c r="G233" i="9" l="1"/>
  <c r="B233" i="9" s="1"/>
  <c r="G233" i="10"/>
  <c r="B233" i="10" s="1"/>
  <c r="E233" i="10"/>
  <c r="D233" i="10" s="1"/>
  <c r="C233" i="10" s="1"/>
  <c r="P234" i="10"/>
  <c r="Q234" i="10" s="1"/>
  <c r="M234" i="10" s="1"/>
  <c r="N234" i="10"/>
  <c r="E233" i="9"/>
  <c r="D233" i="9" s="1"/>
  <c r="C233" i="9" s="1"/>
  <c r="P233" i="9"/>
  <c r="Q233" i="9" s="1"/>
  <c r="M233" i="9" s="1"/>
  <c r="N233" i="9"/>
  <c r="R234" i="9" s="1"/>
  <c r="G234" i="9" l="1"/>
  <c r="B234" i="9" s="1"/>
  <c r="G234" i="10"/>
  <c r="B234" i="10" s="1"/>
  <c r="E234" i="10"/>
  <c r="D234" i="10" s="1"/>
  <c r="C234" i="10" s="1"/>
  <c r="N235" i="10"/>
  <c r="P235" i="10"/>
  <c r="Q235" i="10" s="1"/>
  <c r="M235" i="10" s="1"/>
  <c r="E234" i="9"/>
  <c r="D234" i="9" s="1"/>
  <c r="C234" i="9" s="1"/>
  <c r="P234" i="9"/>
  <c r="Q234" i="9" s="1"/>
  <c r="M234" i="9" s="1"/>
  <c r="N234" i="9"/>
  <c r="R235" i="9" s="1"/>
  <c r="G235" i="9" l="1"/>
  <c r="B235" i="9" s="1"/>
  <c r="G235" i="10"/>
  <c r="B235" i="10" s="1"/>
  <c r="E235" i="10"/>
  <c r="D235" i="10" s="1"/>
  <c r="C235" i="10" s="1"/>
  <c r="N236" i="10"/>
  <c r="P236" i="10"/>
  <c r="Q236" i="10" s="1"/>
  <c r="M236" i="10" s="1"/>
  <c r="E235" i="9"/>
  <c r="D235" i="9" s="1"/>
  <c r="C235" i="9" s="1"/>
  <c r="N235" i="9"/>
  <c r="R236" i="9" s="1"/>
  <c r="P235" i="9"/>
  <c r="Q235" i="9" s="1"/>
  <c r="M235" i="9" s="1"/>
  <c r="G236" i="9" l="1"/>
  <c r="B236" i="9" s="1"/>
  <c r="G236" i="10"/>
  <c r="B236" i="10" s="1"/>
  <c r="E236" i="10"/>
  <c r="D236" i="10" s="1"/>
  <c r="C236" i="10" s="1"/>
  <c r="P237" i="10"/>
  <c r="Q237" i="10" s="1"/>
  <c r="M237" i="10" s="1"/>
  <c r="N237" i="10"/>
  <c r="E236" i="9"/>
  <c r="D236" i="9" s="1"/>
  <c r="C236" i="9" s="1"/>
  <c r="N236" i="9"/>
  <c r="R237" i="9" s="1"/>
  <c r="P236" i="9"/>
  <c r="Q236" i="9" s="1"/>
  <c r="M236" i="9" s="1"/>
  <c r="G237" i="9" l="1"/>
  <c r="B237" i="9" s="1"/>
  <c r="G237" i="10"/>
  <c r="B237" i="10" s="1"/>
  <c r="E237" i="10"/>
  <c r="D237" i="10" s="1"/>
  <c r="C237" i="10" s="1"/>
  <c r="P238" i="10"/>
  <c r="Q238" i="10" s="1"/>
  <c r="M238" i="10" s="1"/>
  <c r="N238" i="10"/>
  <c r="E237" i="9"/>
  <c r="D237" i="9" s="1"/>
  <c r="C237" i="9" s="1"/>
  <c r="P237" i="9"/>
  <c r="Q237" i="9" s="1"/>
  <c r="M237" i="9" s="1"/>
  <c r="N237" i="9"/>
  <c r="R238" i="9" s="1"/>
  <c r="G238" i="9" l="1"/>
  <c r="B238" i="9" s="1"/>
  <c r="G238" i="10"/>
  <c r="B238" i="10" s="1"/>
  <c r="E238" i="10"/>
  <c r="D238" i="10" s="1"/>
  <c r="C238" i="10" s="1"/>
  <c r="N239" i="10"/>
  <c r="P239" i="10"/>
  <c r="Q239" i="10" s="1"/>
  <c r="M239" i="10" s="1"/>
  <c r="E238" i="9"/>
  <c r="D238" i="9" s="1"/>
  <c r="C238" i="9" s="1"/>
  <c r="P238" i="9"/>
  <c r="Q238" i="9" s="1"/>
  <c r="M238" i="9" s="1"/>
  <c r="N238" i="9"/>
  <c r="R239" i="9" s="1"/>
  <c r="G239" i="9" l="1"/>
  <c r="B239" i="9" s="1"/>
  <c r="G239" i="10"/>
  <c r="B239" i="10" s="1"/>
  <c r="E239" i="10"/>
  <c r="D239" i="10" s="1"/>
  <c r="C239" i="10" s="1"/>
  <c r="N240" i="10"/>
  <c r="P240" i="10"/>
  <c r="Q240" i="10" s="1"/>
  <c r="M240" i="10" s="1"/>
  <c r="E239" i="9"/>
  <c r="D239" i="9" s="1"/>
  <c r="C239" i="9" s="1"/>
  <c r="N239" i="9"/>
  <c r="R240" i="9" s="1"/>
  <c r="P239" i="9"/>
  <c r="Q239" i="9" s="1"/>
  <c r="M239" i="9" s="1"/>
  <c r="G240" i="9" l="1"/>
  <c r="B240" i="9" s="1"/>
  <c r="G240" i="10"/>
  <c r="B240" i="10" s="1"/>
  <c r="E240" i="10"/>
  <c r="D240" i="10" s="1"/>
  <c r="C240" i="10" s="1"/>
  <c r="P241" i="10"/>
  <c r="Q241" i="10" s="1"/>
  <c r="M241" i="10" s="1"/>
  <c r="N241" i="10"/>
  <c r="E240" i="9"/>
  <c r="D240" i="9" s="1"/>
  <c r="C240" i="9" s="1"/>
  <c r="N240" i="9"/>
  <c r="R241" i="9" s="1"/>
  <c r="P240" i="9"/>
  <c r="Q240" i="9" s="1"/>
  <c r="M240" i="9" s="1"/>
  <c r="G241" i="9" l="1"/>
  <c r="B241" i="9" s="1"/>
  <c r="G241" i="10"/>
  <c r="B241" i="10" s="1"/>
  <c r="E241" i="10"/>
  <c r="D241" i="10" s="1"/>
  <c r="C241" i="10" s="1"/>
  <c r="N242" i="10"/>
  <c r="P242" i="10"/>
  <c r="Q242" i="10" s="1"/>
  <c r="M242" i="10" s="1"/>
  <c r="E241" i="9"/>
  <c r="D241" i="9" s="1"/>
  <c r="C241" i="9" s="1"/>
  <c r="P241" i="9"/>
  <c r="Q241" i="9" s="1"/>
  <c r="M241" i="9" s="1"/>
  <c r="N241" i="9"/>
  <c r="R242" i="9" s="1"/>
  <c r="G242" i="9" l="1"/>
  <c r="B242" i="9" s="1"/>
  <c r="G242" i="10"/>
  <c r="B242" i="10" s="1"/>
  <c r="E242" i="10"/>
  <c r="D242" i="10" s="1"/>
  <c r="C242" i="10" s="1"/>
  <c r="N243" i="10"/>
  <c r="P243" i="10"/>
  <c r="Q243" i="10" s="1"/>
  <c r="M243" i="10" s="1"/>
  <c r="E242" i="9"/>
  <c r="D242" i="9" s="1"/>
  <c r="C242" i="9" s="1"/>
  <c r="P242" i="9"/>
  <c r="Q242" i="9" s="1"/>
  <c r="M242" i="9" s="1"/>
  <c r="N242" i="9"/>
  <c r="R243" i="9" s="1"/>
  <c r="G243" i="9" l="1"/>
  <c r="B243" i="9" s="1"/>
  <c r="G243" i="10"/>
  <c r="B243" i="10" s="1"/>
  <c r="E243" i="10"/>
  <c r="D243" i="10" s="1"/>
  <c r="C243" i="10" s="1"/>
  <c r="N244" i="10"/>
  <c r="P244" i="10"/>
  <c r="Q244" i="10" s="1"/>
  <c r="M244" i="10" s="1"/>
  <c r="E243" i="9"/>
  <c r="D243" i="9" s="1"/>
  <c r="C243" i="9" s="1"/>
  <c r="N243" i="9"/>
  <c r="R244" i="9" s="1"/>
  <c r="P243" i="9"/>
  <c r="Q243" i="9" s="1"/>
  <c r="M243" i="9" s="1"/>
  <c r="G244" i="9" l="1"/>
  <c r="B244" i="9" s="1"/>
  <c r="G244" i="10"/>
  <c r="B244" i="10" s="1"/>
  <c r="E244" i="10"/>
  <c r="D244" i="10" s="1"/>
  <c r="C244" i="10" s="1"/>
  <c r="P245" i="10"/>
  <c r="Q245" i="10" s="1"/>
  <c r="M245" i="10" s="1"/>
  <c r="N245" i="10"/>
  <c r="E244" i="9"/>
  <c r="D244" i="9" s="1"/>
  <c r="C244" i="9" s="1"/>
  <c r="N244" i="9"/>
  <c r="R245" i="9" s="1"/>
  <c r="P244" i="9"/>
  <c r="Q244" i="9" s="1"/>
  <c r="M244" i="9" s="1"/>
  <c r="G245" i="9" l="1"/>
  <c r="B245" i="9" s="1"/>
  <c r="G245" i="10"/>
  <c r="B245" i="10" s="1"/>
  <c r="E245" i="10"/>
  <c r="D245" i="10" s="1"/>
  <c r="C245" i="10" s="1"/>
  <c r="P246" i="10"/>
  <c r="Q246" i="10" s="1"/>
  <c r="M246" i="10" s="1"/>
  <c r="N246" i="10"/>
  <c r="E245" i="9"/>
  <c r="D245" i="9" s="1"/>
  <c r="C245" i="9" s="1"/>
  <c r="P245" i="9"/>
  <c r="Q245" i="9" s="1"/>
  <c r="M245" i="9" s="1"/>
  <c r="N245" i="9"/>
  <c r="R246" i="9" s="1"/>
  <c r="G246" i="9" l="1"/>
  <c r="B246" i="9" s="1"/>
  <c r="G246" i="10"/>
  <c r="B246" i="10" s="1"/>
  <c r="E246" i="10"/>
  <c r="D246" i="10" s="1"/>
  <c r="C246" i="10" s="1"/>
  <c r="N247" i="10"/>
  <c r="P247" i="10"/>
  <c r="Q247" i="10" s="1"/>
  <c r="M247" i="10" s="1"/>
  <c r="P246" i="9"/>
  <c r="Q246" i="9" s="1"/>
  <c r="M246" i="9" s="1"/>
  <c r="N246" i="9"/>
  <c r="R247" i="9" s="1"/>
  <c r="E246" i="9"/>
  <c r="D246" i="9" s="1"/>
  <c r="C246" i="9" s="1"/>
  <c r="G247" i="9" l="1"/>
  <c r="B247" i="9" s="1"/>
  <c r="G247" i="10"/>
  <c r="B247" i="10" s="1"/>
  <c r="E247" i="10"/>
  <c r="D247" i="10" s="1"/>
  <c r="C247" i="10" s="1"/>
  <c r="N248" i="10"/>
  <c r="P248" i="10"/>
  <c r="Q248" i="10" s="1"/>
  <c r="M248" i="10" s="1"/>
  <c r="E247" i="9"/>
  <c r="D247" i="9" s="1"/>
  <c r="C247" i="9" s="1"/>
  <c r="N247" i="9"/>
  <c r="R248" i="9" s="1"/>
  <c r="P247" i="9"/>
  <c r="Q247" i="9" s="1"/>
  <c r="M247" i="9" s="1"/>
  <c r="G248" i="9" l="1"/>
  <c r="B248" i="9" s="1"/>
  <c r="G248" i="10"/>
  <c r="B248" i="10" s="1"/>
  <c r="E248" i="10"/>
  <c r="D248" i="10" s="1"/>
  <c r="C248" i="10" s="1"/>
  <c r="P249" i="10"/>
  <c r="Q249" i="10" s="1"/>
  <c r="M249" i="10" s="1"/>
  <c r="N249" i="10"/>
  <c r="E248" i="9"/>
  <c r="D248" i="9" s="1"/>
  <c r="C248" i="9" s="1"/>
  <c r="N248" i="9"/>
  <c r="R249" i="9" s="1"/>
  <c r="P248" i="9"/>
  <c r="Q248" i="9" s="1"/>
  <c r="M248" i="9" s="1"/>
  <c r="G249" i="9" l="1"/>
  <c r="B249" i="9" s="1"/>
  <c r="G249" i="10"/>
  <c r="B249" i="10" s="1"/>
  <c r="E249" i="10"/>
  <c r="D249" i="10" s="1"/>
  <c r="C249" i="10" s="1"/>
  <c r="P250" i="10"/>
  <c r="Q250" i="10" s="1"/>
  <c r="M250" i="10" s="1"/>
  <c r="N250" i="10"/>
  <c r="E249" i="9"/>
  <c r="D249" i="9" s="1"/>
  <c r="C249" i="9" s="1"/>
  <c r="P249" i="9"/>
  <c r="Q249" i="9" s="1"/>
  <c r="M249" i="9" s="1"/>
  <c r="N249" i="9"/>
  <c r="R250" i="9" s="1"/>
  <c r="G250" i="9" l="1"/>
  <c r="B250" i="9" s="1"/>
  <c r="G250" i="10"/>
  <c r="B250" i="10" s="1"/>
  <c r="E250" i="10"/>
  <c r="D250" i="10" s="1"/>
  <c r="C250" i="10" s="1"/>
  <c r="N251" i="10"/>
  <c r="P251" i="10"/>
  <c r="Q251" i="10" s="1"/>
  <c r="M251" i="10" s="1"/>
  <c r="E250" i="9"/>
  <c r="D250" i="9" s="1"/>
  <c r="C250" i="9" s="1"/>
  <c r="P250" i="9"/>
  <c r="Q250" i="9" s="1"/>
  <c r="M250" i="9" s="1"/>
  <c r="N250" i="9"/>
  <c r="R251" i="9" s="1"/>
  <c r="G251" i="9" l="1"/>
  <c r="B251" i="9" s="1"/>
  <c r="G251" i="10"/>
  <c r="B251" i="10" s="1"/>
  <c r="E251" i="10"/>
  <c r="D251" i="10" s="1"/>
  <c r="C251" i="10" s="1"/>
  <c r="N252" i="10"/>
  <c r="P252" i="10"/>
  <c r="Q252" i="10" s="1"/>
  <c r="M252" i="10" s="1"/>
  <c r="E251" i="9"/>
  <c r="D251" i="9" s="1"/>
  <c r="C251" i="9" s="1"/>
  <c r="N251" i="9"/>
  <c r="R252" i="9" s="1"/>
  <c r="P251" i="9"/>
  <c r="Q251" i="9" s="1"/>
  <c r="M251" i="9" s="1"/>
  <c r="G252" i="9" l="1"/>
  <c r="B252" i="9" s="1"/>
  <c r="G252" i="10"/>
  <c r="B252" i="10" s="1"/>
  <c r="E252" i="10"/>
  <c r="D252" i="10" s="1"/>
  <c r="C252" i="10" s="1"/>
  <c r="P253" i="10"/>
  <c r="Q253" i="10" s="1"/>
  <c r="M253" i="10" s="1"/>
  <c r="N253" i="10"/>
  <c r="E252" i="9"/>
  <c r="D252" i="9" s="1"/>
  <c r="C252" i="9" s="1"/>
  <c r="N252" i="9"/>
  <c r="R253" i="9" s="1"/>
  <c r="P252" i="9"/>
  <c r="Q252" i="9" s="1"/>
  <c r="M252" i="9" s="1"/>
  <c r="G253" i="9" l="1"/>
  <c r="B253" i="9" s="1"/>
  <c r="G253" i="10"/>
  <c r="B253" i="10" s="1"/>
  <c r="E253" i="10"/>
  <c r="D253" i="10" s="1"/>
  <c r="C253" i="10" s="1"/>
  <c r="N254" i="10"/>
  <c r="P254" i="10"/>
  <c r="Q254" i="10" s="1"/>
  <c r="M254" i="10" s="1"/>
  <c r="E253" i="9"/>
  <c r="D253" i="9" s="1"/>
  <c r="C253" i="9" s="1"/>
  <c r="P253" i="9"/>
  <c r="Q253" i="9" s="1"/>
  <c r="M253" i="9" s="1"/>
  <c r="N253" i="9"/>
  <c r="R254" i="9" s="1"/>
  <c r="G254" i="9" l="1"/>
  <c r="B254" i="9" s="1"/>
  <c r="G254" i="10"/>
  <c r="B254" i="10" s="1"/>
  <c r="E254" i="10"/>
  <c r="D254" i="10" s="1"/>
  <c r="C254" i="10" s="1"/>
  <c r="N255" i="10"/>
  <c r="P255" i="10"/>
  <c r="Q255" i="10" s="1"/>
  <c r="M255" i="10" s="1"/>
  <c r="E254" i="9"/>
  <c r="D254" i="9" s="1"/>
  <c r="C254" i="9" s="1"/>
  <c r="P254" i="9"/>
  <c r="Q254" i="9" s="1"/>
  <c r="M254" i="9" s="1"/>
  <c r="N254" i="9"/>
  <c r="R255" i="9" s="1"/>
  <c r="G255" i="9" l="1"/>
  <c r="B255" i="9" s="1"/>
  <c r="G255" i="10"/>
  <c r="B255" i="10" s="1"/>
  <c r="E255" i="10"/>
  <c r="D255" i="10" s="1"/>
  <c r="C255" i="10" s="1"/>
  <c r="N256" i="10"/>
  <c r="P256" i="10"/>
  <c r="Q256" i="10" s="1"/>
  <c r="M256" i="10" s="1"/>
  <c r="E255" i="9"/>
  <c r="D255" i="9" s="1"/>
  <c r="C255" i="9" s="1"/>
  <c r="P255" i="9"/>
  <c r="Q255" i="9" s="1"/>
  <c r="M255" i="9" s="1"/>
  <c r="N255" i="9"/>
  <c r="R256" i="9" s="1"/>
  <c r="G256" i="9" l="1"/>
  <c r="B256" i="9" s="1"/>
  <c r="G256" i="10"/>
  <c r="B256" i="10"/>
  <c r="E256" i="10"/>
  <c r="D256" i="10" s="1"/>
  <c r="C256" i="10" s="1"/>
  <c r="P257" i="10"/>
  <c r="Q257" i="10" s="1"/>
  <c r="M257" i="10" s="1"/>
  <c r="N257" i="10"/>
  <c r="E256" i="9"/>
  <c r="D256" i="9" s="1"/>
  <c r="C256" i="9" s="1"/>
  <c r="N256" i="9"/>
  <c r="R257" i="9" s="1"/>
  <c r="P256" i="9"/>
  <c r="Q256" i="9" s="1"/>
  <c r="M256" i="9" s="1"/>
  <c r="G257" i="9" l="1"/>
  <c r="B257" i="9" s="1"/>
  <c r="G257" i="10"/>
  <c r="B257" i="10" s="1"/>
  <c r="E257" i="10"/>
  <c r="D257" i="10" s="1"/>
  <c r="C257" i="10" s="1"/>
  <c r="P258" i="10"/>
  <c r="Q258" i="10" s="1"/>
  <c r="M258" i="10" s="1"/>
  <c r="N258" i="10"/>
  <c r="E257" i="9"/>
  <c r="D257" i="9" s="1"/>
  <c r="C257" i="9" s="1"/>
  <c r="P257" i="9"/>
  <c r="Q257" i="9" s="1"/>
  <c r="M257" i="9" s="1"/>
  <c r="N257" i="9"/>
  <c r="R258" i="9" s="1"/>
  <c r="G258" i="9" l="1"/>
  <c r="B258" i="9" s="1"/>
  <c r="G258" i="10"/>
  <c r="B258" i="10" s="1"/>
  <c r="E258" i="10"/>
  <c r="D258" i="10" s="1"/>
  <c r="C258" i="10" s="1"/>
  <c r="N259" i="10"/>
  <c r="P259" i="10"/>
  <c r="Q259" i="10" s="1"/>
  <c r="M259" i="10" s="1"/>
  <c r="E258" i="9"/>
  <c r="D258" i="9" s="1"/>
  <c r="C258" i="9" s="1"/>
  <c r="P258" i="9"/>
  <c r="Q258" i="9" s="1"/>
  <c r="M258" i="9" s="1"/>
  <c r="N258" i="9"/>
  <c r="R259" i="9" s="1"/>
  <c r="G259" i="9" l="1"/>
  <c r="B259" i="9" s="1"/>
  <c r="G259" i="10"/>
  <c r="B259" i="10" s="1"/>
  <c r="E259" i="10"/>
  <c r="D259" i="10" s="1"/>
  <c r="C259" i="10" s="1"/>
  <c r="N260" i="10"/>
  <c r="P260" i="10"/>
  <c r="Q260" i="10" s="1"/>
  <c r="M260" i="10" s="1"/>
  <c r="N259" i="9"/>
  <c r="R260" i="9" s="1"/>
  <c r="P259" i="9"/>
  <c r="Q259" i="9" s="1"/>
  <c r="M259" i="9" s="1"/>
  <c r="E259" i="9"/>
  <c r="D259" i="9" s="1"/>
  <c r="C259" i="9" s="1"/>
  <c r="G260" i="9" l="1"/>
  <c r="B260" i="9" s="1"/>
  <c r="G260" i="10"/>
  <c r="B260" i="10" s="1"/>
  <c r="E260" i="10"/>
  <c r="D260" i="10" s="1"/>
  <c r="C260" i="10" s="1"/>
  <c r="P261" i="10"/>
  <c r="Q261" i="10" s="1"/>
  <c r="M261" i="10" s="1"/>
  <c r="N261" i="10"/>
  <c r="E260" i="9"/>
  <c r="D260" i="9" s="1"/>
  <c r="C260" i="9" s="1"/>
  <c r="P260" i="9"/>
  <c r="Q260" i="9" s="1"/>
  <c r="M260" i="9" s="1"/>
  <c r="N260" i="9"/>
  <c r="R261" i="9" s="1"/>
  <c r="G261" i="9" l="1"/>
  <c r="B261" i="9" s="1"/>
  <c r="G261" i="10"/>
  <c r="B261" i="10"/>
  <c r="E261" i="10"/>
  <c r="D261" i="10" s="1"/>
  <c r="C261" i="10" s="1"/>
  <c r="P262" i="10"/>
  <c r="Q262" i="10" s="1"/>
  <c r="M262" i="10" s="1"/>
  <c r="N262" i="10"/>
  <c r="E261" i="9"/>
  <c r="D261" i="9" s="1"/>
  <c r="C261" i="9" s="1"/>
  <c r="P261" i="9"/>
  <c r="Q261" i="9" s="1"/>
  <c r="M261" i="9" s="1"/>
  <c r="N261" i="9"/>
  <c r="R262" i="9" s="1"/>
  <c r="G262" i="9" l="1"/>
  <c r="B262" i="9" s="1"/>
  <c r="G262" i="10"/>
  <c r="B262" i="10" s="1"/>
  <c r="E262" i="10"/>
  <c r="D262" i="10" s="1"/>
  <c r="C262" i="10" s="1"/>
  <c r="N263" i="10"/>
  <c r="P263" i="10"/>
  <c r="Q263" i="10" s="1"/>
  <c r="M263" i="10" s="1"/>
  <c r="P262" i="9"/>
  <c r="Q262" i="9" s="1"/>
  <c r="M262" i="9" s="1"/>
  <c r="N262" i="9"/>
  <c r="R263" i="9" s="1"/>
  <c r="E262" i="9"/>
  <c r="D262" i="9" s="1"/>
  <c r="C262" i="9" s="1"/>
  <c r="G263" i="9" l="1"/>
  <c r="B263" i="9" s="1"/>
  <c r="G263" i="10"/>
  <c r="B263" i="10" s="1"/>
  <c r="E263" i="10"/>
  <c r="D263" i="10" s="1"/>
  <c r="C263" i="10" s="1"/>
  <c r="N264" i="10"/>
  <c r="P264" i="10"/>
  <c r="Q264" i="10" s="1"/>
  <c r="M264" i="10" s="1"/>
  <c r="P263" i="9"/>
  <c r="Q263" i="9" s="1"/>
  <c r="M263" i="9" s="1"/>
  <c r="N263" i="9"/>
  <c r="R264" i="9" s="1"/>
  <c r="E263" i="9"/>
  <c r="D263" i="9" s="1"/>
  <c r="C263" i="9" s="1"/>
  <c r="G264" i="9" l="1"/>
  <c r="B264" i="9" s="1"/>
  <c r="G264" i="10"/>
  <c r="B264" i="10" s="1"/>
  <c r="E264" i="10"/>
  <c r="D264" i="10" s="1"/>
  <c r="C264" i="10" s="1"/>
  <c r="P265" i="10"/>
  <c r="Q265" i="10" s="1"/>
  <c r="M265" i="10" s="1"/>
  <c r="N265" i="10"/>
  <c r="E264" i="9"/>
  <c r="D264" i="9" s="1"/>
  <c r="C264" i="9" s="1"/>
  <c r="N264" i="9"/>
  <c r="R265" i="9" s="1"/>
  <c r="P264" i="9"/>
  <c r="Q264" i="9" s="1"/>
  <c r="M264" i="9" s="1"/>
  <c r="G265" i="9" l="1"/>
  <c r="B265" i="9" s="1"/>
  <c r="G265" i="10"/>
  <c r="B265" i="10" s="1"/>
  <c r="E265" i="10"/>
  <c r="D265" i="10" s="1"/>
  <c r="C265" i="10" s="1"/>
  <c r="P266" i="10"/>
  <c r="Q266" i="10" s="1"/>
  <c r="M266" i="10" s="1"/>
  <c r="N266" i="10"/>
  <c r="E265" i="9"/>
  <c r="D265" i="9" s="1"/>
  <c r="C265" i="9" s="1"/>
  <c r="P265" i="9"/>
  <c r="Q265" i="9" s="1"/>
  <c r="M265" i="9" s="1"/>
  <c r="N265" i="9"/>
  <c r="R266" i="9" s="1"/>
  <c r="G266" i="9" l="1"/>
  <c r="B266" i="9" s="1"/>
  <c r="G266" i="10"/>
  <c r="B266" i="10" s="1"/>
  <c r="E266" i="10"/>
  <c r="D266" i="10" s="1"/>
  <c r="C266" i="10" s="1"/>
  <c r="N267" i="10"/>
  <c r="P267" i="10"/>
  <c r="Q267" i="10" s="1"/>
  <c r="M267" i="10" s="1"/>
  <c r="E266" i="9"/>
  <c r="D266" i="9" s="1"/>
  <c r="C266" i="9" s="1"/>
  <c r="P266" i="9"/>
  <c r="Q266" i="9" s="1"/>
  <c r="M266" i="9" s="1"/>
  <c r="N266" i="9"/>
  <c r="R267" i="9" s="1"/>
  <c r="G267" i="9" l="1"/>
  <c r="B267" i="9" s="1"/>
  <c r="G267" i="10"/>
  <c r="B267" i="10" s="1"/>
  <c r="E267" i="10"/>
  <c r="D267" i="10" s="1"/>
  <c r="C267" i="10" s="1"/>
  <c r="N268" i="10"/>
  <c r="P268" i="10"/>
  <c r="Q268" i="10" s="1"/>
  <c r="M268" i="10" s="1"/>
  <c r="E267" i="9"/>
  <c r="D267" i="9" s="1"/>
  <c r="C267" i="9" s="1"/>
  <c r="N267" i="9"/>
  <c r="R268" i="9" s="1"/>
  <c r="P267" i="9"/>
  <c r="Q267" i="9" s="1"/>
  <c r="M267" i="9" s="1"/>
  <c r="G268" i="9" l="1"/>
  <c r="B268" i="9" s="1"/>
  <c r="G268" i="10"/>
  <c r="B268" i="10" s="1"/>
  <c r="E268" i="10"/>
  <c r="D268" i="10" s="1"/>
  <c r="C268" i="10" s="1"/>
  <c r="P269" i="10"/>
  <c r="Q269" i="10" s="1"/>
  <c r="M269" i="10" s="1"/>
  <c r="N269" i="10"/>
  <c r="E268" i="9"/>
  <c r="D268" i="9" s="1"/>
  <c r="C268" i="9" s="1"/>
  <c r="N268" i="9"/>
  <c r="R269" i="9" s="1"/>
  <c r="P268" i="9"/>
  <c r="Q268" i="9" s="1"/>
  <c r="M268" i="9" s="1"/>
  <c r="G269" i="9" l="1"/>
  <c r="B269" i="9" s="1"/>
  <c r="G269" i="10"/>
  <c r="B269" i="10" s="1"/>
  <c r="E269" i="10"/>
  <c r="D269" i="10" s="1"/>
  <c r="C269" i="10" s="1"/>
  <c r="P270" i="10"/>
  <c r="Q270" i="10" s="1"/>
  <c r="M270" i="10" s="1"/>
  <c r="N270" i="10"/>
  <c r="E269" i="9"/>
  <c r="D269" i="9" s="1"/>
  <c r="C269" i="9" s="1"/>
  <c r="P269" i="9"/>
  <c r="Q269" i="9" s="1"/>
  <c r="M269" i="9" s="1"/>
  <c r="N269" i="9"/>
  <c r="R270" i="9" s="1"/>
  <c r="G270" i="9" l="1"/>
  <c r="B270" i="9" s="1"/>
  <c r="G270" i="10"/>
  <c r="B270" i="10"/>
  <c r="E270" i="10"/>
  <c r="D270" i="10" s="1"/>
  <c r="C270" i="10" s="1"/>
  <c r="N271" i="10"/>
  <c r="P271" i="10"/>
  <c r="Q271" i="10" s="1"/>
  <c r="M271" i="10" s="1"/>
  <c r="E270" i="9"/>
  <c r="D270" i="9" s="1"/>
  <c r="C270" i="9" s="1"/>
  <c r="P270" i="9"/>
  <c r="Q270" i="9" s="1"/>
  <c r="M270" i="9" s="1"/>
  <c r="N270" i="9"/>
  <c r="R271" i="9" s="1"/>
  <c r="G271" i="9" l="1"/>
  <c r="B271" i="9" s="1"/>
  <c r="G271" i="10"/>
  <c r="B271" i="10" s="1"/>
  <c r="E271" i="10"/>
  <c r="D271" i="10" s="1"/>
  <c r="C271" i="10" s="1"/>
  <c r="N272" i="10"/>
  <c r="P272" i="10"/>
  <c r="Q272" i="10" s="1"/>
  <c r="M272" i="10" s="1"/>
  <c r="E271" i="9"/>
  <c r="D271" i="9" s="1"/>
  <c r="C271" i="9" s="1"/>
  <c r="N271" i="9"/>
  <c r="R272" i="9" s="1"/>
  <c r="P271" i="9"/>
  <c r="Q271" i="9" s="1"/>
  <c r="M271" i="9" s="1"/>
  <c r="G272" i="9" l="1"/>
  <c r="B272" i="9" s="1"/>
  <c r="G272" i="10"/>
  <c r="B272" i="10" s="1"/>
  <c r="E272" i="10"/>
  <c r="D272" i="10" s="1"/>
  <c r="C272" i="10" s="1"/>
  <c r="P273" i="10"/>
  <c r="Q273" i="10" s="1"/>
  <c r="M273" i="10" s="1"/>
  <c r="N273" i="10"/>
  <c r="N272" i="9"/>
  <c r="R273" i="9" s="1"/>
  <c r="P272" i="9"/>
  <c r="Q272" i="9" s="1"/>
  <c r="M272" i="9" s="1"/>
  <c r="E272" i="9"/>
  <c r="D272" i="9" s="1"/>
  <c r="C272" i="9" s="1"/>
  <c r="G273" i="9" l="1"/>
  <c r="B273" i="9" s="1"/>
  <c r="G273" i="10"/>
  <c r="B273" i="10" s="1"/>
  <c r="E273" i="10"/>
  <c r="D273" i="10" s="1"/>
  <c r="C273" i="10" s="1"/>
  <c r="P274" i="10"/>
  <c r="Q274" i="10" s="1"/>
  <c r="M274" i="10" s="1"/>
  <c r="N274" i="10"/>
  <c r="E273" i="9"/>
  <c r="D273" i="9" s="1"/>
  <c r="C273" i="9" s="1"/>
  <c r="P273" i="9"/>
  <c r="Q273" i="9" s="1"/>
  <c r="M273" i="9" s="1"/>
  <c r="N273" i="9"/>
  <c r="R274" i="9" s="1"/>
  <c r="G274" i="9" l="1"/>
  <c r="B274" i="9" s="1"/>
  <c r="G274" i="10"/>
  <c r="B274" i="10" s="1"/>
  <c r="E274" i="10"/>
  <c r="D274" i="10" s="1"/>
  <c r="C274" i="10" s="1"/>
  <c r="N275" i="10"/>
  <c r="P275" i="10"/>
  <c r="Q275" i="10" s="1"/>
  <c r="M275" i="10" s="1"/>
  <c r="P274" i="9"/>
  <c r="Q274" i="9" s="1"/>
  <c r="M274" i="9" s="1"/>
  <c r="N274" i="9"/>
  <c r="R275" i="9" s="1"/>
  <c r="E274" i="9"/>
  <c r="D274" i="9" s="1"/>
  <c r="C274" i="9" s="1"/>
  <c r="G275" i="9" l="1"/>
  <c r="B275" i="9" s="1"/>
  <c r="G275" i="10"/>
  <c r="B275" i="10" s="1"/>
  <c r="E275" i="10"/>
  <c r="D275" i="10" s="1"/>
  <c r="C275" i="10" s="1"/>
  <c r="N276" i="10"/>
  <c r="P276" i="10"/>
  <c r="Q276" i="10" s="1"/>
  <c r="M276" i="10" s="1"/>
  <c r="E275" i="9"/>
  <c r="D275" i="9" s="1"/>
  <c r="C275" i="9" s="1"/>
  <c r="N275" i="9"/>
  <c r="R276" i="9" s="1"/>
  <c r="P275" i="9"/>
  <c r="Q275" i="9" s="1"/>
  <c r="M275" i="9" s="1"/>
  <c r="G276" i="9" l="1"/>
  <c r="B276" i="9" s="1"/>
  <c r="G276" i="10"/>
  <c r="B276" i="10" s="1"/>
  <c r="E276" i="10"/>
  <c r="D276" i="10" s="1"/>
  <c r="C276" i="10" s="1"/>
  <c r="P277" i="10"/>
  <c r="Q277" i="10" s="1"/>
  <c r="M277" i="10" s="1"/>
  <c r="N277" i="10"/>
  <c r="E276" i="9"/>
  <c r="D276" i="9" s="1"/>
  <c r="C276" i="9" s="1"/>
  <c r="P276" i="9"/>
  <c r="Q276" i="9" s="1"/>
  <c r="M276" i="9" s="1"/>
  <c r="N276" i="9"/>
  <c r="R277" i="9" s="1"/>
  <c r="G277" i="9" l="1"/>
  <c r="B277" i="9" s="1"/>
  <c r="G277" i="10"/>
  <c r="B277" i="10" s="1"/>
  <c r="E277" i="10"/>
  <c r="D277" i="10" s="1"/>
  <c r="C277" i="10" s="1"/>
  <c r="P278" i="10"/>
  <c r="Q278" i="10" s="1"/>
  <c r="M278" i="10" s="1"/>
  <c r="N278" i="10"/>
  <c r="E277" i="9"/>
  <c r="D277" i="9" s="1"/>
  <c r="C277" i="9" s="1"/>
  <c r="N277" i="9"/>
  <c r="R278" i="9" s="1"/>
  <c r="P277" i="9"/>
  <c r="Q277" i="9" s="1"/>
  <c r="M277" i="9" s="1"/>
  <c r="G278" i="9" l="1"/>
  <c r="B278" i="9" s="1"/>
  <c r="G278" i="10"/>
  <c r="B278" i="10"/>
  <c r="E278" i="10"/>
  <c r="D278" i="10" s="1"/>
  <c r="C278" i="10" s="1"/>
  <c r="N279" i="10"/>
  <c r="P279" i="10"/>
  <c r="Q279" i="10" s="1"/>
  <c r="M279" i="10" s="1"/>
  <c r="E278" i="9"/>
  <c r="D278" i="9" s="1"/>
  <c r="C278" i="9" s="1"/>
  <c r="N278" i="9"/>
  <c r="R279" i="9" s="1"/>
  <c r="P278" i="9"/>
  <c r="Q278" i="9" s="1"/>
  <c r="M278" i="9" s="1"/>
  <c r="G279" i="9" l="1"/>
  <c r="B279" i="9" s="1"/>
  <c r="G279" i="10"/>
  <c r="B279" i="10" s="1"/>
  <c r="E279" i="10"/>
  <c r="D279" i="10" s="1"/>
  <c r="C279" i="10" s="1"/>
  <c r="N280" i="10"/>
  <c r="P280" i="10"/>
  <c r="Q280" i="10" s="1"/>
  <c r="M280" i="10" s="1"/>
  <c r="E279" i="9"/>
  <c r="D279" i="9" s="1"/>
  <c r="C279" i="9" s="1"/>
  <c r="P279" i="9"/>
  <c r="Q279" i="9" s="1"/>
  <c r="M279" i="9" s="1"/>
  <c r="N279" i="9"/>
  <c r="R280" i="9" s="1"/>
  <c r="G280" i="9" l="1"/>
  <c r="B280" i="9" s="1"/>
  <c r="G280" i="10"/>
  <c r="B280" i="10" s="1"/>
  <c r="E280" i="10"/>
  <c r="D280" i="10" s="1"/>
  <c r="C280" i="10" s="1"/>
  <c r="P281" i="10"/>
  <c r="Q281" i="10" s="1"/>
  <c r="M281" i="10" s="1"/>
  <c r="N281" i="10"/>
  <c r="E280" i="9"/>
  <c r="D280" i="9" s="1"/>
  <c r="C280" i="9" s="1"/>
  <c r="P280" i="9"/>
  <c r="Q280" i="9" s="1"/>
  <c r="M280" i="9" s="1"/>
  <c r="N280" i="9"/>
  <c r="R281" i="9" s="1"/>
  <c r="G281" i="9" l="1"/>
  <c r="B281" i="9" s="1"/>
  <c r="G281" i="10"/>
  <c r="B281" i="10" s="1"/>
  <c r="E281" i="10"/>
  <c r="D281" i="10" s="1"/>
  <c r="C281" i="10" s="1"/>
  <c r="N282" i="10"/>
  <c r="P282" i="10"/>
  <c r="Q282" i="10" s="1"/>
  <c r="M282" i="10" s="1"/>
  <c r="N281" i="9"/>
  <c r="R282" i="9" s="1"/>
  <c r="P281" i="9"/>
  <c r="Q281" i="9" s="1"/>
  <c r="M281" i="9" s="1"/>
  <c r="E281" i="9"/>
  <c r="D281" i="9" s="1"/>
  <c r="C281" i="9" s="1"/>
  <c r="G282" i="9" l="1"/>
  <c r="B282" i="9" s="1"/>
  <c r="G282" i="10"/>
  <c r="B282" i="10" s="1"/>
  <c r="E282" i="10"/>
  <c r="D282" i="10" s="1"/>
  <c r="C282" i="10" s="1"/>
  <c r="N283" i="10"/>
  <c r="P283" i="10"/>
  <c r="Q283" i="10" s="1"/>
  <c r="M283" i="10" s="1"/>
  <c r="E282" i="9"/>
  <c r="D282" i="9" s="1"/>
  <c r="C282" i="9" s="1"/>
  <c r="P282" i="9"/>
  <c r="Q282" i="9" s="1"/>
  <c r="M282" i="9" s="1"/>
  <c r="N282" i="9"/>
  <c r="R283" i="9" s="1"/>
  <c r="G283" i="9" l="1"/>
  <c r="B283" i="9" s="1"/>
  <c r="G283" i="10"/>
  <c r="B283" i="10" s="1"/>
  <c r="E283" i="10"/>
  <c r="D283" i="10" s="1"/>
  <c r="C283" i="10" s="1"/>
  <c r="P284" i="10"/>
  <c r="Q284" i="10" s="1"/>
  <c r="M284" i="10" s="1"/>
  <c r="N284" i="10"/>
  <c r="E283" i="9"/>
  <c r="D283" i="9" s="1"/>
  <c r="C283" i="9" s="1"/>
  <c r="P283" i="9"/>
  <c r="Q283" i="9" s="1"/>
  <c r="M283" i="9" s="1"/>
  <c r="N283" i="9"/>
  <c r="R284" i="9" s="1"/>
  <c r="G284" i="9" l="1"/>
  <c r="B284" i="9" s="1"/>
  <c r="G284" i="10"/>
  <c r="B284" i="10" s="1"/>
  <c r="E284" i="10"/>
  <c r="D284" i="10" s="1"/>
  <c r="C284" i="10" s="1"/>
  <c r="P285" i="10"/>
  <c r="Q285" i="10" s="1"/>
  <c r="M285" i="10" s="1"/>
  <c r="N285" i="10"/>
  <c r="E284" i="9"/>
  <c r="D284" i="9" s="1"/>
  <c r="C284" i="9" s="1"/>
  <c r="N284" i="9"/>
  <c r="R285" i="9" s="1"/>
  <c r="P284" i="9"/>
  <c r="Q284" i="9" s="1"/>
  <c r="M284" i="9" s="1"/>
  <c r="G285" i="9" l="1"/>
  <c r="B285" i="9" s="1"/>
  <c r="G285" i="10"/>
  <c r="B285" i="10" s="1"/>
  <c r="E285" i="10"/>
  <c r="D285" i="10" s="1"/>
  <c r="C285" i="10" s="1"/>
  <c r="N286" i="10"/>
  <c r="P286" i="10"/>
  <c r="Q286" i="10" s="1"/>
  <c r="M286" i="10" s="1"/>
  <c r="E285" i="9"/>
  <c r="D285" i="9" s="1"/>
  <c r="C285" i="9" s="1"/>
  <c r="N285" i="9"/>
  <c r="R286" i="9" s="1"/>
  <c r="P285" i="9"/>
  <c r="Q285" i="9" s="1"/>
  <c r="M285" i="9" s="1"/>
  <c r="G286" i="9" l="1"/>
  <c r="B286" i="9" s="1"/>
  <c r="G286" i="10"/>
  <c r="B286" i="10" s="1"/>
  <c r="E286" i="10"/>
  <c r="D286" i="10" s="1"/>
  <c r="C286" i="10" s="1"/>
  <c r="N287" i="10"/>
  <c r="P287" i="10"/>
  <c r="Q287" i="10" s="1"/>
  <c r="M287" i="10" s="1"/>
  <c r="E286" i="9"/>
  <c r="D286" i="9" s="1"/>
  <c r="C286" i="9" s="1"/>
  <c r="P286" i="9"/>
  <c r="Q286" i="9" s="1"/>
  <c r="M286" i="9" s="1"/>
  <c r="N286" i="9"/>
  <c r="R287" i="9" s="1"/>
  <c r="G287" i="9" l="1"/>
  <c r="B287" i="9" s="1"/>
  <c r="G287" i="10"/>
  <c r="B287" i="10" s="1"/>
  <c r="E287" i="10"/>
  <c r="D287" i="10" s="1"/>
  <c r="C287" i="10" s="1"/>
  <c r="N288" i="10"/>
  <c r="P288" i="10"/>
  <c r="Q288" i="10" s="1"/>
  <c r="M288" i="10" s="1"/>
  <c r="E287" i="9"/>
  <c r="D287" i="9" s="1"/>
  <c r="C287" i="9" s="1"/>
  <c r="P287" i="9"/>
  <c r="Q287" i="9" s="1"/>
  <c r="M287" i="9" s="1"/>
  <c r="N287" i="9"/>
  <c r="R288" i="9" s="1"/>
  <c r="G288" i="9" l="1"/>
  <c r="B288" i="9" s="1"/>
  <c r="G288" i="10"/>
  <c r="B288" i="10"/>
  <c r="E288" i="10"/>
  <c r="D288" i="10" s="1"/>
  <c r="C288" i="10" s="1"/>
  <c r="P289" i="10"/>
  <c r="Q289" i="10" s="1"/>
  <c r="M289" i="10" s="1"/>
  <c r="N289" i="10"/>
  <c r="E288" i="9"/>
  <c r="D288" i="9" s="1"/>
  <c r="C288" i="9" s="1"/>
  <c r="P288" i="9"/>
  <c r="Q288" i="9" s="1"/>
  <c r="M288" i="9" s="1"/>
  <c r="N288" i="9"/>
  <c r="R289" i="9" s="1"/>
  <c r="G289" i="9" l="1"/>
  <c r="B289" i="9" s="1"/>
  <c r="G289" i="10"/>
  <c r="B289" i="10" s="1"/>
  <c r="E289" i="10"/>
  <c r="D289" i="10" s="1"/>
  <c r="C289" i="10" s="1"/>
  <c r="P290" i="10"/>
  <c r="Q290" i="10" s="1"/>
  <c r="M290" i="10" s="1"/>
  <c r="N290" i="10"/>
  <c r="E289" i="9"/>
  <c r="D289" i="9" s="1"/>
  <c r="C289" i="9" s="1"/>
  <c r="P289" i="9"/>
  <c r="Q289" i="9" s="1"/>
  <c r="M289" i="9" s="1"/>
  <c r="N289" i="9"/>
  <c r="R290" i="9" s="1"/>
  <c r="G290" i="9" l="1"/>
  <c r="B290" i="9" s="1"/>
  <c r="G290" i="10"/>
  <c r="B290" i="10" s="1"/>
  <c r="E290" i="10"/>
  <c r="D290" i="10" s="1"/>
  <c r="C290" i="10" s="1"/>
  <c r="N291" i="10"/>
  <c r="P291" i="10"/>
  <c r="Q291" i="10" s="1"/>
  <c r="M291" i="10" s="1"/>
  <c r="E290" i="9"/>
  <c r="D290" i="9" s="1"/>
  <c r="C290" i="9" s="1"/>
  <c r="N290" i="9"/>
  <c r="R291" i="9" s="1"/>
  <c r="P290" i="9"/>
  <c r="Q290" i="9" s="1"/>
  <c r="M290" i="9" s="1"/>
  <c r="G291" i="9" l="1"/>
  <c r="B291" i="9" s="1"/>
  <c r="G291" i="10"/>
  <c r="B291" i="10" s="1"/>
  <c r="E291" i="10"/>
  <c r="D291" i="10" s="1"/>
  <c r="C291" i="10" s="1"/>
  <c r="N292" i="10"/>
  <c r="P292" i="10"/>
  <c r="Q292" i="10" s="1"/>
  <c r="M292" i="10" s="1"/>
  <c r="E291" i="9"/>
  <c r="D291" i="9" s="1"/>
  <c r="C291" i="9" s="1"/>
  <c r="P291" i="9"/>
  <c r="Q291" i="9" s="1"/>
  <c r="M291" i="9" s="1"/>
  <c r="N291" i="9"/>
  <c r="R292" i="9" s="1"/>
  <c r="G292" i="9" l="1"/>
  <c r="B292" i="9" s="1"/>
  <c r="G292" i="10"/>
  <c r="B292" i="10" s="1"/>
  <c r="E292" i="10"/>
  <c r="D292" i="10" s="1"/>
  <c r="C292" i="10" s="1"/>
  <c r="P293" i="10"/>
  <c r="Q293" i="10" s="1"/>
  <c r="M293" i="10" s="1"/>
  <c r="N293" i="10"/>
  <c r="E292" i="9"/>
  <c r="D292" i="9" s="1"/>
  <c r="C292" i="9" s="1"/>
  <c r="P292" i="9"/>
  <c r="Q292" i="9" s="1"/>
  <c r="M292" i="9" s="1"/>
  <c r="N292" i="9"/>
  <c r="R293" i="9" s="1"/>
  <c r="G293" i="9" l="1"/>
  <c r="B293" i="9" s="1"/>
  <c r="E293" i="10"/>
  <c r="D293" i="10" s="1"/>
  <c r="C293" i="10" s="1"/>
  <c r="E294" i="10" s="1"/>
  <c r="D294" i="10" s="1"/>
  <c r="C294" i="10" s="1"/>
  <c r="G293" i="10"/>
  <c r="B293" i="10" s="1"/>
  <c r="P294" i="10"/>
  <c r="Q294" i="10" s="1"/>
  <c r="M294" i="10" s="1"/>
  <c r="N294" i="10"/>
  <c r="E293" i="9"/>
  <c r="D293" i="9" s="1"/>
  <c r="C293" i="9" s="1"/>
  <c r="N293" i="9"/>
  <c r="R294" i="9" s="1"/>
  <c r="P293" i="9"/>
  <c r="Q293" i="9" s="1"/>
  <c r="M293" i="9" s="1"/>
  <c r="G294" i="9" l="1"/>
  <c r="B294" i="9" s="1"/>
  <c r="G295" i="10"/>
  <c r="B295" i="10"/>
  <c r="G294" i="10"/>
  <c r="B294" i="10" s="1"/>
  <c r="P295" i="10"/>
  <c r="Q295" i="10" s="1"/>
  <c r="M295" i="10" s="1"/>
  <c r="N295" i="10"/>
  <c r="E295" i="10"/>
  <c r="D295" i="10" s="1"/>
  <c r="C295" i="10" s="1"/>
  <c r="E294" i="9"/>
  <c r="D294" i="9" s="1"/>
  <c r="C294" i="9" s="1"/>
  <c r="N294" i="9"/>
  <c r="R295" i="9" s="1"/>
  <c r="P294" i="9"/>
  <c r="Q294" i="9" s="1"/>
  <c r="M294" i="9" s="1"/>
  <c r="G295" i="9" l="1"/>
  <c r="B295" i="9" s="1"/>
  <c r="G296" i="10"/>
  <c r="B296" i="10" s="1"/>
  <c r="P296" i="10"/>
  <c r="Q296" i="10" s="1"/>
  <c r="M296" i="10" s="1"/>
  <c r="N296" i="10"/>
  <c r="E296" i="10"/>
  <c r="D296" i="10" s="1"/>
  <c r="C296" i="10" s="1"/>
  <c r="E295" i="9"/>
  <c r="D295" i="9" s="1"/>
  <c r="C295" i="9" s="1"/>
  <c r="P295" i="9"/>
  <c r="Q295" i="9" s="1"/>
  <c r="M295" i="9" s="1"/>
  <c r="N295" i="9"/>
  <c r="R296" i="9" s="1"/>
  <c r="G296" i="9" l="1"/>
  <c r="B296" i="9" s="1"/>
  <c r="G297" i="10"/>
  <c r="B297" i="10" s="1"/>
  <c r="P297" i="10"/>
  <c r="Q297" i="10" s="1"/>
  <c r="M297" i="10" s="1"/>
  <c r="N297" i="10"/>
  <c r="E297" i="10"/>
  <c r="D297" i="10" s="1"/>
  <c r="C297" i="10" s="1"/>
  <c r="E296" i="9"/>
  <c r="D296" i="9" s="1"/>
  <c r="C296" i="9" s="1"/>
  <c r="P296" i="9"/>
  <c r="Q296" i="9" s="1"/>
  <c r="M296" i="9" s="1"/>
  <c r="N296" i="9"/>
  <c r="R297" i="9" s="1"/>
  <c r="G297" i="9" l="1"/>
  <c r="B297" i="9" s="1"/>
  <c r="G298" i="10"/>
  <c r="B298" i="10" s="1"/>
  <c r="P298" i="10"/>
  <c r="Q298" i="10" s="1"/>
  <c r="M298" i="10" s="1"/>
  <c r="N298" i="10"/>
  <c r="E298" i="10"/>
  <c r="D298" i="10" s="1"/>
  <c r="C298" i="10" s="1"/>
  <c r="E297" i="9"/>
  <c r="D297" i="9" s="1"/>
  <c r="C297" i="9" s="1"/>
  <c r="P297" i="9"/>
  <c r="Q297" i="9" s="1"/>
  <c r="M297" i="9" s="1"/>
  <c r="N297" i="9"/>
  <c r="R298" i="9" s="1"/>
  <c r="G298" i="9" l="1"/>
  <c r="B298" i="9" s="1"/>
  <c r="G299" i="10"/>
  <c r="B299" i="10" s="1"/>
  <c r="P299" i="10"/>
  <c r="Q299" i="10" s="1"/>
  <c r="M299" i="10" s="1"/>
  <c r="N299" i="10"/>
  <c r="E299" i="10"/>
  <c r="D299" i="10" s="1"/>
  <c r="C299" i="10" s="1"/>
  <c r="E298" i="9"/>
  <c r="D298" i="9" s="1"/>
  <c r="C298" i="9" s="1"/>
  <c r="P298" i="9"/>
  <c r="Q298" i="9" s="1"/>
  <c r="M298" i="9" s="1"/>
  <c r="N298" i="9"/>
  <c r="R299" i="9" s="1"/>
  <c r="G299" i="9" l="1"/>
  <c r="B299" i="9" s="1"/>
  <c r="G300" i="10"/>
  <c r="B300" i="10" s="1"/>
  <c r="P300" i="10"/>
  <c r="Q300" i="10" s="1"/>
  <c r="M300" i="10" s="1"/>
  <c r="N300" i="10"/>
  <c r="E300" i="10"/>
  <c r="D300" i="10" s="1"/>
  <c r="C300" i="10" s="1"/>
  <c r="E299" i="9"/>
  <c r="D299" i="9" s="1"/>
  <c r="C299" i="9" s="1"/>
  <c r="P299" i="9"/>
  <c r="Q299" i="9" s="1"/>
  <c r="M299" i="9" s="1"/>
  <c r="N299" i="9"/>
  <c r="R300" i="9" s="1"/>
  <c r="G300" i="9" l="1"/>
  <c r="B300" i="9" s="1"/>
  <c r="G301" i="10"/>
  <c r="B301" i="10" s="1"/>
  <c r="P301" i="10"/>
  <c r="Q301" i="10" s="1"/>
  <c r="M301" i="10" s="1"/>
  <c r="N301" i="10"/>
  <c r="E301" i="10"/>
  <c r="D301" i="10" s="1"/>
  <c r="C301" i="10" s="1"/>
  <c r="E300" i="9"/>
  <c r="D300" i="9" s="1"/>
  <c r="C300" i="9" s="1"/>
  <c r="N300" i="9"/>
  <c r="R301" i="9" s="1"/>
  <c r="P300" i="9"/>
  <c r="Q300" i="9" s="1"/>
  <c r="M300" i="9" s="1"/>
  <c r="G301" i="9" l="1"/>
  <c r="B301" i="9" s="1"/>
  <c r="G302" i="10"/>
  <c r="B302" i="10" s="1"/>
  <c r="P302" i="10"/>
  <c r="Q302" i="10" s="1"/>
  <c r="M302" i="10" s="1"/>
  <c r="N302" i="10"/>
  <c r="E302" i="10"/>
  <c r="D302" i="10" s="1"/>
  <c r="C302" i="10" s="1"/>
  <c r="E301" i="9"/>
  <c r="D301" i="9" s="1"/>
  <c r="C301" i="9" s="1"/>
  <c r="P301" i="9"/>
  <c r="Q301" i="9" s="1"/>
  <c r="M301" i="9" s="1"/>
  <c r="N301" i="9"/>
  <c r="R302" i="9" s="1"/>
  <c r="G302" i="9" l="1"/>
  <c r="B302" i="9" s="1"/>
  <c r="G303" i="10"/>
  <c r="B303" i="10"/>
  <c r="P303" i="10"/>
  <c r="Q303" i="10" s="1"/>
  <c r="M303" i="10" s="1"/>
  <c r="N303" i="10"/>
  <c r="E303" i="10"/>
  <c r="D303" i="10" s="1"/>
  <c r="C303" i="10" s="1"/>
  <c r="E302" i="9"/>
  <c r="D302" i="9" s="1"/>
  <c r="C302" i="9" s="1"/>
  <c r="P302" i="9"/>
  <c r="Q302" i="9" s="1"/>
  <c r="M302" i="9" s="1"/>
  <c r="N302" i="9"/>
  <c r="R303" i="9" s="1"/>
  <c r="G303" i="9" l="1"/>
  <c r="B303" i="9" s="1"/>
  <c r="G304" i="10"/>
  <c r="B304" i="10" s="1"/>
  <c r="P304" i="10"/>
  <c r="Q304" i="10" s="1"/>
  <c r="M304" i="10" s="1"/>
  <c r="N304" i="10"/>
  <c r="E304" i="10"/>
  <c r="D304" i="10" s="1"/>
  <c r="C304" i="10" s="1"/>
  <c r="E303" i="9"/>
  <c r="D303" i="9" s="1"/>
  <c r="C303" i="9" s="1"/>
  <c r="P303" i="9"/>
  <c r="Q303" i="9" s="1"/>
  <c r="M303" i="9" s="1"/>
  <c r="N303" i="9"/>
  <c r="R304" i="9" s="1"/>
  <c r="G304" i="9" l="1"/>
  <c r="B304" i="9" s="1"/>
  <c r="G305" i="10"/>
  <c r="B305" i="10" s="1"/>
  <c r="N305" i="10"/>
  <c r="P305" i="10"/>
  <c r="Q305" i="10" s="1"/>
  <c r="M305" i="10" s="1"/>
  <c r="E305" i="10"/>
  <c r="D305" i="10" s="1"/>
  <c r="C305" i="10" s="1"/>
  <c r="E304" i="9"/>
  <c r="D304" i="9" s="1"/>
  <c r="C304" i="9" s="1"/>
  <c r="P304" i="9"/>
  <c r="Q304" i="9" s="1"/>
  <c r="M304" i="9" s="1"/>
  <c r="N304" i="9"/>
  <c r="R305" i="9" s="1"/>
  <c r="G305" i="9" l="1"/>
  <c r="B305" i="9" s="1"/>
  <c r="G306" i="10"/>
  <c r="B306" i="10" s="1"/>
  <c r="P306" i="10"/>
  <c r="Q306" i="10" s="1"/>
  <c r="M306" i="10" s="1"/>
  <c r="N306" i="10"/>
  <c r="E306" i="10"/>
  <c r="D306" i="10" s="1"/>
  <c r="C306" i="10" s="1"/>
  <c r="E305" i="9"/>
  <c r="D305" i="9" s="1"/>
  <c r="C305" i="9" s="1"/>
  <c r="N305" i="9"/>
  <c r="R306" i="9" s="1"/>
  <c r="P305" i="9"/>
  <c r="Q305" i="9" s="1"/>
  <c r="M305" i="9" s="1"/>
  <c r="G306" i="9" l="1"/>
  <c r="B306" i="9" s="1"/>
  <c r="G307" i="10"/>
  <c r="B307" i="10"/>
  <c r="P307" i="10"/>
  <c r="Q307" i="10" s="1"/>
  <c r="M307" i="10" s="1"/>
  <c r="N307" i="10"/>
  <c r="E307" i="10"/>
  <c r="D307" i="10" s="1"/>
  <c r="C307" i="10" s="1"/>
  <c r="E306" i="9"/>
  <c r="D306" i="9" s="1"/>
  <c r="C306" i="9" s="1"/>
  <c r="N306" i="9"/>
  <c r="R307" i="9" s="1"/>
  <c r="P306" i="9"/>
  <c r="Q306" i="9" s="1"/>
  <c r="M306" i="9" s="1"/>
  <c r="G307" i="9" l="1"/>
  <c r="B307" i="9" s="1"/>
  <c r="G308" i="10"/>
  <c r="B308" i="10" s="1"/>
  <c r="P308" i="10"/>
  <c r="Q308" i="10" s="1"/>
  <c r="M308" i="10" s="1"/>
  <c r="N308" i="10"/>
  <c r="E308" i="10"/>
  <c r="D308" i="10" s="1"/>
  <c r="C308" i="10" s="1"/>
  <c r="P307" i="9"/>
  <c r="Q307" i="9" s="1"/>
  <c r="M307" i="9" s="1"/>
  <c r="N307" i="9"/>
  <c r="R308" i="9" s="1"/>
  <c r="E307" i="9"/>
  <c r="D307" i="9" s="1"/>
  <c r="C307" i="9" s="1"/>
  <c r="G308" i="9" l="1"/>
  <c r="B308" i="9" s="1"/>
  <c r="G309" i="10"/>
  <c r="B309" i="10" s="1"/>
  <c r="P309" i="10"/>
  <c r="Q309" i="10" s="1"/>
  <c r="M309" i="10" s="1"/>
  <c r="N309" i="10"/>
  <c r="E309" i="10"/>
  <c r="D309" i="10" s="1"/>
  <c r="C309" i="10" s="1"/>
  <c r="E308" i="9"/>
  <c r="D308" i="9" s="1"/>
  <c r="C308" i="9" s="1"/>
  <c r="N308" i="9"/>
  <c r="R309" i="9" s="1"/>
  <c r="P308" i="9"/>
  <c r="Q308" i="9" s="1"/>
  <c r="M308" i="9" s="1"/>
  <c r="G309" i="9" l="1"/>
  <c r="B309" i="9" s="1"/>
  <c r="G310" i="10"/>
  <c r="B310" i="10" s="1"/>
  <c r="P310" i="10"/>
  <c r="Q310" i="10" s="1"/>
  <c r="M310" i="10" s="1"/>
  <c r="N310" i="10"/>
  <c r="E310" i="10"/>
  <c r="D310" i="10" s="1"/>
  <c r="C310" i="10" s="1"/>
  <c r="E309" i="9"/>
  <c r="D309" i="9" s="1"/>
  <c r="C309" i="9" s="1"/>
  <c r="N309" i="9"/>
  <c r="R310" i="9" s="1"/>
  <c r="P309" i="9"/>
  <c r="Q309" i="9" s="1"/>
  <c r="M309" i="9" s="1"/>
  <c r="G310" i="9" l="1"/>
  <c r="B310" i="9" s="1"/>
  <c r="G311" i="10"/>
  <c r="B311" i="10" s="1"/>
  <c r="N311" i="10"/>
  <c r="P311" i="10"/>
  <c r="Q311" i="10" s="1"/>
  <c r="M311" i="10" s="1"/>
  <c r="E311" i="10"/>
  <c r="D311" i="10" s="1"/>
  <c r="C311" i="10" s="1"/>
  <c r="E310" i="9"/>
  <c r="D310" i="9" s="1"/>
  <c r="C310" i="9" s="1"/>
  <c r="P310" i="9"/>
  <c r="Q310" i="9" s="1"/>
  <c r="M310" i="9" s="1"/>
  <c r="N310" i="9"/>
  <c r="R311" i="9" s="1"/>
  <c r="G311" i="9" l="1"/>
  <c r="B311" i="9" s="1"/>
  <c r="G312" i="10"/>
  <c r="B312" i="10" s="1"/>
  <c r="P312" i="10"/>
  <c r="Q312" i="10" s="1"/>
  <c r="M312" i="10" s="1"/>
  <c r="N312" i="10"/>
  <c r="E312" i="10"/>
  <c r="D312" i="10" s="1"/>
  <c r="C312" i="10" s="1"/>
  <c r="E311" i="9"/>
  <c r="D311" i="9" s="1"/>
  <c r="C311" i="9" s="1"/>
  <c r="P311" i="9"/>
  <c r="Q311" i="9" s="1"/>
  <c r="M311" i="9" s="1"/>
  <c r="N311" i="9"/>
  <c r="R312" i="9" s="1"/>
  <c r="G312" i="9" l="1"/>
  <c r="B312" i="9" s="1"/>
  <c r="G313" i="10"/>
  <c r="B313" i="10" s="1"/>
  <c r="P313" i="10"/>
  <c r="Q313" i="10" s="1"/>
  <c r="M313" i="10" s="1"/>
  <c r="N313" i="10"/>
  <c r="E313" i="10"/>
  <c r="D313" i="10" s="1"/>
  <c r="C313" i="10" s="1"/>
  <c r="E312" i="9"/>
  <c r="D312" i="9" s="1"/>
  <c r="C312" i="9" s="1"/>
  <c r="P312" i="9"/>
  <c r="Q312" i="9" s="1"/>
  <c r="M312" i="9" s="1"/>
  <c r="N312" i="9"/>
  <c r="R313" i="9" s="1"/>
  <c r="G313" i="9" l="1"/>
  <c r="B313" i="9" s="1"/>
  <c r="G314" i="10"/>
  <c r="B314" i="10" s="1"/>
  <c r="P314" i="10"/>
  <c r="Q314" i="10" s="1"/>
  <c r="M314" i="10" s="1"/>
  <c r="N314" i="10"/>
  <c r="E314" i="10"/>
  <c r="D314" i="10" s="1"/>
  <c r="C314" i="10" s="1"/>
  <c r="E313" i="9"/>
  <c r="D313" i="9" s="1"/>
  <c r="C313" i="9" s="1"/>
  <c r="P313" i="9"/>
  <c r="Q313" i="9" s="1"/>
  <c r="M313" i="9" s="1"/>
  <c r="N313" i="9"/>
  <c r="R314" i="9" s="1"/>
  <c r="G314" i="9" l="1"/>
  <c r="B314" i="9" s="1"/>
  <c r="G315" i="10"/>
  <c r="B315" i="10" s="1"/>
  <c r="N315" i="10"/>
  <c r="P315" i="10"/>
  <c r="Q315" i="10" s="1"/>
  <c r="M315" i="10" s="1"/>
  <c r="E315" i="10"/>
  <c r="D315" i="10" s="1"/>
  <c r="C315" i="10" s="1"/>
  <c r="P314" i="9"/>
  <c r="Q314" i="9" s="1"/>
  <c r="M314" i="9" s="1"/>
  <c r="N314" i="9"/>
  <c r="R315" i="9" s="1"/>
  <c r="E314" i="9"/>
  <c r="D314" i="9" s="1"/>
  <c r="C314" i="9" s="1"/>
  <c r="G315" i="9" l="1"/>
  <c r="B315" i="9" s="1"/>
  <c r="G316" i="10"/>
  <c r="B316" i="10" s="1"/>
  <c r="P316" i="10"/>
  <c r="Q316" i="10" s="1"/>
  <c r="M316" i="10" s="1"/>
  <c r="N316" i="10"/>
  <c r="E316" i="10"/>
  <c r="D316" i="10" s="1"/>
  <c r="C316" i="10" s="1"/>
  <c r="E315" i="9"/>
  <c r="D315" i="9" s="1"/>
  <c r="C315" i="9" s="1"/>
  <c r="N315" i="9"/>
  <c r="R316" i="9" s="1"/>
  <c r="P315" i="9"/>
  <c r="Q315" i="9" s="1"/>
  <c r="M315" i="9" s="1"/>
  <c r="G316" i="9" l="1"/>
  <c r="B316" i="9" s="1"/>
  <c r="G317" i="10"/>
  <c r="B317" i="10" s="1"/>
  <c r="P317" i="10"/>
  <c r="Q317" i="10" s="1"/>
  <c r="M317" i="10" s="1"/>
  <c r="N317" i="10"/>
  <c r="E317" i="10"/>
  <c r="D317" i="10" s="1"/>
  <c r="C317" i="10" s="1"/>
  <c r="E316" i="9"/>
  <c r="D316" i="9" s="1"/>
  <c r="C316" i="9" s="1"/>
  <c r="P316" i="9"/>
  <c r="Q316" i="9" s="1"/>
  <c r="M316" i="9" s="1"/>
  <c r="N316" i="9"/>
  <c r="R317" i="9" s="1"/>
  <c r="G317" i="9" l="1"/>
  <c r="B317" i="9" s="1"/>
  <c r="G318" i="10"/>
  <c r="B318" i="10" s="1"/>
  <c r="N318" i="10"/>
  <c r="P318" i="10"/>
  <c r="Q318" i="10" s="1"/>
  <c r="M318" i="10" s="1"/>
  <c r="E318" i="10"/>
  <c r="D318" i="10" s="1"/>
  <c r="C318" i="10" s="1"/>
  <c r="P317" i="9"/>
  <c r="Q317" i="9" s="1"/>
  <c r="M317" i="9" s="1"/>
  <c r="N317" i="9"/>
  <c r="R318" i="9" s="1"/>
  <c r="E317" i="9"/>
  <c r="D317" i="9" s="1"/>
  <c r="C317" i="9" s="1"/>
  <c r="G318" i="9" l="1"/>
  <c r="B318" i="9" s="1"/>
  <c r="G319" i="10"/>
  <c r="B319" i="10"/>
  <c r="N319" i="10"/>
  <c r="P319" i="10"/>
  <c r="Q319" i="10" s="1"/>
  <c r="M319" i="10" s="1"/>
  <c r="E319" i="10"/>
  <c r="D319" i="10" s="1"/>
  <c r="C319" i="10" s="1"/>
  <c r="E318" i="9"/>
  <c r="D318" i="9" s="1"/>
  <c r="C318" i="9" s="1"/>
  <c r="P318" i="9"/>
  <c r="Q318" i="9" s="1"/>
  <c r="M318" i="9" s="1"/>
  <c r="N318" i="9"/>
  <c r="R319" i="9" s="1"/>
  <c r="G319" i="9" l="1"/>
  <c r="B319" i="9" s="1"/>
  <c r="G320" i="10"/>
  <c r="B320" i="10" s="1"/>
  <c r="N320" i="10"/>
  <c r="P320" i="10"/>
  <c r="Q320" i="10" s="1"/>
  <c r="M320" i="10" s="1"/>
  <c r="E320" i="10"/>
  <c r="D320" i="10" s="1"/>
  <c r="C320" i="10" s="1"/>
  <c r="E319" i="9"/>
  <c r="D319" i="9" s="1"/>
  <c r="C319" i="9" s="1"/>
  <c r="P319" i="9"/>
  <c r="Q319" i="9" s="1"/>
  <c r="M319" i="9" s="1"/>
  <c r="N319" i="9"/>
  <c r="R320" i="9" s="1"/>
  <c r="G320" i="9" l="1"/>
  <c r="B320" i="9" s="1"/>
  <c r="G321" i="10"/>
  <c r="B321" i="10" s="1"/>
  <c r="N321" i="10"/>
  <c r="P321" i="10"/>
  <c r="Q321" i="10" s="1"/>
  <c r="M321" i="10" s="1"/>
  <c r="E321" i="10"/>
  <c r="D321" i="10" s="1"/>
  <c r="C321" i="10" s="1"/>
  <c r="E320" i="9"/>
  <c r="D320" i="9" s="1"/>
  <c r="C320" i="9" s="1"/>
  <c r="P320" i="9"/>
  <c r="Q320" i="9" s="1"/>
  <c r="M320" i="9" s="1"/>
  <c r="N320" i="9"/>
  <c r="R321" i="9" s="1"/>
  <c r="G321" i="9" l="1"/>
  <c r="B321" i="9" s="1"/>
  <c r="G322" i="10"/>
  <c r="B322" i="10" s="1"/>
  <c r="N322" i="10"/>
  <c r="P322" i="10"/>
  <c r="Q322" i="10" s="1"/>
  <c r="M322" i="10" s="1"/>
  <c r="E322" i="10"/>
  <c r="D322" i="10" s="1"/>
  <c r="C322" i="10" s="1"/>
  <c r="E321" i="9"/>
  <c r="D321" i="9" s="1"/>
  <c r="C321" i="9" s="1"/>
  <c r="N321" i="9"/>
  <c r="R322" i="9" s="1"/>
  <c r="P321" i="9"/>
  <c r="Q321" i="9" s="1"/>
  <c r="M321" i="9" s="1"/>
  <c r="G322" i="9" l="1"/>
  <c r="B322" i="9" s="1"/>
  <c r="G323" i="10"/>
  <c r="B323" i="10" s="1"/>
  <c r="P323" i="10"/>
  <c r="Q323" i="10" s="1"/>
  <c r="M323" i="10" s="1"/>
  <c r="N323" i="10"/>
  <c r="E323" i="10"/>
  <c r="D323" i="10" s="1"/>
  <c r="C323" i="10" s="1"/>
  <c r="E322" i="9"/>
  <c r="D322" i="9" s="1"/>
  <c r="C322" i="9" s="1"/>
  <c r="P322" i="9"/>
  <c r="Q322" i="9" s="1"/>
  <c r="M322" i="9" s="1"/>
  <c r="N322" i="9"/>
  <c r="R323" i="9" s="1"/>
  <c r="G323" i="9" l="1"/>
  <c r="B323" i="9" s="1"/>
  <c r="G324" i="10"/>
  <c r="B324" i="10"/>
  <c r="P324" i="10"/>
  <c r="Q324" i="10" s="1"/>
  <c r="M324" i="10" s="1"/>
  <c r="N324" i="10"/>
  <c r="E324" i="10"/>
  <c r="D324" i="10" s="1"/>
  <c r="C324" i="10" s="1"/>
  <c r="E323" i="9"/>
  <c r="D323" i="9" s="1"/>
  <c r="C323" i="9" s="1"/>
  <c r="P323" i="9"/>
  <c r="Q323" i="9" s="1"/>
  <c r="M323" i="9" s="1"/>
  <c r="N323" i="9"/>
  <c r="R324" i="9" s="1"/>
  <c r="G324" i="9" l="1"/>
  <c r="B324" i="9" s="1"/>
  <c r="G325" i="10"/>
  <c r="B325" i="10"/>
  <c r="P325" i="10"/>
  <c r="Q325" i="10" s="1"/>
  <c r="M325" i="10" s="1"/>
  <c r="N325" i="10"/>
  <c r="E325" i="10"/>
  <c r="D325" i="10" s="1"/>
  <c r="C325" i="10" s="1"/>
  <c r="E324" i="9"/>
  <c r="D324" i="9" s="1"/>
  <c r="C324" i="9" s="1"/>
  <c r="P324" i="9"/>
  <c r="Q324" i="9" s="1"/>
  <c r="M324" i="9" s="1"/>
  <c r="N324" i="9"/>
  <c r="R325" i="9" s="1"/>
  <c r="G325" i="9" l="1"/>
  <c r="B325" i="9" s="1"/>
  <c r="G326" i="10"/>
  <c r="B326" i="10" s="1"/>
  <c r="P326" i="10"/>
  <c r="Q326" i="10" s="1"/>
  <c r="M326" i="10" s="1"/>
  <c r="N326" i="10"/>
  <c r="E326" i="10"/>
  <c r="D326" i="10" s="1"/>
  <c r="C326" i="10" s="1"/>
  <c r="E325" i="9"/>
  <c r="D325" i="9" s="1"/>
  <c r="C325" i="9" s="1"/>
  <c r="P325" i="9"/>
  <c r="Q325" i="9" s="1"/>
  <c r="M325" i="9" s="1"/>
  <c r="N325" i="9"/>
  <c r="R326" i="9" s="1"/>
  <c r="G326" i="9" l="1"/>
  <c r="B326" i="9" s="1"/>
  <c r="G327" i="10"/>
  <c r="B327" i="10"/>
  <c r="P327" i="10"/>
  <c r="Q327" i="10" s="1"/>
  <c r="M327" i="10" s="1"/>
  <c r="N327" i="10"/>
  <c r="E327" i="10"/>
  <c r="D327" i="10" s="1"/>
  <c r="C327" i="10" s="1"/>
  <c r="E326" i="9"/>
  <c r="D326" i="9" s="1"/>
  <c r="C326" i="9" s="1"/>
  <c r="P326" i="9"/>
  <c r="Q326" i="9" s="1"/>
  <c r="M326" i="9" s="1"/>
  <c r="N326" i="9"/>
  <c r="R327" i="9" s="1"/>
  <c r="G327" i="9" l="1"/>
  <c r="B327" i="9" s="1"/>
  <c r="G328" i="10"/>
  <c r="B328" i="10" s="1"/>
  <c r="P328" i="10"/>
  <c r="Q328" i="10" s="1"/>
  <c r="M328" i="10" s="1"/>
  <c r="N328" i="10"/>
  <c r="E328" i="10"/>
  <c r="D328" i="10" s="1"/>
  <c r="C328" i="10" s="1"/>
  <c r="E327" i="9"/>
  <c r="D327" i="9" s="1"/>
  <c r="C327" i="9" s="1"/>
  <c r="N327" i="9"/>
  <c r="R328" i="9" s="1"/>
  <c r="P327" i="9"/>
  <c r="Q327" i="9" s="1"/>
  <c r="M327" i="9" s="1"/>
  <c r="G328" i="9" l="1"/>
  <c r="B328" i="9" s="1"/>
  <c r="G329" i="10"/>
  <c r="B329" i="10"/>
  <c r="P329" i="10"/>
  <c r="Q329" i="10" s="1"/>
  <c r="M329" i="10" s="1"/>
  <c r="N329" i="10"/>
  <c r="E329" i="10"/>
  <c r="D329" i="10" s="1"/>
  <c r="C329" i="10" s="1"/>
  <c r="E328" i="9"/>
  <c r="D328" i="9" s="1"/>
  <c r="C328" i="9" s="1"/>
  <c r="P328" i="9"/>
  <c r="Q328" i="9" s="1"/>
  <c r="M328" i="9" s="1"/>
  <c r="N328" i="9"/>
  <c r="R329" i="9" s="1"/>
  <c r="G329" i="9" l="1"/>
  <c r="B329" i="9" s="1"/>
  <c r="G330" i="10"/>
  <c r="B330" i="10"/>
  <c r="P330" i="10"/>
  <c r="Q330" i="10" s="1"/>
  <c r="M330" i="10" s="1"/>
  <c r="N330" i="10"/>
  <c r="E330" i="10"/>
  <c r="D330" i="10" s="1"/>
  <c r="C330" i="10" s="1"/>
  <c r="E329" i="9"/>
  <c r="D329" i="9" s="1"/>
  <c r="C329" i="9" s="1"/>
  <c r="N329" i="9"/>
  <c r="R330" i="9" s="1"/>
  <c r="P329" i="9"/>
  <c r="Q329" i="9" s="1"/>
  <c r="M329" i="9" s="1"/>
  <c r="G330" i="9" l="1"/>
  <c r="B330" i="9" s="1"/>
  <c r="G331" i="10"/>
  <c r="B331" i="10" s="1"/>
  <c r="P331" i="10"/>
  <c r="Q331" i="10" s="1"/>
  <c r="M331" i="10" s="1"/>
  <c r="N331" i="10"/>
  <c r="E331" i="10"/>
  <c r="D331" i="10" s="1"/>
  <c r="C331" i="10" s="1"/>
  <c r="E330" i="9"/>
  <c r="D330" i="9" s="1"/>
  <c r="C330" i="9" s="1"/>
  <c r="P330" i="9"/>
  <c r="Q330" i="9" s="1"/>
  <c r="M330" i="9" s="1"/>
  <c r="N330" i="9"/>
  <c r="R331" i="9" s="1"/>
  <c r="G331" i="9" l="1"/>
  <c r="B331" i="9" s="1"/>
  <c r="G332" i="10"/>
  <c r="B332" i="10" s="1"/>
  <c r="N332" i="10"/>
  <c r="P332" i="10"/>
  <c r="Q332" i="10" s="1"/>
  <c r="M332" i="10" s="1"/>
  <c r="E332" i="10"/>
  <c r="D332" i="10" s="1"/>
  <c r="C332" i="10" s="1"/>
  <c r="E331" i="9"/>
  <c r="D331" i="9" s="1"/>
  <c r="C331" i="9" s="1"/>
  <c r="P331" i="9"/>
  <c r="Q331" i="9" s="1"/>
  <c r="M331" i="9" s="1"/>
  <c r="N331" i="9"/>
  <c r="R332" i="9" s="1"/>
  <c r="G332" i="9" l="1"/>
  <c r="B332" i="9" s="1"/>
  <c r="G333" i="10"/>
  <c r="B333" i="10"/>
  <c r="N333" i="10"/>
  <c r="P333" i="10"/>
  <c r="Q333" i="10" s="1"/>
  <c r="M333" i="10" s="1"/>
  <c r="E333" i="10"/>
  <c r="D333" i="10" s="1"/>
  <c r="C333" i="10" s="1"/>
  <c r="E332" i="9"/>
  <c r="D332" i="9" s="1"/>
  <c r="C332" i="9" s="1"/>
  <c r="N332" i="9"/>
  <c r="R333" i="9" s="1"/>
  <c r="P332" i="9"/>
  <c r="Q332" i="9" s="1"/>
  <c r="M332" i="9" s="1"/>
  <c r="G333" i="9" l="1"/>
  <c r="B333" i="9" s="1"/>
  <c r="G334" i="10"/>
  <c r="B334" i="10" s="1"/>
  <c r="N334" i="10"/>
  <c r="P334" i="10"/>
  <c r="Q334" i="10" s="1"/>
  <c r="M334" i="10" s="1"/>
  <c r="E334" i="10"/>
  <c r="D334" i="10" s="1"/>
  <c r="C334" i="10" s="1"/>
  <c r="E333" i="9"/>
  <c r="D333" i="9" s="1"/>
  <c r="C333" i="9" s="1"/>
  <c r="N333" i="9"/>
  <c r="R334" i="9" s="1"/>
  <c r="P333" i="9"/>
  <c r="Q333" i="9" s="1"/>
  <c r="M333" i="9" s="1"/>
  <c r="G334" i="9" l="1"/>
  <c r="B334" i="9" s="1"/>
  <c r="G335" i="10"/>
  <c r="B335" i="10"/>
  <c r="N335" i="10"/>
  <c r="P335" i="10"/>
  <c r="Q335" i="10" s="1"/>
  <c r="M335" i="10" s="1"/>
  <c r="E335" i="10"/>
  <c r="D335" i="10" s="1"/>
  <c r="C335" i="10" s="1"/>
  <c r="E334" i="9"/>
  <c r="D334" i="9" s="1"/>
  <c r="C334" i="9" s="1"/>
  <c r="N334" i="9"/>
  <c r="R335" i="9" s="1"/>
  <c r="P334" i="9"/>
  <c r="Q334" i="9" s="1"/>
  <c r="M334" i="9" s="1"/>
  <c r="G335" i="9" l="1"/>
  <c r="B335" i="9" s="1"/>
  <c r="G336" i="10"/>
  <c r="B336" i="10" s="1"/>
  <c r="N336" i="10"/>
  <c r="P336" i="10"/>
  <c r="Q336" i="10" s="1"/>
  <c r="M336" i="10" s="1"/>
  <c r="E336" i="10"/>
  <c r="D336" i="10" s="1"/>
  <c r="C336" i="10" s="1"/>
  <c r="E335" i="9"/>
  <c r="D335" i="9" s="1"/>
  <c r="C335" i="9" s="1"/>
  <c r="N335" i="9"/>
  <c r="R336" i="9" s="1"/>
  <c r="P335" i="9"/>
  <c r="Q335" i="9" s="1"/>
  <c r="M335" i="9" s="1"/>
  <c r="G336" i="9" l="1"/>
  <c r="B336" i="9" s="1"/>
  <c r="G337" i="10"/>
  <c r="B337" i="10"/>
  <c r="N337" i="10"/>
  <c r="P337" i="10"/>
  <c r="Q337" i="10" s="1"/>
  <c r="M337" i="10" s="1"/>
  <c r="E337" i="10"/>
  <c r="D337" i="10" s="1"/>
  <c r="C337" i="10" s="1"/>
  <c r="E336" i="9"/>
  <c r="D336" i="9" s="1"/>
  <c r="C336" i="9" s="1"/>
  <c r="P336" i="9"/>
  <c r="Q336" i="9" s="1"/>
  <c r="M336" i="9" s="1"/>
  <c r="N336" i="9"/>
  <c r="R337" i="9" s="1"/>
  <c r="G337" i="9" l="1"/>
  <c r="B337" i="9" s="1"/>
  <c r="G338" i="10"/>
  <c r="B338" i="10"/>
  <c r="P338" i="10"/>
  <c r="Q338" i="10" s="1"/>
  <c r="M338" i="10" s="1"/>
  <c r="N338" i="10"/>
  <c r="E338" i="10"/>
  <c r="D338" i="10" s="1"/>
  <c r="C338" i="10" s="1"/>
  <c r="E337" i="9"/>
  <c r="D337" i="9" s="1"/>
  <c r="C337" i="9" s="1"/>
  <c r="N337" i="9"/>
  <c r="R338" i="9" s="1"/>
  <c r="P337" i="9"/>
  <c r="Q337" i="9" s="1"/>
  <c r="M337" i="9" s="1"/>
  <c r="G338" i="9" l="1"/>
  <c r="B338" i="9" s="1"/>
  <c r="G339" i="10"/>
  <c r="B339" i="10" s="1"/>
  <c r="P339" i="10"/>
  <c r="Q339" i="10" s="1"/>
  <c r="M339" i="10" s="1"/>
  <c r="N339" i="10"/>
  <c r="E339" i="10"/>
  <c r="D339" i="10" s="1"/>
  <c r="C339" i="10" s="1"/>
  <c r="E338" i="9"/>
  <c r="D338" i="9" s="1"/>
  <c r="C338" i="9" s="1"/>
  <c r="N338" i="9"/>
  <c r="R339" i="9" s="1"/>
  <c r="P338" i="9"/>
  <c r="Q338" i="9" s="1"/>
  <c r="M338" i="9" s="1"/>
  <c r="G339" i="9" l="1"/>
  <c r="B339" i="9" s="1"/>
  <c r="G340" i="10"/>
  <c r="B340" i="10"/>
  <c r="P340" i="10"/>
  <c r="Q340" i="10" s="1"/>
  <c r="M340" i="10" s="1"/>
  <c r="N340" i="10"/>
  <c r="E340" i="10"/>
  <c r="D340" i="10" s="1"/>
  <c r="C340" i="10" s="1"/>
  <c r="E339" i="9"/>
  <c r="D339" i="9" s="1"/>
  <c r="C339" i="9" s="1"/>
  <c r="P339" i="9"/>
  <c r="Q339" i="9" s="1"/>
  <c r="M339" i="9" s="1"/>
  <c r="N339" i="9"/>
  <c r="R340" i="9" s="1"/>
  <c r="G340" i="9" l="1"/>
  <c r="B340" i="9" s="1"/>
  <c r="G341" i="10"/>
  <c r="B341" i="10" s="1"/>
  <c r="P341" i="10"/>
  <c r="Q341" i="10" s="1"/>
  <c r="M341" i="10" s="1"/>
  <c r="N341" i="10"/>
  <c r="E341" i="10"/>
  <c r="D341" i="10" s="1"/>
  <c r="C341" i="10" s="1"/>
  <c r="E340" i="9"/>
  <c r="D340" i="9" s="1"/>
  <c r="C340" i="9" s="1"/>
  <c r="P340" i="9"/>
  <c r="Q340" i="9" s="1"/>
  <c r="M340" i="9" s="1"/>
  <c r="N340" i="9"/>
  <c r="R341" i="9" s="1"/>
  <c r="G341" i="9" l="1"/>
  <c r="B341" i="9" s="1"/>
  <c r="B342" i="10"/>
  <c r="G342" i="10"/>
  <c r="P342" i="10"/>
  <c r="Q342" i="10" s="1"/>
  <c r="M342" i="10" s="1"/>
  <c r="N342" i="10"/>
  <c r="E342" i="10"/>
  <c r="D342" i="10" s="1"/>
  <c r="C342" i="10" s="1"/>
  <c r="E341" i="9"/>
  <c r="D341" i="9" s="1"/>
  <c r="C341" i="9" s="1"/>
  <c r="P341" i="9"/>
  <c r="Q341" i="9" s="1"/>
  <c r="M341" i="9" s="1"/>
  <c r="N341" i="9"/>
  <c r="R342" i="9" s="1"/>
  <c r="G342" i="9" l="1"/>
  <c r="B342" i="9" s="1"/>
  <c r="G343" i="10"/>
  <c r="B343" i="10" s="1"/>
  <c r="P343" i="10"/>
  <c r="Q343" i="10" s="1"/>
  <c r="M343" i="10" s="1"/>
  <c r="N343" i="10"/>
  <c r="E343" i="10"/>
  <c r="D343" i="10" s="1"/>
  <c r="C343" i="10" s="1"/>
  <c r="N342" i="9"/>
  <c r="R343" i="9" s="1"/>
  <c r="P342" i="9"/>
  <c r="Q342" i="9" s="1"/>
  <c r="M342" i="9" s="1"/>
  <c r="E342" i="9"/>
  <c r="D342" i="9" s="1"/>
  <c r="C342" i="9" s="1"/>
  <c r="G343" i="9" l="1"/>
  <c r="B343" i="9" s="1"/>
  <c r="G344" i="10"/>
  <c r="B344" i="10" s="1"/>
  <c r="P344" i="10"/>
  <c r="Q344" i="10" s="1"/>
  <c r="M344" i="10" s="1"/>
  <c r="N344" i="10"/>
  <c r="E344" i="10"/>
  <c r="D344" i="10" s="1"/>
  <c r="C344" i="10" s="1"/>
  <c r="E343" i="9"/>
  <c r="D343" i="9" s="1"/>
  <c r="C343" i="9" s="1"/>
  <c r="P343" i="9"/>
  <c r="Q343" i="9" s="1"/>
  <c r="M343" i="9" s="1"/>
  <c r="N343" i="9"/>
  <c r="R344" i="9" s="1"/>
  <c r="G344" i="9" l="1"/>
  <c r="B344" i="9" s="1"/>
  <c r="G345" i="10"/>
  <c r="B345" i="10" s="1"/>
  <c r="P345" i="10"/>
  <c r="Q345" i="10" s="1"/>
  <c r="M345" i="10" s="1"/>
  <c r="N345" i="10"/>
  <c r="E345" i="10"/>
  <c r="D345" i="10" s="1"/>
  <c r="C345" i="10" s="1"/>
  <c r="E344" i="9"/>
  <c r="D344" i="9" s="1"/>
  <c r="C344" i="9" s="1"/>
  <c r="N344" i="9"/>
  <c r="R345" i="9" s="1"/>
  <c r="P344" i="9"/>
  <c r="Q344" i="9" s="1"/>
  <c r="M344" i="9" s="1"/>
  <c r="G345" i="9" l="1"/>
  <c r="B345" i="9" s="1"/>
  <c r="G346" i="10"/>
  <c r="B346" i="10" s="1"/>
  <c r="P346" i="10"/>
  <c r="Q346" i="10" s="1"/>
  <c r="M346" i="10" s="1"/>
  <c r="N346" i="10"/>
  <c r="E346" i="10"/>
  <c r="D346" i="10" s="1"/>
  <c r="C346" i="10" s="1"/>
  <c r="E345" i="9"/>
  <c r="D345" i="9" s="1"/>
  <c r="C345" i="9" s="1"/>
  <c r="N345" i="9"/>
  <c r="R346" i="9" s="1"/>
  <c r="P345" i="9"/>
  <c r="Q345" i="9" s="1"/>
  <c r="M345" i="9" s="1"/>
  <c r="G346" i="9" l="1"/>
  <c r="B346" i="9" s="1"/>
  <c r="G347" i="10"/>
  <c r="B347" i="10" s="1"/>
  <c r="P347" i="10"/>
  <c r="Q347" i="10" s="1"/>
  <c r="M347" i="10" s="1"/>
  <c r="N347" i="10"/>
  <c r="E347" i="10"/>
  <c r="D347" i="10" s="1"/>
  <c r="C347" i="10" s="1"/>
  <c r="E346" i="9"/>
  <c r="D346" i="9" s="1"/>
  <c r="C346" i="9" s="1"/>
  <c r="N346" i="9"/>
  <c r="R347" i="9" s="1"/>
  <c r="P346" i="9"/>
  <c r="Q346" i="9" s="1"/>
  <c r="M346" i="9" s="1"/>
  <c r="G347" i="9" l="1"/>
  <c r="B347" i="9" s="1"/>
  <c r="G348" i="10"/>
  <c r="B348" i="10" s="1"/>
  <c r="N348" i="10"/>
  <c r="P348" i="10"/>
  <c r="Q348" i="10" s="1"/>
  <c r="M348" i="10" s="1"/>
  <c r="E348" i="10"/>
  <c r="D348" i="10" s="1"/>
  <c r="C348" i="10" s="1"/>
  <c r="E347" i="9"/>
  <c r="D347" i="9" s="1"/>
  <c r="C347" i="9" s="1"/>
  <c r="N347" i="9"/>
  <c r="R348" i="9" s="1"/>
  <c r="P347" i="9"/>
  <c r="Q347" i="9" s="1"/>
  <c r="M347" i="9" s="1"/>
  <c r="G348" i="9" l="1"/>
  <c r="B348" i="9" s="1"/>
  <c r="G349" i="10"/>
  <c r="B349" i="10" s="1"/>
  <c r="N349" i="10"/>
  <c r="P349" i="10"/>
  <c r="Q349" i="10" s="1"/>
  <c r="M349" i="10" s="1"/>
  <c r="E349" i="10"/>
  <c r="D349" i="10" s="1"/>
  <c r="C349" i="10" s="1"/>
  <c r="E348" i="9"/>
  <c r="D348" i="9" s="1"/>
  <c r="C348" i="9" s="1"/>
  <c r="N348" i="9"/>
  <c r="R349" i="9" s="1"/>
  <c r="P348" i="9"/>
  <c r="Q348" i="9" s="1"/>
  <c r="M348" i="9" s="1"/>
  <c r="G349" i="9" l="1"/>
  <c r="B349" i="9" s="1"/>
  <c r="G350" i="10"/>
  <c r="B350" i="10" s="1"/>
  <c r="N350" i="10"/>
  <c r="P350" i="10"/>
  <c r="Q350" i="10" s="1"/>
  <c r="M350" i="10" s="1"/>
  <c r="E350" i="10"/>
  <c r="D350" i="10" s="1"/>
  <c r="C350" i="10" s="1"/>
  <c r="E349" i="9"/>
  <c r="D349" i="9" s="1"/>
  <c r="C349" i="9" s="1"/>
  <c r="P349" i="9"/>
  <c r="Q349" i="9" s="1"/>
  <c r="M349" i="9" s="1"/>
  <c r="N349" i="9"/>
  <c r="R350" i="9" s="1"/>
  <c r="G350" i="9" l="1"/>
  <c r="B350" i="9" s="1"/>
  <c r="G351" i="10"/>
  <c r="B351" i="10" s="1"/>
  <c r="P351" i="10"/>
  <c r="Q351" i="10" s="1"/>
  <c r="M351" i="10" s="1"/>
  <c r="N351" i="10"/>
  <c r="E351" i="10"/>
  <c r="D351" i="10" s="1"/>
  <c r="C351" i="10" s="1"/>
  <c r="N350" i="9"/>
  <c r="R351" i="9" s="1"/>
  <c r="P350" i="9"/>
  <c r="Q350" i="9" s="1"/>
  <c r="M350" i="9" s="1"/>
  <c r="E350" i="9"/>
  <c r="D350" i="9" s="1"/>
  <c r="C350" i="9" s="1"/>
  <c r="G351" i="9" l="1"/>
  <c r="B351" i="9" s="1"/>
  <c r="G352" i="10"/>
  <c r="B352" i="10"/>
  <c r="N352" i="10"/>
  <c r="P352" i="10"/>
  <c r="Q352" i="10" s="1"/>
  <c r="M352" i="10" s="1"/>
  <c r="E352" i="10"/>
  <c r="D352" i="10" s="1"/>
  <c r="C352" i="10" s="1"/>
  <c r="E351" i="9"/>
  <c r="D351" i="9" s="1"/>
  <c r="C351" i="9" s="1"/>
  <c r="P351" i="9"/>
  <c r="Q351" i="9" s="1"/>
  <c r="M351" i="9" s="1"/>
  <c r="N351" i="9"/>
  <c r="R352" i="9" s="1"/>
  <c r="G352" i="9" l="1"/>
  <c r="B352" i="9" s="1"/>
  <c r="G353" i="10"/>
  <c r="B353" i="10" s="1"/>
  <c r="N353" i="10"/>
  <c r="P353" i="10"/>
  <c r="Q353" i="10" s="1"/>
  <c r="M353" i="10" s="1"/>
  <c r="E353" i="10"/>
  <c r="D353" i="10" s="1"/>
  <c r="C353" i="10" s="1"/>
  <c r="E352" i="9"/>
  <c r="D352" i="9" s="1"/>
  <c r="C352" i="9" s="1"/>
  <c r="N352" i="9"/>
  <c r="R353" i="9" s="1"/>
  <c r="P352" i="9"/>
  <c r="Q352" i="9" s="1"/>
  <c r="M352" i="9" s="1"/>
  <c r="G353" i="9" l="1"/>
  <c r="B353" i="9" s="1"/>
  <c r="G354" i="10"/>
  <c r="B354" i="10"/>
  <c r="P354" i="10"/>
  <c r="Q354" i="10" s="1"/>
  <c r="M354" i="10" s="1"/>
  <c r="N354" i="10"/>
  <c r="E354" i="10"/>
  <c r="D354" i="10" s="1"/>
  <c r="C354" i="10" s="1"/>
  <c r="E353" i="9"/>
  <c r="D353" i="9" s="1"/>
  <c r="C353" i="9" s="1"/>
  <c r="N353" i="9"/>
  <c r="R354" i="9" s="1"/>
  <c r="P353" i="9"/>
  <c r="Q353" i="9" s="1"/>
  <c r="M353" i="9" s="1"/>
  <c r="G354" i="9" l="1"/>
  <c r="B354" i="9" s="1"/>
  <c r="G355" i="10"/>
  <c r="B355" i="10" s="1"/>
  <c r="N355" i="10"/>
  <c r="P355" i="10"/>
  <c r="Q355" i="10" s="1"/>
  <c r="M355" i="10" s="1"/>
  <c r="E355" i="10"/>
  <c r="D355" i="10" s="1"/>
  <c r="C355" i="10" s="1"/>
  <c r="E354" i="9"/>
  <c r="D354" i="9" s="1"/>
  <c r="C354" i="9" s="1"/>
  <c r="N354" i="9"/>
  <c r="R355" i="9" s="1"/>
  <c r="P354" i="9"/>
  <c r="Q354" i="9" s="1"/>
  <c r="M354" i="9" s="1"/>
  <c r="G355" i="9" l="1"/>
  <c r="B355" i="9" s="1"/>
  <c r="G356" i="10"/>
  <c r="B356" i="10" s="1"/>
  <c r="N356" i="10"/>
  <c r="P356" i="10"/>
  <c r="Q356" i="10" s="1"/>
  <c r="M356" i="10" s="1"/>
  <c r="E356" i="10"/>
  <c r="D356" i="10" s="1"/>
  <c r="C356" i="10" s="1"/>
  <c r="E355" i="9"/>
  <c r="D355" i="9" s="1"/>
  <c r="C355" i="9" s="1"/>
  <c r="N355" i="9"/>
  <c r="R356" i="9" s="1"/>
  <c r="P355" i="9"/>
  <c r="Q355" i="9" s="1"/>
  <c r="M355" i="9" s="1"/>
  <c r="G356" i="9" l="1"/>
  <c r="B356" i="9" s="1"/>
  <c r="G357" i="10"/>
  <c r="B357" i="10"/>
  <c r="N357" i="10"/>
  <c r="P357" i="10"/>
  <c r="Q357" i="10" s="1"/>
  <c r="M357" i="10" s="1"/>
  <c r="E357" i="10"/>
  <c r="D357" i="10" s="1"/>
  <c r="C357" i="10" s="1"/>
  <c r="E356" i="9"/>
  <c r="D356" i="9" s="1"/>
  <c r="C356" i="9" s="1"/>
  <c r="N356" i="9"/>
  <c r="R357" i="9" s="1"/>
  <c r="P356" i="9"/>
  <c r="Q356" i="9" s="1"/>
  <c r="M356" i="9" s="1"/>
  <c r="G357" i="9" l="1"/>
  <c r="B357" i="9" s="1"/>
  <c r="G358" i="10"/>
  <c r="B358" i="10" s="1"/>
  <c r="P358" i="10"/>
  <c r="Q358" i="10" s="1"/>
  <c r="M358" i="10" s="1"/>
  <c r="N358" i="10"/>
  <c r="E358" i="10"/>
  <c r="D358" i="10" s="1"/>
  <c r="C358" i="10" s="1"/>
  <c r="E357" i="9"/>
  <c r="D357" i="9" s="1"/>
  <c r="C357" i="9" s="1"/>
  <c r="N357" i="9"/>
  <c r="R358" i="9" s="1"/>
  <c r="P357" i="9"/>
  <c r="Q357" i="9" s="1"/>
  <c r="M357" i="9" s="1"/>
  <c r="G358" i="9" l="1"/>
  <c r="B358" i="9" s="1"/>
  <c r="G359" i="10"/>
  <c r="B359" i="10" s="1"/>
  <c r="N359" i="10"/>
  <c r="P359" i="10"/>
  <c r="Q359" i="10" s="1"/>
  <c r="M359" i="10" s="1"/>
  <c r="E359" i="10"/>
  <c r="D359" i="10" s="1"/>
  <c r="C359" i="10" s="1"/>
  <c r="E358" i="9"/>
  <c r="D358" i="9" s="1"/>
  <c r="C358" i="9" s="1"/>
  <c r="N358" i="9"/>
  <c r="R359" i="9" s="1"/>
  <c r="P358" i="9"/>
  <c r="Q358" i="9" s="1"/>
  <c r="M358" i="9" s="1"/>
  <c r="G359" i="9" l="1"/>
  <c r="B359" i="9" s="1"/>
  <c r="G360" i="10"/>
  <c r="B360" i="10" s="1"/>
  <c r="N360" i="10"/>
  <c r="P360" i="10"/>
  <c r="Q360" i="10" s="1"/>
  <c r="M360" i="10" s="1"/>
  <c r="E360" i="10"/>
  <c r="D360" i="10" s="1"/>
  <c r="C360" i="10" s="1"/>
  <c r="E359" i="9"/>
  <c r="D359" i="9" s="1"/>
  <c r="C359" i="9" s="1"/>
  <c r="N359" i="9"/>
  <c r="R360" i="9" s="1"/>
  <c r="P359" i="9"/>
  <c r="Q359" i="9" s="1"/>
  <c r="M359" i="9" s="1"/>
  <c r="G360" i="9" l="1"/>
  <c r="B360" i="9" s="1"/>
  <c r="G361" i="10"/>
  <c r="B361" i="10"/>
  <c r="N361" i="10"/>
  <c r="P361" i="10"/>
  <c r="Q361" i="10" s="1"/>
  <c r="M361" i="10" s="1"/>
  <c r="E361" i="10"/>
  <c r="D361" i="10" s="1"/>
  <c r="C361" i="10" s="1"/>
  <c r="E360" i="9"/>
  <c r="D360" i="9" s="1"/>
  <c r="C360" i="9" s="1"/>
  <c r="N360" i="9"/>
  <c r="R361" i="9" s="1"/>
  <c r="P360" i="9"/>
  <c r="Q360" i="9" s="1"/>
  <c r="M360" i="9" s="1"/>
  <c r="G361" i="9" l="1"/>
  <c r="B361" i="9" s="1"/>
  <c r="G362" i="10"/>
  <c r="B362" i="10" s="1"/>
  <c r="P362" i="10"/>
  <c r="Q362" i="10" s="1"/>
  <c r="M362" i="10" s="1"/>
  <c r="N362" i="10"/>
  <c r="E362" i="10"/>
  <c r="D362" i="10" s="1"/>
  <c r="C362" i="10" s="1"/>
  <c r="E361" i="9"/>
  <c r="D361" i="9" s="1"/>
  <c r="C361" i="9" s="1"/>
  <c r="N361" i="9"/>
  <c r="R362" i="9" s="1"/>
  <c r="P361" i="9"/>
  <c r="Q361" i="9" s="1"/>
  <c r="M361" i="9" s="1"/>
  <c r="G362" i="9" l="1"/>
  <c r="B362" i="9" s="1"/>
  <c r="G363" i="10"/>
  <c r="B363" i="10" s="1"/>
  <c r="P363" i="10"/>
  <c r="Q363" i="10" s="1"/>
  <c r="M363" i="10" s="1"/>
  <c r="N363" i="10"/>
  <c r="E363" i="10"/>
  <c r="D363" i="10" s="1"/>
  <c r="C363" i="10" s="1"/>
  <c r="E362" i="9"/>
  <c r="D362" i="9" s="1"/>
  <c r="C362" i="9" s="1"/>
  <c r="N362" i="9"/>
  <c r="R363" i="9" s="1"/>
  <c r="P362" i="9"/>
  <c r="Q362" i="9" s="1"/>
  <c r="M362" i="9" s="1"/>
  <c r="G363" i="9" l="1"/>
  <c r="B363" i="9" s="1"/>
  <c r="G364" i="10"/>
  <c r="B364" i="10" s="1"/>
  <c r="P364" i="10"/>
  <c r="Q364" i="10" s="1"/>
  <c r="M364" i="10" s="1"/>
  <c r="N364" i="10"/>
  <c r="E364" i="10"/>
  <c r="D364" i="10" s="1"/>
  <c r="C364" i="10" s="1"/>
  <c r="N363" i="9"/>
  <c r="R364" i="9" s="1"/>
  <c r="P363" i="9"/>
  <c r="Q363" i="9" s="1"/>
  <c r="M363" i="9" s="1"/>
  <c r="E363" i="9"/>
  <c r="D363" i="9" s="1"/>
  <c r="C363" i="9" s="1"/>
  <c r="G364" i="9" l="1"/>
  <c r="B364" i="9" s="1"/>
  <c r="G365" i="10"/>
  <c r="B365" i="10" s="1"/>
  <c r="P365" i="10"/>
  <c r="Q365" i="10" s="1"/>
  <c r="M365" i="10" s="1"/>
  <c r="N365" i="10"/>
  <c r="E365" i="10"/>
  <c r="D365" i="10" s="1"/>
  <c r="C365" i="10" s="1"/>
  <c r="E364" i="9"/>
  <c r="D364" i="9" s="1"/>
  <c r="C364" i="9" s="1"/>
  <c r="N364" i="9"/>
  <c r="R365" i="9" s="1"/>
  <c r="P364" i="9"/>
  <c r="Q364" i="9" s="1"/>
  <c r="M364" i="9" s="1"/>
  <c r="G365" i="9" l="1"/>
  <c r="B365" i="9" s="1"/>
  <c r="G366" i="10"/>
  <c r="B366" i="10" s="1"/>
  <c r="P366" i="10"/>
  <c r="Q366" i="10" s="1"/>
  <c r="M366" i="10" s="1"/>
  <c r="N366" i="10"/>
  <c r="E366" i="10"/>
  <c r="D366" i="10" s="1"/>
  <c r="C366" i="10" s="1"/>
  <c r="N365" i="9"/>
  <c r="R366" i="9" s="1"/>
  <c r="P365" i="9"/>
  <c r="Q365" i="9" s="1"/>
  <c r="M365" i="9" s="1"/>
  <c r="E365" i="9"/>
  <c r="D365" i="9" s="1"/>
  <c r="C365" i="9" s="1"/>
  <c r="G366" i="9" l="1"/>
  <c r="B366" i="9" s="1"/>
  <c r="G367" i="10"/>
  <c r="B367" i="10" s="1"/>
  <c r="N367" i="10"/>
  <c r="P367" i="10"/>
  <c r="Q367" i="10" s="1"/>
  <c r="M367" i="10" s="1"/>
  <c r="E367" i="10"/>
  <c r="D367" i="10" s="1"/>
  <c r="C367" i="10" s="1"/>
  <c r="P366" i="9"/>
  <c r="Q366" i="9" s="1"/>
  <c r="M366" i="9" s="1"/>
  <c r="N366" i="9"/>
  <c r="R367" i="9" s="1"/>
  <c r="E366" i="9"/>
  <c r="D366" i="9" s="1"/>
  <c r="C366" i="9" s="1"/>
  <c r="G367" i="9" l="1"/>
  <c r="B367" i="9" s="1"/>
  <c r="G368" i="10"/>
  <c r="B368" i="10" s="1"/>
  <c r="P368" i="10"/>
  <c r="Q368" i="10" s="1"/>
  <c r="M368" i="10" s="1"/>
  <c r="N368" i="10"/>
  <c r="E368" i="10"/>
  <c r="D368" i="10" s="1"/>
  <c r="C368" i="10" s="1"/>
  <c r="P367" i="9"/>
  <c r="Q367" i="9" s="1"/>
  <c r="M367" i="9" s="1"/>
  <c r="N367" i="9"/>
  <c r="R368" i="9" s="1"/>
  <c r="E367" i="9"/>
  <c r="D367" i="9" s="1"/>
  <c r="C367" i="9" s="1"/>
  <c r="G368" i="9" l="1"/>
  <c r="B368" i="9" s="1"/>
  <c r="G369" i="10"/>
  <c r="B369" i="10"/>
  <c r="P369" i="10"/>
  <c r="Q369" i="10" s="1"/>
  <c r="M369" i="10" s="1"/>
  <c r="N369" i="10"/>
  <c r="E369" i="10"/>
  <c r="D369" i="10" s="1"/>
  <c r="C369" i="10" s="1"/>
  <c r="N368" i="9"/>
  <c r="R369" i="9" s="1"/>
  <c r="P368" i="9"/>
  <c r="Q368" i="9" s="1"/>
  <c r="M368" i="9" s="1"/>
  <c r="E368" i="9"/>
  <c r="D368" i="9" s="1"/>
  <c r="C368" i="9" s="1"/>
  <c r="G369" i="9" l="1"/>
  <c r="B369" i="9" s="1"/>
  <c r="G370" i="10"/>
  <c r="B370" i="10"/>
  <c r="N370" i="10"/>
  <c r="P370" i="10"/>
  <c r="Q370" i="10" s="1"/>
  <c r="M370" i="10" s="1"/>
  <c r="E370" i="10"/>
  <c r="D370" i="10" s="1"/>
  <c r="C370" i="10" s="1"/>
  <c r="E369" i="9"/>
  <c r="D369" i="9" s="1"/>
  <c r="C369" i="9" s="1"/>
  <c r="P369" i="9"/>
  <c r="Q369" i="9" s="1"/>
  <c r="M369" i="9" s="1"/>
  <c r="N369" i="9"/>
  <c r="R370" i="9" s="1"/>
  <c r="G370" i="9" l="1"/>
  <c r="B370" i="9" s="1"/>
  <c r="G371" i="10"/>
  <c r="B371" i="10" s="1"/>
  <c r="N371" i="10"/>
  <c r="P371" i="10"/>
  <c r="Q371" i="10" s="1"/>
  <c r="M371" i="10" s="1"/>
  <c r="E371" i="10"/>
  <c r="D371" i="10" s="1"/>
  <c r="C371" i="10" s="1"/>
  <c r="E370" i="9"/>
  <c r="D370" i="9" s="1"/>
  <c r="C370" i="9" s="1"/>
  <c r="N370" i="9"/>
  <c r="R371" i="9" s="1"/>
  <c r="P370" i="9"/>
  <c r="Q370" i="9" s="1"/>
  <c r="M370" i="9" s="1"/>
  <c r="G371" i="9" l="1"/>
  <c r="B371" i="9" s="1"/>
  <c r="G372" i="10"/>
  <c r="B372" i="10" s="1"/>
  <c r="P372" i="10"/>
  <c r="Q372" i="10" s="1"/>
  <c r="M372" i="10" s="1"/>
  <c r="N372" i="10"/>
  <c r="E372" i="10"/>
  <c r="D372" i="10" s="1"/>
  <c r="C372" i="10" s="1"/>
  <c r="E371" i="9"/>
  <c r="D371" i="9" s="1"/>
  <c r="C371" i="9" s="1"/>
  <c r="N371" i="9"/>
  <c r="R372" i="9" s="1"/>
  <c r="P371" i="9"/>
  <c r="Q371" i="9" s="1"/>
  <c r="M371" i="9" s="1"/>
  <c r="G372" i="9" l="1"/>
  <c r="B372" i="9" s="1"/>
  <c r="G373" i="10"/>
  <c r="B373" i="10"/>
  <c r="N373" i="10"/>
  <c r="P373" i="10"/>
  <c r="Q373" i="10" s="1"/>
  <c r="M373" i="10" s="1"/>
  <c r="E373" i="10"/>
  <c r="D373" i="10" s="1"/>
  <c r="C373" i="10" s="1"/>
  <c r="E372" i="9"/>
  <c r="D372" i="9" s="1"/>
  <c r="C372" i="9" s="1"/>
  <c r="N372" i="9"/>
  <c r="R373" i="9" s="1"/>
  <c r="P372" i="9"/>
  <c r="Q372" i="9" s="1"/>
  <c r="M372" i="9" s="1"/>
  <c r="G373" i="9" l="1"/>
  <c r="B373" i="9" s="1"/>
  <c r="G374" i="10"/>
  <c r="B374" i="10" s="1"/>
  <c r="P374" i="10"/>
  <c r="Q374" i="10" s="1"/>
  <c r="M374" i="10" s="1"/>
  <c r="N374" i="10"/>
  <c r="E374" i="10"/>
  <c r="D374" i="10" s="1"/>
  <c r="C374" i="10" s="1"/>
  <c r="P373" i="9"/>
  <c r="Q373" i="9" s="1"/>
  <c r="M373" i="9" s="1"/>
  <c r="N373" i="9"/>
  <c r="R374" i="9" s="1"/>
  <c r="E373" i="9"/>
  <c r="D373" i="9" s="1"/>
  <c r="C373" i="9" s="1"/>
  <c r="G374" i="9" l="1"/>
  <c r="B374" i="9" s="1"/>
  <c r="G375" i="10"/>
  <c r="B375" i="10" s="1"/>
  <c r="P375" i="10"/>
  <c r="Q375" i="10" s="1"/>
  <c r="M375" i="10" s="1"/>
  <c r="N375" i="10"/>
  <c r="E375" i="10"/>
  <c r="D375" i="10" s="1"/>
  <c r="C375" i="10" s="1"/>
  <c r="E374" i="9"/>
  <c r="D374" i="9" s="1"/>
  <c r="C374" i="9" s="1"/>
  <c r="N374" i="9"/>
  <c r="R375" i="9" s="1"/>
  <c r="P374" i="9"/>
  <c r="Q374" i="9" s="1"/>
  <c r="M374" i="9" s="1"/>
  <c r="G375" i="9" l="1"/>
  <c r="B375" i="9" s="1"/>
  <c r="G376" i="10"/>
  <c r="B376" i="10" s="1"/>
  <c r="P376" i="10"/>
  <c r="Q376" i="10" s="1"/>
  <c r="M376" i="10" s="1"/>
  <c r="N376" i="10"/>
  <c r="E376" i="10"/>
  <c r="D376" i="10" s="1"/>
  <c r="C376" i="10" s="1"/>
  <c r="E375" i="9"/>
  <c r="D375" i="9" s="1"/>
  <c r="C375" i="9" s="1"/>
  <c r="N375" i="9"/>
  <c r="R376" i="9" s="1"/>
  <c r="P375" i="9"/>
  <c r="Q375" i="9" s="1"/>
  <c r="M375" i="9" s="1"/>
  <c r="G376" i="9" l="1"/>
  <c r="B376" i="9" s="1"/>
  <c r="G377" i="10"/>
  <c r="B377" i="10" s="1"/>
  <c r="N377" i="10"/>
  <c r="P377" i="10"/>
  <c r="Q377" i="10" s="1"/>
  <c r="M377" i="10" s="1"/>
  <c r="E377" i="10"/>
  <c r="D377" i="10" s="1"/>
  <c r="C377" i="10" s="1"/>
  <c r="E376" i="9"/>
  <c r="D376" i="9" s="1"/>
  <c r="C376" i="9" s="1"/>
  <c r="P376" i="9"/>
  <c r="Q376" i="9" s="1"/>
  <c r="M376" i="9" s="1"/>
  <c r="N376" i="9"/>
  <c r="R377" i="9" s="1"/>
  <c r="G377" i="9" l="1"/>
  <c r="B377" i="9" s="1"/>
  <c r="G378" i="10"/>
  <c r="B378" i="10" s="1"/>
  <c r="N378" i="10"/>
  <c r="P378" i="10"/>
  <c r="Q378" i="10" s="1"/>
  <c r="M378" i="10" s="1"/>
  <c r="E378" i="10"/>
  <c r="D378" i="10" s="1"/>
  <c r="C378" i="10" s="1"/>
  <c r="E377" i="9"/>
  <c r="D377" i="9" s="1"/>
  <c r="C377" i="9" s="1"/>
  <c r="N377" i="9"/>
  <c r="R378" i="9" s="1"/>
  <c r="P377" i="9"/>
  <c r="Q377" i="9" s="1"/>
  <c r="M377" i="9" s="1"/>
  <c r="G378" i="9" l="1"/>
  <c r="B378" i="9" s="1"/>
  <c r="G379" i="10"/>
  <c r="B379" i="10" s="1"/>
  <c r="N379" i="10"/>
  <c r="P379" i="10"/>
  <c r="Q379" i="10" s="1"/>
  <c r="M379" i="10" s="1"/>
  <c r="E379" i="10"/>
  <c r="D379" i="10" s="1"/>
  <c r="C379" i="10" s="1"/>
  <c r="E378" i="9"/>
  <c r="D378" i="9" s="1"/>
  <c r="C378" i="9" s="1"/>
  <c r="P378" i="9"/>
  <c r="Q378" i="9" s="1"/>
  <c r="M378" i="9" s="1"/>
  <c r="N378" i="9"/>
  <c r="R379" i="9" s="1"/>
  <c r="G379" i="9" l="1"/>
  <c r="B379" i="9"/>
  <c r="G380" i="10"/>
  <c r="B380" i="10" s="1"/>
  <c r="P380" i="10"/>
  <c r="Q380" i="10" s="1"/>
  <c r="M380" i="10" s="1"/>
  <c r="N380" i="10"/>
  <c r="E380" i="10"/>
  <c r="D380" i="10" s="1"/>
  <c r="C380" i="10" s="1"/>
  <c r="E379" i="9"/>
  <c r="D379" i="9" s="1"/>
  <c r="C379" i="9" s="1"/>
  <c r="N379" i="9"/>
  <c r="R380" i="9" s="1"/>
  <c r="P379" i="9"/>
  <c r="Q379" i="9" s="1"/>
  <c r="M379" i="9" s="1"/>
  <c r="G380" i="9" l="1"/>
  <c r="B380" i="9" s="1"/>
  <c r="G381" i="10"/>
  <c r="B381" i="10" s="1"/>
  <c r="P381" i="10"/>
  <c r="Q381" i="10" s="1"/>
  <c r="M381" i="10" s="1"/>
  <c r="N381" i="10"/>
  <c r="E381" i="10"/>
  <c r="D381" i="10" s="1"/>
  <c r="C381" i="10" s="1"/>
  <c r="E380" i="9"/>
  <c r="D380" i="9" s="1"/>
  <c r="C380" i="9" s="1"/>
  <c r="P380" i="9"/>
  <c r="Q380" i="9" s="1"/>
  <c r="M380" i="9" s="1"/>
  <c r="N380" i="9"/>
  <c r="R381" i="9" s="1"/>
  <c r="G381" i="9" l="1"/>
  <c r="B381" i="9"/>
  <c r="G382" i="10"/>
  <c r="B382" i="10" s="1"/>
  <c r="N382" i="10"/>
  <c r="P382" i="10"/>
  <c r="Q382" i="10" s="1"/>
  <c r="M382" i="10" s="1"/>
  <c r="E382" i="10"/>
  <c r="D382" i="10" s="1"/>
  <c r="C382" i="10" s="1"/>
  <c r="E381" i="9"/>
  <c r="D381" i="9" s="1"/>
  <c r="C381" i="9" s="1"/>
  <c r="P381" i="9"/>
  <c r="Q381" i="9" s="1"/>
  <c r="M381" i="9" s="1"/>
  <c r="N381" i="9"/>
  <c r="R382" i="9" s="1"/>
  <c r="G382" i="9" l="1"/>
  <c r="B382" i="9" s="1"/>
  <c r="G383" i="10"/>
  <c r="B383" i="10" s="1"/>
  <c r="N383" i="10"/>
  <c r="P383" i="10"/>
  <c r="Q383" i="10" s="1"/>
  <c r="M383" i="10" s="1"/>
  <c r="E383" i="10"/>
  <c r="D383" i="10" s="1"/>
  <c r="C383" i="10" s="1"/>
  <c r="E382" i="9"/>
  <c r="D382" i="9" s="1"/>
  <c r="C382" i="9" s="1"/>
  <c r="P382" i="9"/>
  <c r="Q382" i="9" s="1"/>
  <c r="M382" i="9" s="1"/>
  <c r="N382" i="9"/>
  <c r="R383" i="9" s="1"/>
  <c r="G383" i="9" l="1"/>
  <c r="B383" i="9"/>
  <c r="G384" i="10"/>
  <c r="B384" i="10" s="1"/>
  <c r="P384" i="10"/>
  <c r="Q384" i="10" s="1"/>
  <c r="M384" i="10" s="1"/>
  <c r="N384" i="10"/>
  <c r="E384" i="10"/>
  <c r="D384" i="10" s="1"/>
  <c r="C384" i="10" s="1"/>
  <c r="P383" i="9"/>
  <c r="Q383" i="9" s="1"/>
  <c r="M383" i="9" s="1"/>
  <c r="N383" i="9"/>
  <c r="R384" i="9" s="1"/>
  <c r="E383" i="9"/>
  <c r="D383" i="9" s="1"/>
  <c r="C383" i="9" s="1"/>
  <c r="G384" i="9" l="1"/>
  <c r="B384" i="9" s="1"/>
  <c r="G385" i="10"/>
  <c r="B385" i="10"/>
  <c r="N385" i="10"/>
  <c r="P385" i="10"/>
  <c r="Q385" i="10" s="1"/>
  <c r="M385" i="10" s="1"/>
  <c r="E385" i="10"/>
  <c r="D385" i="10" s="1"/>
  <c r="C385" i="10" s="1"/>
  <c r="E384" i="9"/>
  <c r="D384" i="9" s="1"/>
  <c r="C384" i="9" s="1"/>
  <c r="P384" i="9"/>
  <c r="Q384" i="9" s="1"/>
  <c r="M384" i="9" s="1"/>
  <c r="N384" i="9"/>
  <c r="R385" i="9" s="1"/>
  <c r="G385" i="9" l="1"/>
  <c r="B385" i="9"/>
  <c r="G386" i="10"/>
  <c r="B386" i="10" s="1"/>
  <c r="N386" i="10"/>
  <c r="P386" i="10"/>
  <c r="Q386" i="10" s="1"/>
  <c r="M386" i="10" s="1"/>
  <c r="E386" i="10"/>
  <c r="D386" i="10" s="1"/>
  <c r="C386" i="10" s="1"/>
  <c r="N385" i="9"/>
  <c r="R386" i="9" s="1"/>
  <c r="P385" i="9"/>
  <c r="Q385" i="9" s="1"/>
  <c r="M385" i="9" s="1"/>
  <c r="E385" i="9"/>
  <c r="D385" i="9" s="1"/>
  <c r="C385" i="9" s="1"/>
  <c r="G386" i="9" l="1"/>
  <c r="B386" i="9" s="1"/>
  <c r="G387" i="10"/>
  <c r="B387" i="10"/>
  <c r="P387" i="10"/>
  <c r="Q387" i="10" s="1"/>
  <c r="M387" i="10" s="1"/>
  <c r="N387" i="10"/>
  <c r="E387" i="10"/>
  <c r="D387" i="10" s="1"/>
  <c r="C387" i="10" s="1"/>
  <c r="E386" i="9"/>
  <c r="D386" i="9" s="1"/>
  <c r="C386" i="9" s="1"/>
  <c r="P386" i="9"/>
  <c r="Q386" i="9" s="1"/>
  <c r="M386" i="9" s="1"/>
  <c r="N386" i="9"/>
  <c r="R387" i="9" s="1"/>
  <c r="G387" i="9" l="1"/>
  <c r="B387" i="9" s="1"/>
  <c r="G388" i="10"/>
  <c r="B388" i="10" s="1"/>
  <c r="P388" i="10"/>
  <c r="Q388" i="10" s="1"/>
  <c r="M388" i="10" s="1"/>
  <c r="N388" i="10"/>
  <c r="E388" i="10"/>
  <c r="D388" i="10" s="1"/>
  <c r="C388" i="10" s="1"/>
  <c r="P387" i="9"/>
  <c r="Q387" i="9" s="1"/>
  <c r="M387" i="9" s="1"/>
  <c r="N387" i="9"/>
  <c r="R388" i="9" s="1"/>
  <c r="E387" i="9"/>
  <c r="D387" i="9" s="1"/>
  <c r="C387" i="9" s="1"/>
  <c r="G388" i="9" l="1"/>
  <c r="B388" i="9" s="1"/>
  <c r="G389" i="10"/>
  <c r="B389" i="10"/>
  <c r="N389" i="10"/>
  <c r="P389" i="10"/>
  <c r="Q389" i="10" s="1"/>
  <c r="M389" i="10" s="1"/>
  <c r="E389" i="10"/>
  <c r="D389" i="10" s="1"/>
  <c r="C389" i="10" s="1"/>
  <c r="N388" i="9"/>
  <c r="R389" i="9" s="1"/>
  <c r="P388" i="9"/>
  <c r="Q388" i="9" s="1"/>
  <c r="M388" i="9" s="1"/>
  <c r="E388" i="9"/>
  <c r="D388" i="9" s="1"/>
  <c r="C388" i="9" s="1"/>
  <c r="G389" i="9" l="1"/>
  <c r="B389" i="9"/>
  <c r="G390" i="10"/>
  <c r="B390" i="10" s="1"/>
  <c r="P390" i="10"/>
  <c r="Q390" i="10" s="1"/>
  <c r="M390" i="10" s="1"/>
  <c r="N390" i="10"/>
  <c r="E390" i="10"/>
  <c r="D390" i="10" s="1"/>
  <c r="C390" i="10" s="1"/>
  <c r="E389" i="9"/>
  <c r="D389" i="9" s="1"/>
  <c r="C389" i="9" s="1"/>
  <c r="N389" i="9"/>
  <c r="R390" i="9" s="1"/>
  <c r="P389" i="9"/>
  <c r="Q389" i="9" s="1"/>
  <c r="M389" i="9" s="1"/>
  <c r="G390" i="9" l="1"/>
  <c r="B390" i="9" s="1"/>
  <c r="G391" i="10"/>
  <c r="B391" i="10" s="1"/>
  <c r="P391" i="10"/>
  <c r="Q391" i="10" s="1"/>
  <c r="M391" i="10" s="1"/>
  <c r="N391" i="10"/>
  <c r="E391" i="10"/>
  <c r="D391" i="10" s="1"/>
  <c r="C391" i="10" s="1"/>
  <c r="E390" i="9"/>
  <c r="D390" i="9" s="1"/>
  <c r="C390" i="9" s="1"/>
  <c r="N390" i="9"/>
  <c r="R391" i="9" s="1"/>
  <c r="P390" i="9"/>
  <c r="Q390" i="9" s="1"/>
  <c r="M390" i="9" s="1"/>
  <c r="G391" i="9" l="1"/>
  <c r="B391" i="9"/>
  <c r="G392" i="10"/>
  <c r="B392" i="10" s="1"/>
  <c r="P392" i="10"/>
  <c r="Q392" i="10" s="1"/>
  <c r="M392" i="10" s="1"/>
  <c r="N392" i="10"/>
  <c r="E392" i="10"/>
  <c r="D392" i="10" s="1"/>
  <c r="C392" i="10" s="1"/>
  <c r="E391" i="9"/>
  <c r="D391" i="9" s="1"/>
  <c r="C391" i="9" s="1"/>
  <c r="N391" i="9"/>
  <c r="R392" i="9" s="1"/>
  <c r="P391" i="9"/>
  <c r="Q391" i="9" s="1"/>
  <c r="M391" i="9" s="1"/>
  <c r="G392" i="9" l="1"/>
  <c r="B392" i="9" s="1"/>
  <c r="G393" i="10"/>
  <c r="B393" i="10"/>
  <c r="N393" i="10"/>
  <c r="P393" i="10"/>
  <c r="Q393" i="10" s="1"/>
  <c r="M393" i="10" s="1"/>
  <c r="E393" i="10"/>
  <c r="D393" i="10" s="1"/>
  <c r="C393" i="10" s="1"/>
  <c r="E392" i="9"/>
  <c r="D392" i="9" s="1"/>
  <c r="C392" i="9" s="1"/>
  <c r="N392" i="9"/>
  <c r="R393" i="9" s="1"/>
  <c r="P392" i="9"/>
  <c r="Q392" i="9" s="1"/>
  <c r="M392" i="9" s="1"/>
  <c r="G393" i="9" l="1"/>
  <c r="B393" i="9"/>
  <c r="G394" i="10"/>
  <c r="B394" i="10" s="1"/>
  <c r="P394" i="10"/>
  <c r="Q394" i="10" s="1"/>
  <c r="M394" i="10" s="1"/>
  <c r="N394" i="10"/>
  <c r="E394" i="10"/>
  <c r="D394" i="10" s="1"/>
  <c r="C394" i="10" s="1"/>
  <c r="E393" i="9"/>
  <c r="D393" i="9" s="1"/>
  <c r="C393" i="9" s="1"/>
  <c r="P393" i="9"/>
  <c r="Q393" i="9" s="1"/>
  <c r="M393" i="9" s="1"/>
  <c r="N393" i="9"/>
  <c r="R394" i="9" s="1"/>
  <c r="G394" i="9" l="1"/>
  <c r="B394" i="9"/>
  <c r="G395" i="10"/>
  <c r="B395" i="10" s="1"/>
  <c r="P395" i="10"/>
  <c r="Q395" i="10" s="1"/>
  <c r="M395" i="10" s="1"/>
  <c r="N395" i="10"/>
  <c r="E395" i="10"/>
  <c r="D395" i="10" s="1"/>
  <c r="C395" i="10" s="1"/>
  <c r="P394" i="9"/>
  <c r="Q394" i="9" s="1"/>
  <c r="M394" i="9" s="1"/>
  <c r="N394" i="9"/>
  <c r="R395" i="9" s="1"/>
  <c r="E394" i="9"/>
  <c r="D394" i="9" s="1"/>
  <c r="C394" i="9" s="1"/>
  <c r="G395" i="9" l="1"/>
  <c r="B395" i="9"/>
  <c r="G396" i="10"/>
  <c r="B396" i="10" s="1"/>
  <c r="P396" i="10"/>
  <c r="Q396" i="10" s="1"/>
  <c r="M396" i="10" s="1"/>
  <c r="N396" i="10"/>
  <c r="E396" i="10"/>
  <c r="D396" i="10" s="1"/>
  <c r="C396" i="10" s="1"/>
  <c r="N395" i="9"/>
  <c r="R396" i="9" s="1"/>
  <c r="P395" i="9"/>
  <c r="Q395" i="9" s="1"/>
  <c r="M395" i="9" s="1"/>
  <c r="E395" i="9"/>
  <c r="D395" i="9" s="1"/>
  <c r="C395" i="9" s="1"/>
  <c r="G396" i="9" l="1"/>
  <c r="B396" i="9"/>
  <c r="G397" i="10"/>
  <c r="B397" i="10"/>
  <c r="N397" i="10"/>
  <c r="P397" i="10"/>
  <c r="Q397" i="10" s="1"/>
  <c r="M397" i="10" s="1"/>
  <c r="E397" i="10"/>
  <c r="D397" i="10" s="1"/>
  <c r="C397" i="10" s="1"/>
  <c r="N396" i="9"/>
  <c r="R397" i="9" s="1"/>
  <c r="P396" i="9"/>
  <c r="Q396" i="9" s="1"/>
  <c r="M396" i="9" s="1"/>
  <c r="E396" i="9"/>
  <c r="D396" i="9" s="1"/>
  <c r="C396" i="9" s="1"/>
  <c r="G397" i="9" l="1"/>
  <c r="B397" i="9"/>
  <c r="G398" i="10"/>
  <c r="B398" i="10" s="1"/>
  <c r="P398" i="10"/>
  <c r="Q398" i="10" s="1"/>
  <c r="M398" i="10" s="1"/>
  <c r="N398" i="10"/>
  <c r="E398" i="10"/>
  <c r="D398" i="10" s="1"/>
  <c r="C398" i="10" s="1"/>
  <c r="E397" i="9"/>
  <c r="D397" i="9" s="1"/>
  <c r="C397" i="9" s="1"/>
  <c r="P397" i="9"/>
  <c r="Q397" i="9" s="1"/>
  <c r="M397" i="9" s="1"/>
  <c r="N397" i="9"/>
  <c r="R398" i="9" s="1"/>
  <c r="G398" i="9" l="1"/>
  <c r="B398" i="9"/>
  <c r="G399" i="10"/>
  <c r="B399" i="10" s="1"/>
  <c r="P399" i="10"/>
  <c r="Q399" i="10" s="1"/>
  <c r="M399" i="10" s="1"/>
  <c r="N399" i="10"/>
  <c r="E399" i="10"/>
  <c r="D399" i="10" s="1"/>
  <c r="C399" i="10" s="1"/>
  <c r="E398" i="9"/>
  <c r="D398" i="9" s="1"/>
  <c r="C398" i="9" s="1"/>
  <c r="N398" i="9"/>
  <c r="R399" i="9" s="1"/>
  <c r="P398" i="9"/>
  <c r="Q398" i="9" s="1"/>
  <c r="M398" i="9" s="1"/>
  <c r="G399" i="9" l="1"/>
  <c r="B399" i="9"/>
  <c r="G400" i="10"/>
  <c r="B400" i="10" s="1"/>
  <c r="N400" i="10"/>
  <c r="P400" i="10"/>
  <c r="Q400" i="10" s="1"/>
  <c r="M400" i="10" s="1"/>
  <c r="E400" i="10"/>
  <c r="D400" i="10" s="1"/>
  <c r="C400" i="10" s="1"/>
  <c r="E399" i="9"/>
  <c r="D399" i="9" s="1"/>
  <c r="C399" i="9" s="1"/>
  <c r="N399" i="9"/>
  <c r="R400" i="9" s="1"/>
  <c r="P399" i="9"/>
  <c r="Q399" i="9" s="1"/>
  <c r="M399" i="9" s="1"/>
  <c r="G400" i="9" l="1"/>
  <c r="B400" i="9" s="1"/>
  <c r="G401" i="10"/>
  <c r="B401" i="10"/>
  <c r="N401" i="10"/>
  <c r="P401" i="10"/>
  <c r="Q401" i="10" s="1"/>
  <c r="M401" i="10" s="1"/>
  <c r="E401" i="10"/>
  <c r="D401" i="10" s="1"/>
  <c r="C401" i="10" s="1"/>
  <c r="E400" i="9"/>
  <c r="D400" i="9" s="1"/>
  <c r="C400" i="9" s="1"/>
  <c r="P400" i="9"/>
  <c r="Q400" i="9" s="1"/>
  <c r="M400" i="9" s="1"/>
  <c r="N400" i="9"/>
  <c r="R401" i="9" s="1"/>
  <c r="G401" i="9" l="1"/>
  <c r="B401" i="9"/>
  <c r="G402" i="10"/>
  <c r="B402" i="10"/>
  <c r="N402" i="10"/>
  <c r="P402" i="10"/>
  <c r="Q402" i="10" s="1"/>
  <c r="M402" i="10" s="1"/>
  <c r="E402" i="10"/>
  <c r="D402" i="10" s="1"/>
  <c r="C402" i="10" s="1"/>
  <c r="N401" i="9"/>
  <c r="R402" i="9" s="1"/>
  <c r="P401" i="9"/>
  <c r="Q401" i="9" s="1"/>
  <c r="M401" i="9" s="1"/>
  <c r="E401" i="9"/>
  <c r="D401" i="9" s="1"/>
  <c r="C401" i="9" s="1"/>
  <c r="G402" i="9" l="1"/>
  <c r="B402" i="9" s="1"/>
  <c r="G403" i="10"/>
  <c r="B403" i="10"/>
  <c r="N403" i="10"/>
  <c r="P403" i="10"/>
  <c r="Q403" i="10" s="1"/>
  <c r="M403" i="10" s="1"/>
  <c r="E403" i="10"/>
  <c r="D403" i="10" s="1"/>
  <c r="C403" i="10" s="1"/>
  <c r="E402" i="9"/>
  <c r="D402" i="9" s="1"/>
  <c r="C402" i="9" s="1"/>
  <c r="N402" i="9"/>
  <c r="R403" i="9" s="1"/>
  <c r="P402" i="9"/>
  <c r="Q402" i="9" s="1"/>
  <c r="M402" i="9" s="1"/>
  <c r="G403" i="9" l="1"/>
  <c r="B403" i="9"/>
  <c r="G404" i="10"/>
  <c r="B404" i="10" s="1"/>
  <c r="N404" i="10"/>
  <c r="P404" i="10"/>
  <c r="Q404" i="10" s="1"/>
  <c r="M404" i="10" s="1"/>
  <c r="E404" i="10"/>
  <c r="D404" i="10" s="1"/>
  <c r="C404" i="10" s="1"/>
  <c r="E403" i="9"/>
  <c r="D403" i="9" s="1"/>
  <c r="C403" i="9" s="1"/>
  <c r="P403" i="9"/>
  <c r="Q403" i="9" s="1"/>
  <c r="M403" i="9" s="1"/>
  <c r="N403" i="9"/>
  <c r="R404" i="9" s="1"/>
  <c r="G404" i="9" l="1"/>
  <c r="B404" i="9" s="1"/>
  <c r="G405" i="10"/>
  <c r="B405" i="10"/>
  <c r="N405" i="10"/>
  <c r="P405" i="10"/>
  <c r="Q405" i="10" s="1"/>
  <c r="M405" i="10" s="1"/>
  <c r="E405" i="10"/>
  <c r="D405" i="10" s="1"/>
  <c r="C405" i="10" s="1"/>
  <c r="E404" i="9"/>
  <c r="D404" i="9" s="1"/>
  <c r="C404" i="9" s="1"/>
  <c r="P404" i="9"/>
  <c r="Q404" i="9" s="1"/>
  <c r="M404" i="9" s="1"/>
  <c r="N404" i="9"/>
  <c r="R405" i="9" s="1"/>
  <c r="G405" i="9" l="1"/>
  <c r="B405" i="9"/>
  <c r="G406" i="10"/>
  <c r="B406" i="10" s="1"/>
  <c r="P406" i="10"/>
  <c r="Q406" i="10" s="1"/>
  <c r="M406" i="10" s="1"/>
  <c r="N406" i="10"/>
  <c r="E406" i="10"/>
  <c r="D406" i="10" s="1"/>
  <c r="C406" i="10" s="1"/>
  <c r="E405" i="9"/>
  <c r="D405" i="9" s="1"/>
  <c r="C405" i="9" s="1"/>
  <c r="N405" i="9"/>
  <c r="R406" i="9" s="1"/>
  <c r="P405" i="9"/>
  <c r="Q405" i="9" s="1"/>
  <c r="M405" i="9" s="1"/>
  <c r="G406" i="9" l="1"/>
  <c r="B406" i="9"/>
  <c r="G407" i="10"/>
  <c r="B407" i="10" s="1"/>
  <c r="N407" i="10"/>
  <c r="P407" i="10"/>
  <c r="Q407" i="10" s="1"/>
  <c r="M407" i="10" s="1"/>
  <c r="E407" i="10"/>
  <c r="D407" i="10" s="1"/>
  <c r="C407" i="10" s="1"/>
  <c r="E406" i="9"/>
  <c r="D406" i="9" s="1"/>
  <c r="C406" i="9" s="1"/>
  <c r="N406" i="9"/>
  <c r="R407" i="9" s="1"/>
  <c r="P406" i="9"/>
  <c r="Q406" i="9" s="1"/>
  <c r="M406" i="9" s="1"/>
  <c r="G407" i="9" l="1"/>
  <c r="B407" i="9" s="1"/>
  <c r="G408" i="10"/>
  <c r="B408" i="10"/>
  <c r="P408" i="10"/>
  <c r="Q408" i="10" s="1"/>
  <c r="M408" i="10" s="1"/>
  <c r="N408" i="10"/>
  <c r="E408" i="10"/>
  <c r="D408" i="10" s="1"/>
  <c r="C408" i="10" s="1"/>
  <c r="E407" i="9"/>
  <c r="D407" i="9" s="1"/>
  <c r="C407" i="9" s="1"/>
  <c r="P407" i="9"/>
  <c r="Q407" i="9" s="1"/>
  <c r="M407" i="9" s="1"/>
  <c r="N407" i="9"/>
  <c r="R408" i="9" s="1"/>
  <c r="G408" i="9" l="1"/>
  <c r="B408" i="9"/>
  <c r="G409" i="10"/>
  <c r="B409" i="10" s="1"/>
  <c r="N409" i="10"/>
  <c r="P409" i="10"/>
  <c r="Q409" i="10" s="1"/>
  <c r="M409" i="10" s="1"/>
  <c r="E409" i="10"/>
  <c r="D409" i="10" s="1"/>
  <c r="C409" i="10" s="1"/>
  <c r="P408" i="9"/>
  <c r="Q408" i="9" s="1"/>
  <c r="M408" i="9" s="1"/>
  <c r="N408" i="9"/>
  <c r="R409" i="9" s="1"/>
  <c r="E408" i="9"/>
  <c r="D408" i="9" s="1"/>
  <c r="C408" i="9" s="1"/>
  <c r="G409" i="9" l="1"/>
  <c r="B409" i="9"/>
  <c r="G410" i="10"/>
  <c r="B410" i="10"/>
  <c r="P410" i="10"/>
  <c r="Q410" i="10" s="1"/>
  <c r="M410" i="10" s="1"/>
  <c r="N410" i="10"/>
  <c r="E410" i="10"/>
  <c r="D410" i="10" s="1"/>
  <c r="C410" i="10" s="1"/>
  <c r="N409" i="9"/>
  <c r="R410" i="9" s="1"/>
  <c r="P409" i="9"/>
  <c r="Q409" i="9" s="1"/>
  <c r="M409" i="9" s="1"/>
  <c r="E409" i="9"/>
  <c r="D409" i="9" s="1"/>
  <c r="C409" i="9" s="1"/>
  <c r="G410" i="9" l="1"/>
  <c r="B410" i="9"/>
  <c r="G411" i="10"/>
  <c r="B411" i="10" s="1"/>
  <c r="N411" i="10"/>
  <c r="P411" i="10"/>
  <c r="Q411" i="10" s="1"/>
  <c r="M411" i="10" s="1"/>
  <c r="E411" i="10"/>
  <c r="D411" i="10" s="1"/>
  <c r="C411" i="10" s="1"/>
  <c r="E410" i="9"/>
  <c r="D410" i="9" s="1"/>
  <c r="C410" i="9" s="1"/>
  <c r="P410" i="9"/>
  <c r="Q410" i="9" s="1"/>
  <c r="M410" i="9" s="1"/>
  <c r="N410" i="9"/>
  <c r="R411" i="9" s="1"/>
  <c r="G411" i="9" l="1"/>
  <c r="B411" i="9" s="1"/>
  <c r="G412" i="10"/>
  <c r="B412" i="10" s="1"/>
  <c r="P412" i="10"/>
  <c r="Q412" i="10" s="1"/>
  <c r="M412" i="10" s="1"/>
  <c r="N412" i="10"/>
  <c r="E412" i="10"/>
  <c r="D412" i="10" s="1"/>
  <c r="C412" i="10" s="1"/>
  <c r="N411" i="9"/>
  <c r="R412" i="9" s="1"/>
  <c r="P411" i="9"/>
  <c r="Q411" i="9" s="1"/>
  <c r="M411" i="9" s="1"/>
  <c r="E411" i="9"/>
  <c r="D411" i="9" s="1"/>
  <c r="C411" i="9" s="1"/>
  <c r="G412" i="9" l="1"/>
  <c r="B412" i="9" s="1"/>
  <c r="G413" i="10"/>
  <c r="B413" i="10"/>
  <c r="N413" i="10"/>
  <c r="P413" i="10"/>
  <c r="Q413" i="10" s="1"/>
  <c r="M413" i="10" s="1"/>
  <c r="E413" i="10"/>
  <c r="D413" i="10" s="1"/>
  <c r="C413" i="10" s="1"/>
  <c r="E412" i="9"/>
  <c r="D412" i="9" s="1"/>
  <c r="C412" i="9" s="1"/>
  <c r="N412" i="9"/>
  <c r="R413" i="9" s="1"/>
  <c r="P412" i="9"/>
  <c r="Q412" i="9" s="1"/>
  <c r="M412" i="9" s="1"/>
  <c r="G413" i="9" l="1"/>
  <c r="B413" i="9"/>
  <c r="G414" i="10"/>
  <c r="B414" i="10" s="1"/>
  <c r="P414" i="10"/>
  <c r="Q414" i="10" s="1"/>
  <c r="M414" i="10" s="1"/>
  <c r="N414" i="10"/>
  <c r="E414" i="10"/>
  <c r="D414" i="10" s="1"/>
  <c r="C414" i="10" s="1"/>
  <c r="E413" i="9"/>
  <c r="D413" i="9" s="1"/>
  <c r="C413" i="9" s="1"/>
  <c r="P413" i="9"/>
  <c r="Q413" i="9" s="1"/>
  <c r="M413" i="9" s="1"/>
  <c r="N413" i="9"/>
  <c r="R414" i="9" s="1"/>
  <c r="G414" i="9" l="1"/>
  <c r="B414" i="9"/>
  <c r="G415" i="10"/>
  <c r="B415" i="10" s="1"/>
  <c r="P415" i="10"/>
  <c r="Q415" i="10" s="1"/>
  <c r="M415" i="10" s="1"/>
  <c r="N415" i="10"/>
  <c r="E415" i="10"/>
  <c r="D415" i="10" s="1"/>
  <c r="C415" i="10" s="1"/>
  <c r="N414" i="9"/>
  <c r="R415" i="9" s="1"/>
  <c r="P414" i="9"/>
  <c r="Q414" i="9" s="1"/>
  <c r="M414" i="9" s="1"/>
  <c r="E414" i="9"/>
  <c r="D414" i="9" s="1"/>
  <c r="C414" i="9" s="1"/>
  <c r="G415" i="9" l="1"/>
  <c r="B415" i="9"/>
  <c r="G416" i="10"/>
  <c r="B416" i="10" s="1"/>
  <c r="P416" i="10"/>
  <c r="Q416" i="10" s="1"/>
  <c r="M416" i="10" s="1"/>
  <c r="N416" i="10"/>
  <c r="E416" i="10"/>
  <c r="D416" i="10" s="1"/>
  <c r="C416" i="10" s="1"/>
  <c r="E415" i="9"/>
  <c r="D415" i="9" s="1"/>
  <c r="C415" i="9" s="1"/>
  <c r="P415" i="9"/>
  <c r="Q415" i="9" s="1"/>
  <c r="M415" i="9" s="1"/>
  <c r="N415" i="9"/>
  <c r="R416" i="9" s="1"/>
  <c r="G416" i="9" l="1"/>
  <c r="B416" i="9" s="1"/>
  <c r="G417" i="10"/>
  <c r="B417" i="10" s="1"/>
  <c r="P417" i="10"/>
  <c r="Q417" i="10" s="1"/>
  <c r="M417" i="10" s="1"/>
  <c r="N417" i="10"/>
  <c r="E417" i="10"/>
  <c r="D417" i="10" s="1"/>
  <c r="C417" i="10" s="1"/>
  <c r="E416" i="9"/>
  <c r="D416" i="9" s="1"/>
  <c r="C416" i="9" s="1"/>
  <c r="N416" i="9"/>
  <c r="R417" i="9" s="1"/>
  <c r="P416" i="9"/>
  <c r="Q416" i="9" s="1"/>
  <c r="M416" i="9" s="1"/>
  <c r="G417" i="9" l="1"/>
  <c r="B417" i="9"/>
  <c r="G418" i="10"/>
  <c r="B418" i="10"/>
  <c r="N418" i="10"/>
  <c r="P418" i="10"/>
  <c r="Q418" i="10" s="1"/>
  <c r="M418" i="10" s="1"/>
  <c r="E418" i="10"/>
  <c r="D418" i="10" s="1"/>
  <c r="C418" i="10" s="1"/>
  <c r="E417" i="9"/>
  <c r="D417" i="9" s="1"/>
  <c r="C417" i="9" s="1"/>
  <c r="N417" i="9"/>
  <c r="R418" i="9" s="1"/>
  <c r="P417" i="9"/>
  <c r="Q417" i="9" s="1"/>
  <c r="M417" i="9" s="1"/>
  <c r="G418" i="9" l="1"/>
  <c r="B418" i="9" s="1"/>
  <c r="G419" i="10"/>
  <c r="B419" i="10" s="1"/>
  <c r="P419" i="10"/>
  <c r="Q419" i="10" s="1"/>
  <c r="M419" i="10" s="1"/>
  <c r="N419" i="10"/>
  <c r="E419" i="10"/>
  <c r="D419" i="10" s="1"/>
  <c r="C419" i="10" s="1"/>
  <c r="E418" i="9"/>
  <c r="D418" i="9" s="1"/>
  <c r="C418" i="9" s="1"/>
  <c r="P418" i="9"/>
  <c r="Q418" i="9" s="1"/>
  <c r="M418" i="9" s="1"/>
  <c r="N418" i="9"/>
  <c r="R419" i="9" s="1"/>
  <c r="G419" i="9" l="1"/>
  <c r="B419" i="9"/>
  <c r="G420" i="10"/>
  <c r="B420" i="10" s="1"/>
  <c r="N420" i="10"/>
  <c r="P420" i="10"/>
  <c r="Q420" i="10" s="1"/>
  <c r="M420" i="10" s="1"/>
  <c r="E420" i="10"/>
  <c r="D420" i="10" s="1"/>
  <c r="C420" i="10" s="1"/>
  <c r="P419" i="9"/>
  <c r="Q419" i="9" s="1"/>
  <c r="M419" i="9" s="1"/>
  <c r="N419" i="9"/>
  <c r="R420" i="9" s="1"/>
  <c r="E419" i="9"/>
  <c r="D419" i="9" s="1"/>
  <c r="C419" i="9" s="1"/>
  <c r="G420" i="9" l="1"/>
  <c r="B420" i="9" s="1"/>
  <c r="G421" i="10"/>
  <c r="B421" i="10" s="1"/>
  <c r="P421" i="10"/>
  <c r="Q421" i="10" s="1"/>
  <c r="M421" i="10" s="1"/>
  <c r="N421" i="10"/>
  <c r="E421" i="10"/>
  <c r="D421" i="10" s="1"/>
  <c r="C421" i="10" s="1"/>
  <c r="N420" i="9"/>
  <c r="R421" i="9" s="1"/>
  <c r="P420" i="9"/>
  <c r="Q420" i="9" s="1"/>
  <c r="M420" i="9" s="1"/>
  <c r="E420" i="9"/>
  <c r="D420" i="9" s="1"/>
  <c r="C420" i="9" s="1"/>
  <c r="G421" i="9" l="1"/>
  <c r="B421" i="9"/>
  <c r="G422" i="10"/>
  <c r="B422" i="10" s="1"/>
  <c r="N422" i="10"/>
  <c r="P422" i="10"/>
  <c r="Q422" i="10" s="1"/>
  <c r="M422" i="10" s="1"/>
  <c r="E422" i="10"/>
  <c r="D422" i="10" s="1"/>
  <c r="C422" i="10" s="1"/>
  <c r="E421" i="9"/>
  <c r="D421" i="9" s="1"/>
  <c r="C421" i="9" s="1"/>
  <c r="N421" i="9"/>
  <c r="R422" i="9" s="1"/>
  <c r="P421" i="9"/>
  <c r="Q421" i="9" s="1"/>
  <c r="M421" i="9" s="1"/>
  <c r="G422" i="9" l="1"/>
  <c r="B422" i="9"/>
  <c r="G423" i="10"/>
  <c r="B423" i="10" s="1"/>
  <c r="N423" i="10"/>
  <c r="P423" i="10"/>
  <c r="Q423" i="10" s="1"/>
  <c r="M423" i="10" s="1"/>
  <c r="E423" i="10"/>
  <c r="D423" i="10" s="1"/>
  <c r="C423" i="10" s="1"/>
  <c r="P422" i="9"/>
  <c r="Q422" i="9" s="1"/>
  <c r="M422" i="9" s="1"/>
  <c r="N422" i="9"/>
  <c r="R423" i="9" s="1"/>
  <c r="E422" i="9"/>
  <c r="D422" i="9" s="1"/>
  <c r="C422" i="9" s="1"/>
  <c r="G423" i="9" l="1"/>
  <c r="B423" i="9"/>
  <c r="G424" i="10"/>
  <c r="B424" i="10" s="1"/>
  <c r="N424" i="10"/>
  <c r="P424" i="10"/>
  <c r="Q424" i="10" s="1"/>
  <c r="M424" i="10" s="1"/>
  <c r="E424" i="10"/>
  <c r="D424" i="10" s="1"/>
  <c r="C424" i="10" s="1"/>
  <c r="E423" i="9"/>
  <c r="D423" i="9" s="1"/>
  <c r="C423" i="9" s="1"/>
  <c r="P423" i="9"/>
  <c r="Q423" i="9" s="1"/>
  <c r="M423" i="9" s="1"/>
  <c r="N423" i="9"/>
  <c r="R424" i="9" s="1"/>
  <c r="G424" i="9" l="1"/>
  <c r="B424" i="9" s="1"/>
  <c r="G425" i="10"/>
  <c r="B425" i="10" s="1"/>
  <c r="P425" i="10"/>
  <c r="Q425" i="10" s="1"/>
  <c r="M425" i="10" s="1"/>
  <c r="N425" i="10"/>
  <c r="E425" i="10"/>
  <c r="D425" i="10" s="1"/>
  <c r="C425" i="10" s="1"/>
  <c r="N424" i="9"/>
  <c r="R425" i="9" s="1"/>
  <c r="P424" i="9"/>
  <c r="Q424" i="9" s="1"/>
  <c r="M424" i="9" s="1"/>
  <c r="E424" i="9"/>
  <c r="D424" i="9" s="1"/>
  <c r="C424" i="9" s="1"/>
  <c r="G425" i="9" l="1"/>
  <c r="B425" i="9"/>
  <c r="G426" i="10"/>
  <c r="B426" i="10" s="1"/>
  <c r="N426" i="10"/>
  <c r="P426" i="10"/>
  <c r="Q426" i="10" s="1"/>
  <c r="M426" i="10" s="1"/>
  <c r="E426" i="10"/>
  <c r="D426" i="10" s="1"/>
  <c r="C426" i="10" s="1"/>
  <c r="E425" i="9"/>
  <c r="D425" i="9" s="1"/>
  <c r="C425" i="9" s="1"/>
  <c r="P425" i="9"/>
  <c r="Q425" i="9" s="1"/>
  <c r="M425" i="9" s="1"/>
  <c r="N425" i="9"/>
  <c r="R426" i="9" s="1"/>
  <c r="G426" i="9" l="1"/>
  <c r="B426" i="9" s="1"/>
  <c r="G427" i="10"/>
  <c r="B427" i="10" s="1"/>
  <c r="N427" i="10"/>
  <c r="P427" i="10"/>
  <c r="Q427" i="10" s="1"/>
  <c r="M427" i="10" s="1"/>
  <c r="E427" i="10"/>
  <c r="D427" i="10" s="1"/>
  <c r="C427" i="10" s="1"/>
  <c r="E426" i="9"/>
  <c r="D426" i="9" s="1"/>
  <c r="C426" i="9" s="1"/>
  <c r="P426" i="9"/>
  <c r="Q426" i="9" s="1"/>
  <c r="M426" i="9" s="1"/>
  <c r="N426" i="9"/>
  <c r="R427" i="9" s="1"/>
  <c r="G427" i="9" l="1"/>
  <c r="B427" i="9" s="1"/>
  <c r="G428" i="10"/>
  <c r="B428" i="10"/>
  <c r="P428" i="10"/>
  <c r="Q428" i="10" s="1"/>
  <c r="M428" i="10" s="1"/>
  <c r="N428" i="10"/>
  <c r="E428" i="10"/>
  <c r="D428" i="10" s="1"/>
  <c r="C428" i="10" s="1"/>
  <c r="P427" i="9"/>
  <c r="Q427" i="9" s="1"/>
  <c r="M427" i="9" s="1"/>
  <c r="N427" i="9"/>
  <c r="R428" i="9" s="1"/>
  <c r="E427" i="9"/>
  <c r="D427" i="9" s="1"/>
  <c r="C427" i="9" s="1"/>
  <c r="G428" i="9" l="1"/>
  <c r="B428" i="9"/>
  <c r="G429" i="10"/>
  <c r="B429" i="10"/>
  <c r="N429" i="10"/>
  <c r="P429" i="10"/>
  <c r="Q429" i="10" s="1"/>
  <c r="M429" i="10" s="1"/>
  <c r="E429" i="10"/>
  <c r="D429" i="10" s="1"/>
  <c r="C429" i="10" s="1"/>
  <c r="N428" i="9"/>
  <c r="R429" i="9" s="1"/>
  <c r="P428" i="9"/>
  <c r="Q428" i="9" s="1"/>
  <c r="M428" i="9" s="1"/>
  <c r="E428" i="9"/>
  <c r="D428" i="9" s="1"/>
  <c r="C428" i="9" s="1"/>
  <c r="G429" i="9" l="1"/>
  <c r="B429" i="9"/>
  <c r="G430" i="10"/>
  <c r="B430" i="10" s="1"/>
  <c r="N430" i="10"/>
  <c r="P430" i="10"/>
  <c r="Q430" i="10" s="1"/>
  <c r="M430" i="10" s="1"/>
  <c r="E430" i="10"/>
  <c r="D430" i="10" s="1"/>
  <c r="C430" i="10" s="1"/>
  <c r="E429" i="9"/>
  <c r="D429" i="9" s="1"/>
  <c r="C429" i="9" s="1"/>
  <c r="P429" i="9"/>
  <c r="Q429" i="9" s="1"/>
  <c r="M429" i="9" s="1"/>
  <c r="N429" i="9"/>
  <c r="R430" i="9" s="1"/>
  <c r="G430" i="9" l="1"/>
  <c r="B430" i="9"/>
  <c r="G431" i="10"/>
  <c r="B431" i="10"/>
  <c r="N431" i="10"/>
  <c r="P431" i="10"/>
  <c r="Q431" i="10" s="1"/>
  <c r="M431" i="10" s="1"/>
  <c r="E431" i="10"/>
  <c r="D431" i="10" s="1"/>
  <c r="C431" i="10" s="1"/>
  <c r="E430" i="9"/>
  <c r="D430" i="9" s="1"/>
  <c r="C430" i="9" s="1"/>
  <c r="N430" i="9"/>
  <c r="R431" i="9" s="1"/>
  <c r="P430" i="9"/>
  <c r="Q430" i="9" s="1"/>
  <c r="M430" i="9" s="1"/>
  <c r="G431" i="9" l="1"/>
  <c r="B431" i="9"/>
  <c r="G432" i="10"/>
  <c r="B432" i="10" s="1"/>
  <c r="N432" i="10"/>
  <c r="P432" i="10"/>
  <c r="Q432" i="10" s="1"/>
  <c r="M432" i="10" s="1"/>
  <c r="E432" i="10"/>
  <c r="D432" i="10" s="1"/>
  <c r="C432" i="10" s="1"/>
  <c r="E431" i="9"/>
  <c r="D431" i="9" s="1"/>
  <c r="C431" i="9" s="1"/>
  <c r="P431" i="9"/>
  <c r="Q431" i="9" s="1"/>
  <c r="M431" i="9" s="1"/>
  <c r="N431" i="9"/>
  <c r="R432" i="9" s="1"/>
  <c r="G432" i="9" l="1"/>
  <c r="B432" i="9"/>
  <c r="G433" i="10"/>
  <c r="B433" i="10" s="1"/>
  <c r="N433" i="10"/>
  <c r="P433" i="10"/>
  <c r="Q433" i="10" s="1"/>
  <c r="M433" i="10" s="1"/>
  <c r="E433" i="10"/>
  <c r="D433" i="10" s="1"/>
  <c r="C433" i="10" s="1"/>
  <c r="E432" i="9"/>
  <c r="D432" i="9" s="1"/>
  <c r="C432" i="9" s="1"/>
  <c r="N432" i="9"/>
  <c r="R433" i="9" s="1"/>
  <c r="P432" i="9"/>
  <c r="Q432" i="9" s="1"/>
  <c r="M432" i="9" s="1"/>
  <c r="G433" i="9" l="1"/>
  <c r="B433" i="9"/>
  <c r="G434" i="10"/>
  <c r="B434" i="10" s="1"/>
  <c r="N434" i="10"/>
  <c r="P434" i="10"/>
  <c r="Q434" i="10" s="1"/>
  <c r="M434" i="10" s="1"/>
  <c r="E434" i="10"/>
  <c r="D434" i="10" s="1"/>
  <c r="C434" i="10" s="1"/>
  <c r="E433" i="9"/>
  <c r="D433" i="9" s="1"/>
  <c r="C433" i="9" s="1"/>
  <c r="P433" i="9"/>
  <c r="Q433" i="9" s="1"/>
  <c r="M433" i="9" s="1"/>
  <c r="N433" i="9"/>
  <c r="R434" i="9" s="1"/>
  <c r="G434" i="9" l="1"/>
  <c r="B434" i="9" s="1"/>
  <c r="G435" i="10"/>
  <c r="B435" i="10" s="1"/>
  <c r="P435" i="10"/>
  <c r="Q435" i="10" s="1"/>
  <c r="M435" i="10" s="1"/>
  <c r="N435" i="10"/>
  <c r="E435" i="10"/>
  <c r="D435" i="10" s="1"/>
  <c r="C435" i="10" s="1"/>
  <c r="E434" i="9"/>
  <c r="D434" i="9" s="1"/>
  <c r="C434" i="9" s="1"/>
  <c r="N434" i="9"/>
  <c r="R435" i="9" s="1"/>
  <c r="P434" i="9"/>
  <c r="Q434" i="9" s="1"/>
  <c r="M434" i="9" s="1"/>
  <c r="G435" i="9" l="1"/>
  <c r="B435" i="9" s="1"/>
  <c r="G436" i="10"/>
  <c r="B436" i="10"/>
  <c r="P436" i="10"/>
  <c r="Q436" i="10" s="1"/>
  <c r="M436" i="10" s="1"/>
  <c r="N436" i="10"/>
  <c r="E436" i="10"/>
  <c r="D436" i="10" s="1"/>
  <c r="C436" i="10" s="1"/>
  <c r="E435" i="9"/>
  <c r="D435" i="9" s="1"/>
  <c r="C435" i="9" s="1"/>
  <c r="N435" i="9"/>
  <c r="R436" i="9" s="1"/>
  <c r="P435" i="9"/>
  <c r="Q435" i="9" s="1"/>
  <c r="M435" i="9" s="1"/>
  <c r="G436" i="9" l="1"/>
  <c r="B436" i="9"/>
  <c r="G437" i="10"/>
  <c r="B437" i="10" s="1"/>
  <c r="P437" i="10"/>
  <c r="Q437" i="10" s="1"/>
  <c r="M437" i="10" s="1"/>
  <c r="N437" i="10"/>
  <c r="E437" i="10"/>
  <c r="D437" i="10" s="1"/>
  <c r="C437" i="10" s="1"/>
  <c r="E436" i="9"/>
  <c r="D436" i="9" s="1"/>
  <c r="C436" i="9" s="1"/>
  <c r="N436" i="9"/>
  <c r="R437" i="9" s="1"/>
  <c r="P436" i="9"/>
  <c r="Q436" i="9" s="1"/>
  <c r="M436" i="9" s="1"/>
  <c r="G437" i="9" l="1"/>
  <c r="B437" i="9"/>
  <c r="G438" i="10"/>
  <c r="B438" i="10" s="1"/>
  <c r="N438" i="10"/>
  <c r="P438" i="10"/>
  <c r="Q438" i="10" s="1"/>
  <c r="M438" i="10" s="1"/>
  <c r="E438" i="10"/>
  <c r="D438" i="10" s="1"/>
  <c r="C438" i="10" s="1"/>
  <c r="E437" i="9"/>
  <c r="D437" i="9" s="1"/>
  <c r="C437" i="9" s="1"/>
  <c r="P437" i="9"/>
  <c r="Q437" i="9" s="1"/>
  <c r="M437" i="9" s="1"/>
  <c r="N437" i="9"/>
  <c r="R438" i="9" s="1"/>
  <c r="G438" i="9" l="1"/>
  <c r="B438" i="9"/>
  <c r="G439" i="10"/>
  <c r="B439" i="10" s="1"/>
  <c r="N439" i="10"/>
  <c r="P439" i="10"/>
  <c r="Q439" i="10" s="1"/>
  <c r="M439" i="10" s="1"/>
  <c r="E439" i="10"/>
  <c r="D439" i="10" s="1"/>
  <c r="C439" i="10" s="1"/>
  <c r="E438" i="9"/>
  <c r="D438" i="9" s="1"/>
  <c r="C438" i="9" s="1"/>
  <c r="N438" i="9"/>
  <c r="R439" i="9" s="1"/>
  <c r="P438" i="9"/>
  <c r="Q438" i="9" s="1"/>
  <c r="M438" i="9" s="1"/>
  <c r="G439" i="9" l="1"/>
  <c r="B439" i="9" s="1"/>
  <c r="G440" i="10"/>
  <c r="B440" i="10" s="1"/>
  <c r="N440" i="10"/>
  <c r="P440" i="10"/>
  <c r="Q440" i="10" s="1"/>
  <c r="M440" i="10" s="1"/>
  <c r="E440" i="10"/>
  <c r="D440" i="10" s="1"/>
  <c r="C440" i="10" s="1"/>
  <c r="E439" i="9"/>
  <c r="D439" i="9" s="1"/>
  <c r="C439" i="9" s="1"/>
  <c r="P439" i="9"/>
  <c r="Q439" i="9" s="1"/>
  <c r="M439" i="9" s="1"/>
  <c r="N439" i="9"/>
  <c r="R440" i="9" s="1"/>
  <c r="G440" i="9" l="1"/>
  <c r="B440" i="9"/>
  <c r="G441" i="10"/>
  <c r="B441" i="10"/>
  <c r="P441" i="10"/>
  <c r="Q441" i="10" s="1"/>
  <c r="M441" i="10" s="1"/>
  <c r="N441" i="10"/>
  <c r="E441" i="10"/>
  <c r="D441" i="10" s="1"/>
  <c r="C441" i="10" s="1"/>
  <c r="E440" i="9"/>
  <c r="D440" i="9" s="1"/>
  <c r="C440" i="9" s="1"/>
  <c r="P440" i="9"/>
  <c r="Q440" i="9" s="1"/>
  <c r="M440" i="9" s="1"/>
  <c r="N440" i="9"/>
  <c r="R441" i="9" s="1"/>
  <c r="G441" i="9" l="1"/>
  <c r="B441" i="9"/>
  <c r="G442" i="10"/>
  <c r="B442" i="10" s="1"/>
  <c r="P442" i="10"/>
  <c r="Q442" i="10" s="1"/>
  <c r="M442" i="10" s="1"/>
  <c r="N442" i="10"/>
  <c r="E442" i="10"/>
  <c r="D442" i="10" s="1"/>
  <c r="C442" i="10" s="1"/>
  <c r="P441" i="9"/>
  <c r="Q441" i="9" s="1"/>
  <c r="M441" i="9" s="1"/>
  <c r="N441" i="9"/>
  <c r="R442" i="9" s="1"/>
  <c r="E441" i="9"/>
  <c r="D441" i="9" s="1"/>
  <c r="C441" i="9" s="1"/>
  <c r="G442" i="9" l="1"/>
  <c r="B442" i="9" s="1"/>
  <c r="G443" i="10"/>
  <c r="B443" i="10"/>
  <c r="N443" i="10"/>
  <c r="P443" i="10"/>
  <c r="Q443" i="10" s="1"/>
  <c r="M443" i="10" s="1"/>
  <c r="E443" i="10"/>
  <c r="D443" i="10" s="1"/>
  <c r="C443" i="10" s="1"/>
  <c r="E442" i="9"/>
  <c r="D442" i="9" s="1"/>
  <c r="C442" i="9" s="1"/>
  <c r="P442" i="9"/>
  <c r="Q442" i="9" s="1"/>
  <c r="M442" i="9" s="1"/>
  <c r="N442" i="9"/>
  <c r="R443" i="9" s="1"/>
  <c r="G443" i="9" l="1"/>
  <c r="B443" i="9"/>
  <c r="G444" i="10"/>
  <c r="B444" i="10" s="1"/>
  <c r="N444" i="10"/>
  <c r="P444" i="10"/>
  <c r="Q444" i="10" s="1"/>
  <c r="M444" i="10" s="1"/>
  <c r="E444" i="10"/>
  <c r="D444" i="10" s="1"/>
  <c r="C444" i="10" s="1"/>
  <c r="E443" i="9"/>
  <c r="D443" i="9" s="1"/>
  <c r="C443" i="9" s="1"/>
  <c r="N443" i="9"/>
  <c r="R444" i="9" s="1"/>
  <c r="P443" i="9"/>
  <c r="Q443" i="9" s="1"/>
  <c r="M443" i="9" s="1"/>
  <c r="G444" i="9" l="1"/>
  <c r="B444" i="9"/>
  <c r="G445" i="10"/>
  <c r="B445" i="10" s="1"/>
  <c r="N445" i="10"/>
  <c r="P445" i="10"/>
  <c r="Q445" i="10" s="1"/>
  <c r="M445" i="10" s="1"/>
  <c r="E445" i="10"/>
  <c r="D445" i="10" s="1"/>
  <c r="C445" i="10" s="1"/>
  <c r="E444" i="9"/>
  <c r="D444" i="9" s="1"/>
  <c r="C444" i="9" s="1"/>
  <c r="P444" i="9"/>
  <c r="Q444" i="9" s="1"/>
  <c r="M444" i="9" s="1"/>
  <c r="N444" i="9"/>
  <c r="R445" i="9" s="1"/>
  <c r="G445" i="9" l="1"/>
  <c r="B445" i="9"/>
  <c r="G446" i="10"/>
  <c r="B446" i="10" s="1"/>
  <c r="N446" i="10"/>
  <c r="P446" i="10"/>
  <c r="Q446" i="10" s="1"/>
  <c r="M446" i="10" s="1"/>
  <c r="E446" i="10"/>
  <c r="D446" i="10" s="1"/>
  <c r="C446" i="10" s="1"/>
  <c r="N445" i="9"/>
  <c r="R446" i="9" s="1"/>
  <c r="P445" i="9"/>
  <c r="Q445" i="9" s="1"/>
  <c r="M445" i="9" s="1"/>
  <c r="E445" i="9"/>
  <c r="D445" i="9" s="1"/>
  <c r="C445" i="9" s="1"/>
  <c r="G446" i="9" l="1"/>
  <c r="B446" i="9"/>
  <c r="G447" i="10"/>
  <c r="B447" i="10" s="1"/>
  <c r="P447" i="10"/>
  <c r="Q447" i="10" s="1"/>
  <c r="M447" i="10" s="1"/>
  <c r="N447" i="10"/>
  <c r="E447" i="10"/>
  <c r="D447" i="10" s="1"/>
  <c r="C447" i="10" s="1"/>
  <c r="E446" i="9"/>
  <c r="D446" i="9" s="1"/>
  <c r="C446" i="9" s="1"/>
  <c r="P446" i="9"/>
  <c r="Q446" i="9" s="1"/>
  <c r="M446" i="9" s="1"/>
  <c r="N446" i="9"/>
  <c r="R447" i="9" s="1"/>
  <c r="G447" i="9" l="1"/>
  <c r="B447" i="9"/>
  <c r="G448" i="10"/>
  <c r="B448" i="10" s="1"/>
  <c r="N448" i="10"/>
  <c r="P448" i="10"/>
  <c r="Q448" i="10" s="1"/>
  <c r="M448" i="10" s="1"/>
  <c r="E448" i="10"/>
  <c r="D448" i="10" s="1"/>
  <c r="C448" i="10" s="1"/>
  <c r="E447" i="9"/>
  <c r="D447" i="9" s="1"/>
  <c r="C447" i="9" s="1"/>
  <c r="P447" i="9"/>
  <c r="Q447" i="9" s="1"/>
  <c r="M447" i="9" s="1"/>
  <c r="N447" i="9"/>
  <c r="R448" i="9" s="1"/>
  <c r="G448" i="9" l="1"/>
  <c r="B448" i="9"/>
  <c r="G449" i="10"/>
  <c r="B449" i="10"/>
  <c r="N449" i="10"/>
  <c r="P449" i="10"/>
  <c r="Q449" i="10" s="1"/>
  <c r="M449" i="10" s="1"/>
  <c r="E449" i="10"/>
  <c r="D449" i="10" s="1"/>
  <c r="C449" i="10" s="1"/>
  <c r="E448" i="9"/>
  <c r="D448" i="9" s="1"/>
  <c r="C448" i="9" s="1"/>
  <c r="N448" i="9"/>
  <c r="R449" i="9" s="1"/>
  <c r="P448" i="9"/>
  <c r="Q448" i="9" s="1"/>
  <c r="M448" i="9" s="1"/>
  <c r="G449" i="9" l="1"/>
  <c r="B449" i="9"/>
  <c r="G450" i="10"/>
  <c r="B450" i="10" s="1"/>
  <c r="N450" i="10"/>
  <c r="P450" i="10"/>
  <c r="Q450" i="10" s="1"/>
  <c r="M450" i="10" s="1"/>
  <c r="E450" i="10"/>
  <c r="D450" i="10" s="1"/>
  <c r="C450" i="10" s="1"/>
  <c r="E449" i="9"/>
  <c r="D449" i="9" s="1"/>
  <c r="C449" i="9" s="1"/>
  <c r="N449" i="9"/>
  <c r="R450" i="9" s="1"/>
  <c r="P449" i="9"/>
  <c r="Q449" i="9" s="1"/>
  <c r="M449" i="9" s="1"/>
  <c r="G450" i="9" l="1"/>
  <c r="B450" i="9" s="1"/>
  <c r="G451" i="10"/>
  <c r="B451" i="10" s="1"/>
  <c r="N451" i="10"/>
  <c r="P451" i="10"/>
  <c r="Q451" i="10" s="1"/>
  <c r="M451" i="10" s="1"/>
  <c r="E451" i="10"/>
  <c r="D451" i="10" s="1"/>
  <c r="C451" i="10" s="1"/>
  <c r="E450" i="9"/>
  <c r="D450" i="9" s="1"/>
  <c r="C450" i="9" s="1"/>
  <c r="N450" i="9"/>
  <c r="R451" i="9" s="1"/>
  <c r="P450" i="9"/>
  <c r="Q450" i="9" s="1"/>
  <c r="M450" i="9" s="1"/>
  <c r="G451" i="9" l="1"/>
  <c r="B451" i="9" s="1"/>
  <c r="G452" i="10"/>
  <c r="B452" i="10" s="1"/>
  <c r="P452" i="10"/>
  <c r="Q452" i="10" s="1"/>
  <c r="M452" i="10" s="1"/>
  <c r="N452" i="10"/>
  <c r="E452" i="10"/>
  <c r="D452" i="10" s="1"/>
  <c r="C452" i="10" s="1"/>
  <c r="E451" i="9"/>
  <c r="D451" i="9" s="1"/>
  <c r="C451" i="9" s="1"/>
  <c r="P451" i="9"/>
  <c r="Q451" i="9" s="1"/>
  <c r="M451" i="9" s="1"/>
  <c r="N451" i="9"/>
  <c r="R452" i="9" s="1"/>
  <c r="G452" i="9" l="1"/>
  <c r="B452" i="9" s="1"/>
  <c r="G453" i="10"/>
  <c r="B453" i="10" s="1"/>
  <c r="P453" i="10"/>
  <c r="Q453" i="10" s="1"/>
  <c r="M453" i="10" s="1"/>
  <c r="N453" i="10"/>
  <c r="E453" i="10"/>
  <c r="D453" i="10" s="1"/>
  <c r="C453" i="10" s="1"/>
  <c r="E452" i="9"/>
  <c r="D452" i="9" s="1"/>
  <c r="C452" i="9" s="1"/>
  <c r="N452" i="9"/>
  <c r="R453" i="9" s="1"/>
  <c r="P452" i="9"/>
  <c r="Q452" i="9" s="1"/>
  <c r="M452" i="9" s="1"/>
  <c r="G453" i="9" l="1"/>
  <c r="B453" i="9"/>
  <c r="G454" i="10"/>
  <c r="B454" i="10" s="1"/>
  <c r="N454" i="10"/>
  <c r="P454" i="10"/>
  <c r="Q454" i="10" s="1"/>
  <c r="M454" i="10" s="1"/>
  <c r="E454" i="10"/>
  <c r="D454" i="10" s="1"/>
  <c r="C454" i="10" s="1"/>
  <c r="E453" i="9"/>
  <c r="D453" i="9" s="1"/>
  <c r="C453" i="9" s="1"/>
  <c r="N453" i="9"/>
  <c r="R454" i="9" s="1"/>
  <c r="P453" i="9"/>
  <c r="Q453" i="9" s="1"/>
  <c r="M453" i="9" s="1"/>
  <c r="G454" i="9" l="1"/>
  <c r="B454" i="9" s="1"/>
  <c r="G455" i="10"/>
  <c r="B455" i="10" s="1"/>
  <c r="N455" i="10"/>
  <c r="P455" i="10"/>
  <c r="Q455" i="10" s="1"/>
  <c r="M455" i="10" s="1"/>
  <c r="E455" i="10"/>
  <c r="D455" i="10" s="1"/>
  <c r="C455" i="10" s="1"/>
  <c r="E454" i="9"/>
  <c r="D454" i="9" s="1"/>
  <c r="C454" i="9" s="1"/>
  <c r="P454" i="9"/>
  <c r="Q454" i="9" s="1"/>
  <c r="M454" i="9" s="1"/>
  <c r="N454" i="9"/>
  <c r="R455" i="9" s="1"/>
  <c r="G455" i="9" l="1"/>
  <c r="B455" i="9"/>
  <c r="G456" i="10"/>
  <c r="B456" i="10" s="1"/>
  <c r="P456" i="10"/>
  <c r="Q456" i="10" s="1"/>
  <c r="M456" i="10" s="1"/>
  <c r="N456" i="10"/>
  <c r="E456" i="10"/>
  <c r="D456" i="10" s="1"/>
  <c r="C456" i="10" s="1"/>
  <c r="P455" i="9"/>
  <c r="Q455" i="9" s="1"/>
  <c r="M455" i="9" s="1"/>
  <c r="N455" i="9"/>
  <c r="R456" i="9" s="1"/>
  <c r="E455" i="9"/>
  <c r="D455" i="9" s="1"/>
  <c r="C455" i="9" s="1"/>
  <c r="G456" i="9" l="1"/>
  <c r="B456" i="9"/>
  <c r="G457" i="10"/>
  <c r="B457" i="10"/>
  <c r="P457" i="10"/>
  <c r="Q457" i="10" s="1"/>
  <c r="M457" i="10" s="1"/>
  <c r="N457" i="10"/>
  <c r="E457" i="10"/>
  <c r="D457" i="10" s="1"/>
  <c r="C457" i="10" s="1"/>
  <c r="E456" i="9"/>
  <c r="D456" i="9" s="1"/>
  <c r="C456" i="9" s="1"/>
  <c r="P456" i="9"/>
  <c r="Q456" i="9" s="1"/>
  <c r="M456" i="9" s="1"/>
  <c r="N456" i="9"/>
  <c r="R457" i="9" s="1"/>
  <c r="G457" i="9" l="1"/>
  <c r="B457" i="9" s="1"/>
  <c r="G458" i="10"/>
  <c r="B458" i="10" s="1"/>
  <c r="N458" i="10"/>
  <c r="P458" i="10"/>
  <c r="Q458" i="10" s="1"/>
  <c r="M458" i="10" s="1"/>
  <c r="E458" i="10"/>
  <c r="D458" i="10" s="1"/>
  <c r="C458" i="10" s="1"/>
  <c r="N457" i="9"/>
  <c r="R458" i="9" s="1"/>
  <c r="P457" i="9"/>
  <c r="Q457" i="9" s="1"/>
  <c r="M457" i="9" s="1"/>
  <c r="E457" i="9"/>
  <c r="D457" i="9" s="1"/>
  <c r="C457" i="9" s="1"/>
  <c r="G458" i="9" l="1"/>
  <c r="B458" i="9" s="1"/>
  <c r="G459" i="10"/>
  <c r="B459" i="10"/>
  <c r="N459" i="10"/>
  <c r="P459" i="10"/>
  <c r="Q459" i="10" s="1"/>
  <c r="M459" i="10" s="1"/>
  <c r="E459" i="10"/>
  <c r="D459" i="10" s="1"/>
  <c r="C459" i="10" s="1"/>
  <c r="E458" i="9"/>
  <c r="D458" i="9" s="1"/>
  <c r="C458" i="9" s="1"/>
  <c r="P458" i="9"/>
  <c r="Q458" i="9" s="1"/>
  <c r="M458" i="9" s="1"/>
  <c r="N458" i="9"/>
  <c r="R459" i="9" s="1"/>
  <c r="G459" i="9" l="1"/>
  <c r="B459" i="9" s="1"/>
  <c r="G460" i="10"/>
  <c r="B460" i="10"/>
  <c r="P460" i="10"/>
  <c r="Q460" i="10" s="1"/>
  <c r="M460" i="10" s="1"/>
  <c r="N460" i="10"/>
  <c r="E460" i="10"/>
  <c r="D460" i="10" s="1"/>
  <c r="C460" i="10" s="1"/>
  <c r="P459" i="9"/>
  <c r="Q459" i="9" s="1"/>
  <c r="M459" i="9" s="1"/>
  <c r="N459" i="9"/>
  <c r="R460" i="9" s="1"/>
  <c r="E459" i="9"/>
  <c r="D459" i="9" s="1"/>
  <c r="C459" i="9" s="1"/>
  <c r="G460" i="9" l="1"/>
  <c r="B460" i="9" s="1"/>
  <c r="G461" i="10"/>
  <c r="B461" i="10"/>
  <c r="P461" i="10"/>
  <c r="Q461" i="10" s="1"/>
  <c r="M461" i="10" s="1"/>
  <c r="N461" i="10"/>
  <c r="E461" i="10"/>
  <c r="D461" i="10" s="1"/>
  <c r="C461" i="10" s="1"/>
  <c r="E460" i="9"/>
  <c r="D460" i="9" s="1"/>
  <c r="C460" i="9" s="1"/>
  <c r="P460" i="9"/>
  <c r="Q460" i="9" s="1"/>
  <c r="M460" i="9" s="1"/>
  <c r="N460" i="9"/>
  <c r="R461" i="9" s="1"/>
  <c r="G461" i="9" l="1"/>
  <c r="B461" i="9"/>
  <c r="G462" i="10"/>
  <c r="B462" i="10" s="1"/>
  <c r="P462" i="10"/>
  <c r="Q462" i="10" s="1"/>
  <c r="M462" i="10" s="1"/>
  <c r="N462" i="10"/>
  <c r="E462" i="10"/>
  <c r="D462" i="10" s="1"/>
  <c r="C462" i="10" s="1"/>
  <c r="N461" i="9"/>
  <c r="R462" i="9" s="1"/>
  <c r="P461" i="9"/>
  <c r="Q461" i="9" s="1"/>
  <c r="M461" i="9" s="1"/>
  <c r="E461" i="9"/>
  <c r="D461" i="9" s="1"/>
  <c r="C461" i="9" s="1"/>
  <c r="G462" i="9" l="1"/>
  <c r="B462" i="9" s="1"/>
  <c r="G463" i="10"/>
  <c r="B463" i="10" s="1"/>
  <c r="N463" i="10"/>
  <c r="P463" i="10"/>
  <c r="Q463" i="10" s="1"/>
  <c r="M463" i="10" s="1"/>
  <c r="E463" i="10"/>
  <c r="D463" i="10" s="1"/>
  <c r="C463" i="10" s="1"/>
  <c r="E462" i="9"/>
  <c r="D462" i="9" s="1"/>
  <c r="C462" i="9" s="1"/>
  <c r="P462" i="9"/>
  <c r="Q462" i="9" s="1"/>
  <c r="M462" i="9" s="1"/>
  <c r="N462" i="9"/>
  <c r="R463" i="9" s="1"/>
  <c r="G463" i="9" l="1"/>
  <c r="B463" i="9"/>
  <c r="G464" i="10"/>
  <c r="B464" i="10"/>
  <c r="P464" i="10"/>
  <c r="Q464" i="10" s="1"/>
  <c r="M464" i="10" s="1"/>
  <c r="N464" i="10"/>
  <c r="E464" i="10"/>
  <c r="D464" i="10" s="1"/>
  <c r="C464" i="10" s="1"/>
  <c r="E463" i="9"/>
  <c r="D463" i="9" s="1"/>
  <c r="C463" i="9" s="1"/>
  <c r="P463" i="9"/>
  <c r="Q463" i="9" s="1"/>
  <c r="M463" i="9" s="1"/>
  <c r="N463" i="9"/>
  <c r="R464" i="9" s="1"/>
  <c r="G464" i="9" l="1"/>
  <c r="B464" i="9"/>
  <c r="G465" i="10"/>
  <c r="B465" i="10"/>
  <c r="P465" i="10"/>
  <c r="Q465" i="10" s="1"/>
  <c r="M465" i="10" s="1"/>
  <c r="N465" i="10"/>
  <c r="E465" i="10"/>
  <c r="D465" i="10" s="1"/>
  <c r="C465" i="10" s="1"/>
  <c r="E464" i="9"/>
  <c r="D464" i="9" s="1"/>
  <c r="C464" i="9" s="1"/>
  <c r="P464" i="9"/>
  <c r="Q464" i="9" s="1"/>
  <c r="M464" i="9" s="1"/>
  <c r="N464" i="9"/>
  <c r="R465" i="9" s="1"/>
  <c r="G465" i="9" l="1"/>
  <c r="B465" i="9"/>
  <c r="G466" i="10"/>
  <c r="B466" i="10"/>
  <c r="N466" i="10"/>
  <c r="P466" i="10"/>
  <c r="Q466" i="10" s="1"/>
  <c r="M466" i="10" s="1"/>
  <c r="E466" i="10"/>
  <c r="D466" i="10" s="1"/>
  <c r="C466" i="10" s="1"/>
  <c r="E465" i="9"/>
  <c r="D465" i="9" s="1"/>
  <c r="C465" i="9" s="1"/>
  <c r="P465" i="9"/>
  <c r="Q465" i="9" s="1"/>
  <c r="M465" i="9" s="1"/>
  <c r="N465" i="9"/>
  <c r="R466" i="9" s="1"/>
  <c r="G466" i="9" l="1"/>
  <c r="B466" i="9" s="1"/>
  <c r="G467" i="10"/>
  <c r="B467" i="10" s="1"/>
  <c r="N467" i="10"/>
  <c r="P467" i="10"/>
  <c r="Q467" i="10" s="1"/>
  <c r="M467" i="10" s="1"/>
  <c r="E467" i="10"/>
  <c r="D467" i="10" s="1"/>
  <c r="C467" i="10" s="1"/>
  <c r="E466" i="9"/>
  <c r="D466" i="9" s="1"/>
  <c r="C466" i="9" s="1"/>
  <c r="P466" i="9"/>
  <c r="Q466" i="9" s="1"/>
  <c r="M466" i="9" s="1"/>
  <c r="N466" i="9"/>
  <c r="R467" i="9" s="1"/>
  <c r="G467" i="9" l="1"/>
  <c r="B467" i="9"/>
  <c r="G468" i="10"/>
  <c r="B468" i="10" s="1"/>
  <c r="P468" i="10"/>
  <c r="Q468" i="10" s="1"/>
  <c r="M468" i="10" s="1"/>
  <c r="N468" i="10"/>
  <c r="E468" i="10"/>
  <c r="D468" i="10" s="1"/>
  <c r="C468" i="10" s="1"/>
  <c r="E467" i="9"/>
  <c r="D467" i="9" s="1"/>
  <c r="C467" i="9" s="1"/>
  <c r="P467" i="9"/>
  <c r="Q467" i="9" s="1"/>
  <c r="M467" i="9" s="1"/>
  <c r="N467" i="9"/>
  <c r="R468" i="9" s="1"/>
  <c r="G468" i="9" l="1"/>
  <c r="B468" i="9"/>
  <c r="G469" i="10"/>
  <c r="B469" i="10"/>
  <c r="N469" i="10"/>
  <c r="P469" i="10"/>
  <c r="Q469" i="10" s="1"/>
  <c r="M469" i="10" s="1"/>
  <c r="E469" i="10"/>
  <c r="D469" i="10" s="1"/>
  <c r="C469" i="10" s="1"/>
  <c r="E468" i="9"/>
  <c r="D468" i="9" s="1"/>
  <c r="C468" i="9" s="1"/>
  <c r="N468" i="9"/>
  <c r="R469" i="9" s="1"/>
  <c r="P468" i="9"/>
  <c r="Q468" i="9" s="1"/>
  <c r="M468" i="9" s="1"/>
  <c r="G469" i="9" l="1"/>
  <c r="B469" i="9" s="1"/>
  <c r="G470" i="10"/>
  <c r="B470" i="10" s="1"/>
  <c r="N470" i="10"/>
  <c r="P470" i="10"/>
  <c r="Q470" i="10" s="1"/>
  <c r="M470" i="10" s="1"/>
  <c r="E470" i="10"/>
  <c r="D470" i="10" s="1"/>
  <c r="C470" i="10" s="1"/>
  <c r="E469" i="9"/>
  <c r="D469" i="9" s="1"/>
  <c r="C469" i="9" s="1"/>
  <c r="P469" i="9"/>
  <c r="Q469" i="9" s="1"/>
  <c r="M469" i="9" s="1"/>
  <c r="N469" i="9"/>
  <c r="R470" i="9" s="1"/>
  <c r="G470" i="9" l="1"/>
  <c r="B470" i="9" s="1"/>
  <c r="G471" i="10"/>
  <c r="B471" i="10"/>
  <c r="N471" i="10"/>
  <c r="P471" i="10"/>
  <c r="Q471" i="10" s="1"/>
  <c r="M471" i="10" s="1"/>
  <c r="E471" i="10"/>
  <c r="D471" i="10" s="1"/>
  <c r="C471" i="10" s="1"/>
  <c r="E470" i="9"/>
  <c r="D470" i="9" s="1"/>
  <c r="C470" i="9" s="1"/>
  <c r="N470" i="9"/>
  <c r="R471" i="9" s="1"/>
  <c r="P470" i="9"/>
  <c r="Q470" i="9" s="1"/>
  <c r="M470" i="9" s="1"/>
  <c r="G471" i="9" l="1"/>
  <c r="B471" i="9"/>
  <c r="G472" i="10"/>
  <c r="B472" i="10"/>
  <c r="N472" i="10"/>
  <c r="P472" i="10"/>
  <c r="Q472" i="10" s="1"/>
  <c r="M472" i="10" s="1"/>
  <c r="E472" i="10"/>
  <c r="D472" i="10" s="1"/>
  <c r="C472" i="10" s="1"/>
  <c r="E471" i="9"/>
  <c r="D471" i="9" s="1"/>
  <c r="C471" i="9" s="1"/>
  <c r="N471" i="9"/>
  <c r="R472" i="9" s="1"/>
  <c r="P471" i="9"/>
  <c r="Q471" i="9" s="1"/>
  <c r="M471" i="9" s="1"/>
  <c r="G472" i="9" l="1"/>
  <c r="B472" i="9"/>
  <c r="G473" i="10"/>
  <c r="B473" i="10"/>
  <c r="N473" i="10"/>
  <c r="P473" i="10"/>
  <c r="Q473" i="10" s="1"/>
  <c r="M473" i="10" s="1"/>
  <c r="E473" i="10"/>
  <c r="D473" i="10" s="1"/>
  <c r="C473" i="10" s="1"/>
  <c r="E472" i="9"/>
  <c r="D472" i="9" s="1"/>
  <c r="C472" i="9" s="1"/>
  <c r="N472" i="9"/>
  <c r="R473" i="9" s="1"/>
  <c r="P472" i="9"/>
  <c r="Q472" i="9" s="1"/>
  <c r="M472" i="9" s="1"/>
  <c r="G473" i="9" l="1"/>
  <c r="B473" i="9"/>
  <c r="G474" i="10"/>
  <c r="B474" i="10"/>
  <c r="N474" i="10"/>
  <c r="P474" i="10"/>
  <c r="Q474" i="10" s="1"/>
  <c r="M474" i="10" s="1"/>
  <c r="E474" i="10"/>
  <c r="D474" i="10" s="1"/>
  <c r="C474" i="10" s="1"/>
  <c r="E473" i="9"/>
  <c r="D473" i="9" s="1"/>
  <c r="C473" i="9" s="1"/>
  <c r="N473" i="9"/>
  <c r="R474" i="9" s="1"/>
  <c r="P473" i="9"/>
  <c r="Q473" i="9" s="1"/>
  <c r="M473" i="9" s="1"/>
  <c r="G474" i="9" l="1"/>
  <c r="B474" i="9"/>
  <c r="G475" i="10"/>
  <c r="B475" i="10" s="1"/>
  <c r="N475" i="10"/>
  <c r="P475" i="10"/>
  <c r="Q475" i="10" s="1"/>
  <c r="M475" i="10" s="1"/>
  <c r="E475" i="10"/>
  <c r="D475" i="10" s="1"/>
  <c r="C475" i="10" s="1"/>
  <c r="E474" i="9"/>
  <c r="D474" i="9" s="1"/>
  <c r="C474" i="9" s="1"/>
  <c r="N474" i="9"/>
  <c r="R475" i="9" s="1"/>
  <c r="P474" i="9"/>
  <c r="Q474" i="9" s="1"/>
  <c r="M474" i="9" s="1"/>
  <c r="G475" i="9" l="1"/>
  <c r="B475" i="9" s="1"/>
  <c r="G476" i="10"/>
  <c r="B476" i="10" s="1"/>
  <c r="N476" i="10"/>
  <c r="P476" i="10"/>
  <c r="Q476" i="10" s="1"/>
  <c r="M476" i="10" s="1"/>
  <c r="E476" i="10"/>
  <c r="D476" i="10" s="1"/>
  <c r="C476" i="10" s="1"/>
  <c r="E475" i="9"/>
  <c r="D475" i="9" s="1"/>
  <c r="C475" i="9" s="1"/>
  <c r="N475" i="9"/>
  <c r="R476" i="9" s="1"/>
  <c r="P475" i="9"/>
  <c r="Q475" i="9" s="1"/>
  <c r="M475" i="9" s="1"/>
  <c r="G476" i="9" l="1"/>
  <c r="B476" i="9"/>
  <c r="G477" i="10"/>
  <c r="B477" i="10"/>
  <c r="P477" i="10"/>
  <c r="Q477" i="10" s="1"/>
  <c r="M477" i="10" s="1"/>
  <c r="N477" i="10"/>
  <c r="E477" i="10"/>
  <c r="D477" i="10" s="1"/>
  <c r="C477" i="10" s="1"/>
  <c r="E476" i="9"/>
  <c r="D476" i="9" s="1"/>
  <c r="C476" i="9" s="1"/>
  <c r="P476" i="9"/>
  <c r="Q476" i="9" s="1"/>
  <c r="M476" i="9" s="1"/>
  <c r="N476" i="9"/>
  <c r="R477" i="9" s="1"/>
  <c r="G477" i="9" l="1"/>
  <c r="B477" i="9"/>
  <c r="G478" i="10"/>
  <c r="B478" i="10" s="1"/>
  <c r="P478" i="10"/>
  <c r="Q478" i="10" s="1"/>
  <c r="M478" i="10" s="1"/>
  <c r="N478" i="10"/>
  <c r="E478" i="10"/>
  <c r="D478" i="10" s="1"/>
  <c r="C478" i="10" s="1"/>
  <c r="N477" i="9"/>
  <c r="R478" i="9" s="1"/>
  <c r="P477" i="9"/>
  <c r="Q477" i="9" s="1"/>
  <c r="M477" i="9" s="1"/>
  <c r="E477" i="9"/>
  <c r="D477" i="9" s="1"/>
  <c r="C477" i="9" s="1"/>
  <c r="G478" i="9" l="1"/>
  <c r="B478" i="9"/>
  <c r="G479" i="10"/>
  <c r="B479" i="10" s="1"/>
  <c r="P479" i="10"/>
  <c r="Q479" i="10" s="1"/>
  <c r="M479" i="10" s="1"/>
  <c r="N479" i="10"/>
  <c r="E479" i="10"/>
  <c r="D479" i="10" s="1"/>
  <c r="C479" i="10" s="1"/>
  <c r="E478" i="9"/>
  <c r="D478" i="9" s="1"/>
  <c r="C478" i="9" s="1"/>
  <c r="N478" i="9"/>
  <c r="R479" i="9" s="1"/>
  <c r="P478" i="9"/>
  <c r="Q478" i="9" s="1"/>
  <c r="M478" i="9" s="1"/>
  <c r="G479" i="9" l="1"/>
  <c r="B479" i="9"/>
  <c r="G480" i="10"/>
  <c r="B480" i="10" s="1"/>
  <c r="P480" i="10"/>
  <c r="Q480" i="10" s="1"/>
  <c r="M480" i="10" s="1"/>
  <c r="N480" i="10"/>
  <c r="E480" i="10"/>
  <c r="D480" i="10" s="1"/>
  <c r="C480" i="10" s="1"/>
  <c r="E479" i="9"/>
  <c r="D479" i="9" s="1"/>
  <c r="C479" i="9" s="1"/>
  <c r="N479" i="9"/>
  <c r="R480" i="9" s="1"/>
  <c r="P479" i="9"/>
  <c r="Q479" i="9" s="1"/>
  <c r="M479" i="9" s="1"/>
  <c r="G480" i="9" l="1"/>
  <c r="B480" i="9"/>
  <c r="G481" i="10"/>
  <c r="B481" i="10"/>
  <c r="P481" i="10"/>
  <c r="Q481" i="10" s="1"/>
  <c r="M481" i="10" s="1"/>
  <c r="N481" i="10"/>
  <c r="E481" i="10"/>
  <c r="D481" i="10" s="1"/>
  <c r="C481" i="10" s="1"/>
  <c r="E480" i="9"/>
  <c r="D480" i="9" s="1"/>
  <c r="C480" i="9" s="1"/>
  <c r="P480" i="9"/>
  <c r="Q480" i="9" s="1"/>
  <c r="M480" i="9" s="1"/>
  <c r="N480" i="9"/>
  <c r="R481" i="9" s="1"/>
  <c r="G481" i="9" l="1"/>
  <c r="B481" i="9"/>
  <c r="G482" i="10"/>
  <c r="B482" i="10" s="1"/>
  <c r="N482" i="10"/>
  <c r="P482" i="10"/>
  <c r="Q482" i="10" s="1"/>
  <c r="M482" i="10" s="1"/>
  <c r="E482" i="10"/>
  <c r="D482" i="10" s="1"/>
  <c r="C482" i="10" s="1"/>
  <c r="N481" i="9"/>
  <c r="R482" i="9" s="1"/>
  <c r="P481" i="9"/>
  <c r="Q481" i="9" s="1"/>
  <c r="M481" i="9" s="1"/>
  <c r="E481" i="9"/>
  <c r="D481" i="9" s="1"/>
  <c r="C481" i="9" s="1"/>
  <c r="G482" i="9" l="1"/>
  <c r="B482" i="9" s="1"/>
  <c r="G483" i="10"/>
  <c r="B483" i="10" s="1"/>
  <c r="N483" i="10"/>
  <c r="P483" i="10"/>
  <c r="Q483" i="10" s="1"/>
  <c r="M483" i="10" s="1"/>
  <c r="E483" i="10"/>
  <c r="D483" i="10" s="1"/>
  <c r="C483" i="10" s="1"/>
  <c r="E482" i="9"/>
  <c r="D482" i="9" s="1"/>
  <c r="C482" i="9" s="1"/>
  <c r="N482" i="9"/>
  <c r="R483" i="9" s="1"/>
  <c r="P482" i="9"/>
  <c r="Q482" i="9" s="1"/>
  <c r="M482" i="9" s="1"/>
  <c r="G483" i="9" l="1"/>
  <c r="B483" i="9" s="1"/>
  <c r="G484" i="10"/>
  <c r="B484" i="10" s="1"/>
  <c r="N484" i="10"/>
  <c r="P484" i="10"/>
  <c r="Q484" i="10" s="1"/>
  <c r="M484" i="10" s="1"/>
  <c r="E484" i="10"/>
  <c r="D484" i="10" s="1"/>
  <c r="C484" i="10" s="1"/>
  <c r="E483" i="9"/>
  <c r="D483" i="9" s="1"/>
  <c r="C483" i="9" s="1"/>
  <c r="N483" i="9"/>
  <c r="R484" i="9" s="1"/>
  <c r="P483" i="9"/>
  <c r="Q483" i="9" s="1"/>
  <c r="M483" i="9" s="1"/>
  <c r="G484" i="9" l="1"/>
  <c r="B484" i="9"/>
  <c r="G485" i="10"/>
  <c r="B485" i="10"/>
  <c r="N485" i="10"/>
  <c r="P485" i="10"/>
  <c r="Q485" i="10" s="1"/>
  <c r="M485" i="10" s="1"/>
  <c r="E485" i="10"/>
  <c r="D485" i="10" s="1"/>
  <c r="C485" i="10" s="1"/>
  <c r="E484" i="9"/>
  <c r="D484" i="9" s="1"/>
  <c r="C484" i="9" s="1"/>
  <c r="P484" i="9"/>
  <c r="Q484" i="9" s="1"/>
  <c r="M484" i="9" s="1"/>
  <c r="N484" i="9"/>
  <c r="R485" i="9" s="1"/>
  <c r="G485" i="9" l="1"/>
  <c r="B485" i="9"/>
  <c r="G486" i="10"/>
  <c r="B486" i="10" s="1"/>
  <c r="N486" i="10"/>
  <c r="P486" i="10"/>
  <c r="Q486" i="10" s="1"/>
  <c r="M486" i="10" s="1"/>
  <c r="E486" i="10"/>
  <c r="D486" i="10" s="1"/>
  <c r="C486" i="10" s="1"/>
  <c r="N485" i="9"/>
  <c r="R486" i="9" s="1"/>
  <c r="P485" i="9"/>
  <c r="Q485" i="9" s="1"/>
  <c r="M485" i="9" s="1"/>
  <c r="E485" i="9"/>
  <c r="D485" i="9" s="1"/>
  <c r="C485" i="9" s="1"/>
  <c r="G486" i="9" l="1"/>
  <c r="B486" i="9"/>
  <c r="G487" i="10"/>
  <c r="B487" i="10" s="1"/>
  <c r="N487" i="10"/>
  <c r="P487" i="10"/>
  <c r="Q487" i="10" s="1"/>
  <c r="M487" i="10" s="1"/>
  <c r="E487" i="10"/>
  <c r="D487" i="10" s="1"/>
  <c r="C487" i="10" s="1"/>
  <c r="E486" i="9"/>
  <c r="D486" i="9" s="1"/>
  <c r="C486" i="9" s="1"/>
  <c r="N486" i="9"/>
  <c r="R487" i="9" s="1"/>
  <c r="P486" i="9"/>
  <c r="Q486" i="9" s="1"/>
  <c r="M486" i="9" s="1"/>
  <c r="G487" i="9" l="1"/>
  <c r="B487" i="9" s="1"/>
  <c r="G488" i="10"/>
  <c r="B488" i="10" s="1"/>
  <c r="N488" i="10"/>
  <c r="P488" i="10"/>
  <c r="Q488" i="10" s="1"/>
  <c r="M488" i="10" s="1"/>
  <c r="E488" i="10"/>
  <c r="D488" i="10" s="1"/>
  <c r="C488" i="10" s="1"/>
  <c r="E487" i="9"/>
  <c r="D487" i="9" s="1"/>
  <c r="C487" i="9" s="1"/>
  <c r="N487" i="9"/>
  <c r="R488" i="9" s="1"/>
  <c r="P487" i="9"/>
  <c r="Q487" i="9" s="1"/>
  <c r="M487" i="9" s="1"/>
  <c r="G488" i="9" l="1"/>
  <c r="B488" i="9" s="1"/>
  <c r="G489" i="10"/>
  <c r="B489" i="10"/>
  <c r="N489" i="10"/>
  <c r="P489" i="10"/>
  <c r="Q489" i="10" s="1"/>
  <c r="M489" i="10" s="1"/>
  <c r="E489" i="10"/>
  <c r="D489" i="10" s="1"/>
  <c r="C489" i="10" s="1"/>
  <c r="E488" i="9"/>
  <c r="D488" i="9" s="1"/>
  <c r="C488" i="9" s="1"/>
  <c r="N488" i="9"/>
  <c r="R489" i="9" s="1"/>
  <c r="P488" i="9"/>
  <c r="Q488" i="9" s="1"/>
  <c r="M488" i="9" s="1"/>
  <c r="G489" i="9" l="1"/>
  <c r="B489" i="9"/>
  <c r="G490" i="10"/>
  <c r="B490" i="10" s="1"/>
  <c r="N490" i="10"/>
  <c r="P490" i="10"/>
  <c r="Q490" i="10" s="1"/>
  <c r="M490" i="10" s="1"/>
  <c r="E490" i="10"/>
  <c r="D490" i="10" s="1"/>
  <c r="C490" i="10" s="1"/>
  <c r="E489" i="9"/>
  <c r="D489" i="9" s="1"/>
  <c r="C489" i="9" s="1"/>
  <c r="N489" i="9"/>
  <c r="R490" i="9" s="1"/>
  <c r="P489" i="9"/>
  <c r="Q489" i="9" s="1"/>
  <c r="M489" i="9" s="1"/>
  <c r="G490" i="9" l="1"/>
  <c r="B490" i="9" s="1"/>
  <c r="G491" i="10"/>
  <c r="B491" i="10" s="1"/>
  <c r="N491" i="10"/>
  <c r="P491" i="10"/>
  <c r="Q491" i="10" s="1"/>
  <c r="M491" i="10" s="1"/>
  <c r="E491" i="10"/>
  <c r="D491" i="10" s="1"/>
  <c r="C491" i="10" s="1"/>
  <c r="E490" i="9"/>
  <c r="D490" i="9" s="1"/>
  <c r="C490" i="9" s="1"/>
  <c r="N490" i="9"/>
  <c r="R491" i="9" s="1"/>
  <c r="P490" i="9"/>
  <c r="Q490" i="9" s="1"/>
  <c r="M490" i="9" s="1"/>
  <c r="G491" i="9" l="1"/>
  <c r="B491" i="9" s="1"/>
  <c r="G492" i="10"/>
  <c r="B492" i="10"/>
  <c r="P492" i="10"/>
  <c r="Q492" i="10" s="1"/>
  <c r="M492" i="10" s="1"/>
  <c r="N492" i="10"/>
  <c r="E492" i="10"/>
  <c r="D492" i="10" s="1"/>
  <c r="C492" i="10" s="1"/>
  <c r="E491" i="9"/>
  <c r="D491" i="9" s="1"/>
  <c r="C491" i="9" s="1"/>
  <c r="N491" i="9"/>
  <c r="R492" i="9" s="1"/>
  <c r="P491" i="9"/>
  <c r="Q491" i="9" s="1"/>
  <c r="M491" i="9" s="1"/>
  <c r="G492" i="9" l="1"/>
  <c r="B492" i="9"/>
  <c r="G493" i="10"/>
  <c r="B493" i="10"/>
  <c r="P493" i="10"/>
  <c r="Q493" i="10" s="1"/>
  <c r="M493" i="10" s="1"/>
  <c r="N493" i="10"/>
  <c r="E493" i="10"/>
  <c r="D493" i="10" s="1"/>
  <c r="C493" i="10" s="1"/>
  <c r="E492" i="9"/>
  <c r="D492" i="9" s="1"/>
  <c r="C492" i="9" s="1"/>
  <c r="N492" i="9"/>
  <c r="R493" i="9" s="1"/>
  <c r="P492" i="9"/>
  <c r="Q492" i="9" s="1"/>
  <c r="M492" i="9" s="1"/>
  <c r="G493" i="9" l="1"/>
  <c r="B493" i="9"/>
  <c r="G494" i="10"/>
  <c r="B494" i="10" s="1"/>
  <c r="P494" i="10"/>
  <c r="Q494" i="10" s="1"/>
  <c r="M494" i="10" s="1"/>
  <c r="N494" i="10"/>
  <c r="E494" i="10"/>
  <c r="D494" i="10" s="1"/>
  <c r="C494" i="10" s="1"/>
  <c r="E493" i="9"/>
  <c r="D493" i="9" s="1"/>
  <c r="C493" i="9" s="1"/>
  <c r="N493" i="9"/>
  <c r="R494" i="9" s="1"/>
  <c r="P493" i="9"/>
  <c r="Q493" i="9" s="1"/>
  <c r="M493" i="9" s="1"/>
  <c r="G494" i="9" l="1"/>
  <c r="B494" i="9" s="1"/>
  <c r="G495" i="10"/>
  <c r="B495" i="10" s="1"/>
  <c r="N495" i="10"/>
  <c r="P495" i="10"/>
  <c r="Q495" i="10" s="1"/>
  <c r="M495" i="10" s="1"/>
  <c r="E495" i="10"/>
  <c r="D495" i="10" s="1"/>
  <c r="C495" i="10" s="1"/>
  <c r="E494" i="9"/>
  <c r="D494" i="9" s="1"/>
  <c r="C494" i="9" s="1"/>
  <c r="N494" i="9"/>
  <c r="R495" i="9" s="1"/>
  <c r="P494" i="9"/>
  <c r="Q494" i="9" s="1"/>
  <c r="M494" i="9" s="1"/>
  <c r="G495" i="9" l="1"/>
  <c r="B495" i="9" s="1"/>
  <c r="G496" i="10"/>
  <c r="B496" i="10" s="1"/>
  <c r="C13" i="10" s="1"/>
  <c r="P496" i="10"/>
  <c r="Q496" i="10" s="1"/>
  <c r="M496" i="10" s="1"/>
  <c r="N13" i="10" s="1"/>
  <c r="N496" i="10"/>
  <c r="E496" i="10"/>
  <c r="D496" i="10" s="1"/>
  <c r="C496" i="10" s="1"/>
  <c r="N495" i="9"/>
  <c r="R496" i="9" s="1"/>
  <c r="P495" i="9"/>
  <c r="Q495" i="9" s="1"/>
  <c r="M495" i="9" s="1"/>
  <c r="E495" i="9"/>
  <c r="D495" i="9" s="1"/>
  <c r="C495" i="9" s="1"/>
  <c r="E104" i="7"/>
  <c r="F86" i="7" s="1"/>
  <c r="G496" i="9" l="1"/>
  <c r="B496" i="9" s="1"/>
  <c r="C13" i="9" s="1"/>
  <c r="N12" i="10"/>
  <c r="F127" i="12" s="1"/>
  <c r="F125" i="12"/>
  <c r="C12" i="10"/>
  <c r="F126" i="12" s="1"/>
  <c r="F124" i="12"/>
  <c r="E496" i="9"/>
  <c r="D496" i="9" s="1"/>
  <c r="C496" i="9" s="1"/>
  <c r="N496" i="9"/>
  <c r="P496" i="9"/>
  <c r="Q496" i="9" s="1"/>
  <c r="M496" i="9" l="1"/>
  <c r="N13" i="9" s="1"/>
  <c r="F125" i="8" s="1"/>
  <c r="F124" i="8"/>
  <c r="C12" i="9"/>
  <c r="F126" i="8" s="1"/>
  <c r="N12" i="9" l="1"/>
  <c r="F127" i="8" s="1"/>
  <c r="F62" i="7"/>
  <c r="F147" i="12" l="1"/>
  <c r="F152" i="8"/>
  <c r="F156" i="12"/>
  <c r="F151" i="12"/>
  <c r="F148" i="8"/>
  <c r="F157" i="8"/>
  <c r="F152" i="12"/>
  <c r="F153" i="8"/>
  <c r="N4" i="4"/>
  <c r="M4" i="2"/>
  <c r="C4" i="4"/>
  <c r="B4" i="6"/>
  <c r="B4" i="5"/>
  <c r="C4" i="2"/>
  <c r="F153" i="12" l="1"/>
  <c r="F154" i="12" s="1"/>
  <c r="F154" i="8"/>
  <c r="F155" i="8" s="1"/>
  <c r="B5" i="6"/>
  <c r="B5" i="5"/>
  <c r="N5" i="4" l="1"/>
  <c r="F126" i="7" l="1"/>
  <c r="F121" i="7"/>
  <c r="F120" i="7"/>
  <c r="F122" i="7" s="1"/>
  <c r="F117" i="7"/>
  <c r="F115" i="7"/>
  <c r="F91" i="7" s="1"/>
  <c r="F114" i="7"/>
  <c r="F90" i="7" s="1"/>
  <c r="F54" i="7" s="1"/>
  <c r="C5" i="4"/>
  <c r="R44" i="4" l="1"/>
  <c r="R48" i="4"/>
  <c r="R52" i="4"/>
  <c r="R56" i="4"/>
  <c r="R60" i="4"/>
  <c r="R64" i="4"/>
  <c r="R68" i="4"/>
  <c r="R72" i="4"/>
  <c r="R76" i="4"/>
  <c r="R80" i="4"/>
  <c r="R84" i="4"/>
  <c r="R88" i="4"/>
  <c r="R92" i="4"/>
  <c r="R96" i="4"/>
  <c r="R100" i="4"/>
  <c r="R104" i="4"/>
  <c r="R108" i="4"/>
  <c r="R112" i="4"/>
  <c r="R116" i="4"/>
  <c r="R120" i="4"/>
  <c r="R124" i="4"/>
  <c r="R128" i="4"/>
  <c r="R132" i="4"/>
  <c r="R136" i="4"/>
  <c r="R140" i="4"/>
  <c r="R144" i="4"/>
  <c r="R148" i="4"/>
  <c r="R152" i="4"/>
  <c r="R156" i="4"/>
  <c r="R160" i="4"/>
  <c r="R164" i="4"/>
  <c r="R168" i="4"/>
  <c r="R172" i="4"/>
  <c r="R176" i="4"/>
  <c r="R180" i="4"/>
  <c r="R184" i="4"/>
  <c r="R188" i="4"/>
  <c r="R192" i="4"/>
  <c r="R196" i="4"/>
  <c r="R200" i="4"/>
  <c r="R204" i="4"/>
  <c r="R208" i="4"/>
  <c r="R212" i="4"/>
  <c r="R216" i="4"/>
  <c r="R220" i="4"/>
  <c r="R224" i="4"/>
  <c r="R228" i="4"/>
  <c r="R232" i="4"/>
  <c r="R236" i="4"/>
  <c r="R240" i="4"/>
  <c r="R244" i="4"/>
  <c r="R248" i="4"/>
  <c r="R252" i="4"/>
  <c r="R256" i="4"/>
  <c r="R260" i="4"/>
  <c r="R264" i="4"/>
  <c r="R268" i="4"/>
  <c r="R272" i="4"/>
  <c r="R276" i="4"/>
  <c r="R280" i="4"/>
  <c r="R284" i="4"/>
  <c r="R288" i="4"/>
  <c r="R292" i="4"/>
  <c r="R296" i="4"/>
  <c r="R300" i="4"/>
  <c r="R304" i="4"/>
  <c r="R308" i="4"/>
  <c r="R312" i="4"/>
  <c r="R316" i="4"/>
  <c r="R320" i="4"/>
  <c r="R324" i="4"/>
  <c r="R328" i="4"/>
  <c r="R332" i="4"/>
  <c r="R336" i="4"/>
  <c r="R340" i="4"/>
  <c r="R344" i="4"/>
  <c r="R348" i="4"/>
  <c r="R352" i="4"/>
  <c r="R356" i="4"/>
  <c r="R360" i="4"/>
  <c r="R364" i="4"/>
  <c r="R368" i="4"/>
  <c r="R372" i="4"/>
  <c r="R376" i="4"/>
  <c r="R46" i="4"/>
  <c r="R51" i="4"/>
  <c r="R57" i="4"/>
  <c r="R62" i="4"/>
  <c r="R67" i="4"/>
  <c r="R73" i="4"/>
  <c r="R78" i="4"/>
  <c r="R83" i="4"/>
  <c r="R89" i="4"/>
  <c r="R94" i="4"/>
  <c r="R99" i="4"/>
  <c r="R105" i="4"/>
  <c r="R110" i="4"/>
  <c r="R115" i="4"/>
  <c r="R121" i="4"/>
  <c r="R126" i="4"/>
  <c r="R131" i="4"/>
  <c r="R137" i="4"/>
  <c r="R142" i="4"/>
  <c r="R147" i="4"/>
  <c r="R153" i="4"/>
  <c r="R158" i="4"/>
  <c r="R163" i="4"/>
  <c r="R169" i="4"/>
  <c r="R174" i="4"/>
  <c r="R179" i="4"/>
  <c r="R185" i="4"/>
  <c r="R190" i="4"/>
  <c r="R195" i="4"/>
  <c r="R201" i="4"/>
  <c r="R206" i="4"/>
  <c r="R211" i="4"/>
  <c r="R217" i="4"/>
  <c r="R222" i="4"/>
  <c r="R227" i="4"/>
  <c r="R233" i="4"/>
  <c r="R238" i="4"/>
  <c r="R243" i="4"/>
  <c r="R249" i="4"/>
  <c r="R254" i="4"/>
  <c r="R259" i="4"/>
  <c r="R265" i="4"/>
  <c r="R270" i="4"/>
  <c r="R275" i="4"/>
  <c r="R281" i="4"/>
  <c r="R286" i="4"/>
  <c r="R291" i="4"/>
  <c r="R297" i="4"/>
  <c r="R302" i="4"/>
  <c r="R307" i="4"/>
  <c r="R313" i="4"/>
  <c r="R318" i="4"/>
  <c r="R323" i="4"/>
  <c r="R329" i="4"/>
  <c r="R334" i="4"/>
  <c r="R339" i="4"/>
  <c r="R345" i="4"/>
  <c r="R350" i="4"/>
  <c r="R355" i="4"/>
  <c r="R361" i="4"/>
  <c r="R366" i="4"/>
  <c r="R371" i="4"/>
  <c r="R377" i="4"/>
  <c r="R381" i="4"/>
  <c r="R385" i="4"/>
  <c r="R389" i="4"/>
  <c r="R393" i="4"/>
  <c r="R397" i="4"/>
  <c r="R401" i="4"/>
  <c r="R405" i="4"/>
  <c r="R409" i="4"/>
  <c r="R413" i="4"/>
  <c r="R417" i="4"/>
  <c r="R421" i="4"/>
  <c r="R425" i="4"/>
  <c r="R429" i="4"/>
  <c r="R433" i="4"/>
  <c r="R437" i="4"/>
  <c r="R441" i="4"/>
  <c r="R445" i="4"/>
  <c r="R449" i="4"/>
  <c r="R453" i="4"/>
  <c r="R457" i="4"/>
  <c r="R461" i="4"/>
  <c r="R465" i="4"/>
  <c r="R469" i="4"/>
  <c r="R473" i="4"/>
  <c r="R477" i="4"/>
  <c r="R481" i="4"/>
  <c r="R485" i="4"/>
  <c r="R489" i="4"/>
  <c r="R493" i="4"/>
  <c r="R41" i="4"/>
  <c r="R42" i="4"/>
  <c r="R47" i="4"/>
  <c r="R53" i="4"/>
  <c r="R58" i="4"/>
  <c r="R63" i="4"/>
  <c r="R69" i="4"/>
  <c r="R74" i="4"/>
  <c r="R79" i="4"/>
  <c r="R85" i="4"/>
  <c r="R90" i="4"/>
  <c r="R95" i="4"/>
  <c r="R101" i="4"/>
  <c r="R106" i="4"/>
  <c r="R111" i="4"/>
  <c r="R117" i="4"/>
  <c r="R122" i="4"/>
  <c r="R127" i="4"/>
  <c r="R133" i="4"/>
  <c r="R138" i="4"/>
  <c r="R143" i="4"/>
  <c r="R149" i="4"/>
  <c r="R154" i="4"/>
  <c r="R159" i="4"/>
  <c r="R165" i="4"/>
  <c r="R170" i="4"/>
  <c r="R175" i="4"/>
  <c r="R181" i="4"/>
  <c r="R186" i="4"/>
  <c r="R191" i="4"/>
  <c r="R197" i="4"/>
  <c r="R202" i="4"/>
  <c r="R207" i="4"/>
  <c r="R213" i="4"/>
  <c r="R218" i="4"/>
  <c r="R223" i="4"/>
  <c r="R229" i="4"/>
  <c r="R234" i="4"/>
  <c r="R239" i="4"/>
  <c r="R245" i="4"/>
  <c r="R250" i="4"/>
  <c r="R255" i="4"/>
  <c r="R261" i="4"/>
  <c r="R266" i="4"/>
  <c r="R271" i="4"/>
  <c r="R277" i="4"/>
  <c r="R282" i="4"/>
  <c r="R287" i="4"/>
  <c r="R293" i="4"/>
  <c r="R298" i="4"/>
  <c r="R303" i="4"/>
  <c r="R309" i="4"/>
  <c r="R314" i="4"/>
  <c r="R319" i="4"/>
  <c r="R325" i="4"/>
  <c r="R330" i="4"/>
  <c r="R335" i="4"/>
  <c r="R341" i="4"/>
  <c r="R346" i="4"/>
  <c r="R351" i="4"/>
  <c r="R357" i="4"/>
  <c r="R362" i="4"/>
  <c r="R367" i="4"/>
  <c r="R373" i="4"/>
  <c r="R378" i="4"/>
  <c r="R382" i="4"/>
  <c r="R386" i="4"/>
  <c r="R390" i="4"/>
  <c r="R394" i="4"/>
  <c r="R398" i="4"/>
  <c r="R402" i="4"/>
  <c r="R406" i="4"/>
  <c r="R410" i="4"/>
  <c r="R414" i="4"/>
  <c r="R418" i="4"/>
  <c r="R422" i="4"/>
  <c r="R426" i="4"/>
  <c r="R43" i="4"/>
  <c r="R54" i="4"/>
  <c r="R65" i="4"/>
  <c r="R75" i="4"/>
  <c r="R86" i="4"/>
  <c r="R97" i="4"/>
  <c r="R107" i="4"/>
  <c r="R118" i="4"/>
  <c r="R129" i="4"/>
  <c r="R139" i="4"/>
  <c r="R150" i="4"/>
  <c r="R161" i="4"/>
  <c r="R171" i="4"/>
  <c r="R182" i="4"/>
  <c r="R193" i="4"/>
  <c r="R203" i="4"/>
  <c r="R214" i="4"/>
  <c r="R225" i="4"/>
  <c r="R235" i="4"/>
  <c r="R246" i="4"/>
  <c r="R257" i="4"/>
  <c r="R267" i="4"/>
  <c r="R278" i="4"/>
  <c r="R289" i="4"/>
  <c r="R299" i="4"/>
  <c r="R310" i="4"/>
  <c r="R321" i="4"/>
  <c r="R331" i="4"/>
  <c r="R342" i="4"/>
  <c r="R353" i="4"/>
  <c r="R363" i="4"/>
  <c r="R374" i="4"/>
  <c r="R383" i="4"/>
  <c r="R391" i="4"/>
  <c r="R399" i="4"/>
  <c r="R407" i="4"/>
  <c r="R415" i="4"/>
  <c r="R423" i="4"/>
  <c r="R430" i="4"/>
  <c r="R435" i="4"/>
  <c r="R440" i="4"/>
  <c r="R446" i="4"/>
  <c r="R451" i="4"/>
  <c r="R456" i="4"/>
  <c r="R462" i="4"/>
  <c r="R467" i="4"/>
  <c r="R472" i="4"/>
  <c r="R478" i="4"/>
  <c r="R483" i="4"/>
  <c r="R488" i="4"/>
  <c r="R494" i="4"/>
  <c r="R45" i="4"/>
  <c r="R55" i="4"/>
  <c r="R66" i="4"/>
  <c r="R77" i="4"/>
  <c r="R87" i="4"/>
  <c r="R98" i="4"/>
  <c r="R109" i="4"/>
  <c r="R119" i="4"/>
  <c r="R130" i="4"/>
  <c r="R141" i="4"/>
  <c r="R151" i="4"/>
  <c r="R162" i="4"/>
  <c r="R173" i="4"/>
  <c r="R183" i="4"/>
  <c r="R194" i="4"/>
  <c r="R205" i="4"/>
  <c r="R215" i="4"/>
  <c r="R226" i="4"/>
  <c r="R237" i="4"/>
  <c r="R247" i="4"/>
  <c r="R258" i="4"/>
  <c r="R269" i="4"/>
  <c r="R279" i="4"/>
  <c r="R290" i="4"/>
  <c r="R301" i="4"/>
  <c r="R311" i="4"/>
  <c r="R322" i="4"/>
  <c r="R333" i="4"/>
  <c r="R343" i="4"/>
  <c r="R354" i="4"/>
  <c r="R365" i="4"/>
  <c r="R375" i="4"/>
  <c r="R384" i="4"/>
  <c r="R392" i="4"/>
  <c r="R400" i="4"/>
  <c r="R408" i="4"/>
  <c r="R416" i="4"/>
  <c r="R424" i="4"/>
  <c r="R431" i="4"/>
  <c r="R436" i="4"/>
  <c r="R442" i="4"/>
  <c r="R447" i="4"/>
  <c r="R452" i="4"/>
  <c r="R458" i="4"/>
  <c r="R463" i="4"/>
  <c r="R468" i="4"/>
  <c r="R474" i="4"/>
  <c r="R479" i="4"/>
  <c r="R484" i="4"/>
  <c r="R490" i="4"/>
  <c r="R495" i="4"/>
  <c r="R49" i="4"/>
  <c r="R59" i="4"/>
  <c r="R70" i="4"/>
  <c r="R81" i="4"/>
  <c r="R91" i="4"/>
  <c r="R102" i="4"/>
  <c r="R113" i="4"/>
  <c r="R123" i="4"/>
  <c r="R134" i="4"/>
  <c r="R145" i="4"/>
  <c r="R155" i="4"/>
  <c r="R166" i="4"/>
  <c r="R177" i="4"/>
  <c r="R187" i="4"/>
  <c r="R198" i="4"/>
  <c r="R209" i="4"/>
  <c r="R219" i="4"/>
  <c r="R230" i="4"/>
  <c r="R241" i="4"/>
  <c r="R251" i="4"/>
  <c r="R262" i="4"/>
  <c r="R273" i="4"/>
  <c r="R283" i="4"/>
  <c r="R294" i="4"/>
  <c r="R305" i="4"/>
  <c r="R315" i="4"/>
  <c r="R326" i="4"/>
  <c r="R337" i="4"/>
  <c r="R347" i="4"/>
  <c r="R358" i="4"/>
  <c r="R369" i="4"/>
  <c r="R379" i="4"/>
  <c r="R387" i="4"/>
  <c r="R395" i="4"/>
  <c r="R403" i="4"/>
  <c r="R411" i="4"/>
  <c r="R419" i="4"/>
  <c r="R427" i="4"/>
  <c r="R432" i="4"/>
  <c r="R438" i="4"/>
  <c r="R443" i="4"/>
  <c r="R448" i="4"/>
  <c r="R454" i="4"/>
  <c r="R459" i="4"/>
  <c r="R464" i="4"/>
  <c r="R470" i="4"/>
  <c r="R475" i="4"/>
  <c r="R480" i="4"/>
  <c r="R486" i="4"/>
  <c r="R491" i="4"/>
  <c r="R496" i="4"/>
  <c r="R50" i="4"/>
  <c r="R61" i="4"/>
  <c r="R71" i="4"/>
  <c r="R82" i="4"/>
  <c r="R93" i="4"/>
  <c r="R103" i="4"/>
  <c r="R114" i="4"/>
  <c r="R125" i="4"/>
  <c r="R135" i="4"/>
  <c r="R146" i="4"/>
  <c r="R157" i="4"/>
  <c r="R167" i="4"/>
  <c r="R178" i="4"/>
  <c r="R189" i="4"/>
  <c r="R199" i="4"/>
  <c r="R210" i="4"/>
  <c r="R221" i="4"/>
  <c r="R231" i="4"/>
  <c r="R242" i="4"/>
  <c r="R253" i="4"/>
  <c r="R263" i="4"/>
  <c r="R274" i="4"/>
  <c r="R285" i="4"/>
  <c r="R295" i="4"/>
  <c r="R306" i="4"/>
  <c r="R317" i="4"/>
  <c r="R327" i="4"/>
  <c r="R338" i="4"/>
  <c r="R349" i="4"/>
  <c r="R359" i="4"/>
  <c r="R370" i="4"/>
  <c r="R380" i="4"/>
  <c r="R388" i="4"/>
  <c r="R396" i="4"/>
  <c r="R404" i="4"/>
  <c r="R412" i="4"/>
  <c r="R420" i="4"/>
  <c r="R428" i="4"/>
  <c r="R434" i="4"/>
  <c r="R439" i="4"/>
  <c r="R444" i="4"/>
  <c r="R450" i="4"/>
  <c r="R455" i="4"/>
  <c r="R460" i="4"/>
  <c r="R466" i="4"/>
  <c r="R471" i="4"/>
  <c r="R476" i="4"/>
  <c r="R482" i="4"/>
  <c r="R487" i="4"/>
  <c r="R492" i="4"/>
  <c r="S17" i="4"/>
  <c r="H17" i="4"/>
  <c r="F77" i="7"/>
  <c r="N3" i="4"/>
  <c r="C3" i="4"/>
  <c r="F92" i="7"/>
  <c r="F89" i="7"/>
  <c r="N10" i="4"/>
  <c r="F113" i="7"/>
  <c r="F123" i="7"/>
  <c r="F124" i="7" s="1"/>
  <c r="C10" i="4"/>
  <c r="N11" i="4"/>
  <c r="C11" i="4"/>
  <c r="F141" i="1"/>
  <c r="F136" i="1"/>
  <c r="F135" i="1"/>
  <c r="F137" i="1" s="1"/>
  <c r="F132" i="1"/>
  <c r="F130" i="1"/>
  <c r="F88" i="1" s="1"/>
  <c r="F129" i="1"/>
  <c r="F87" i="1" s="1"/>
  <c r="F49" i="1" l="1"/>
  <c r="M16" i="4"/>
  <c r="B16" i="4"/>
  <c r="H17" i="2"/>
  <c r="R17" i="2"/>
  <c r="F118" i="7"/>
  <c r="F138" i="1"/>
  <c r="F139" i="1" s="1"/>
  <c r="F90" i="1" l="1"/>
  <c r="F86" i="1"/>
  <c r="F84" i="1"/>
  <c r="F89" i="1"/>
  <c r="B3" i="6"/>
  <c r="B3" i="5"/>
  <c r="F72" i="1"/>
  <c r="M3" i="2"/>
  <c r="C3" i="2"/>
  <c r="E119" i="1"/>
  <c r="F81" i="1" s="1"/>
  <c r="M5" i="2"/>
  <c r="F111" i="1" l="1"/>
  <c r="F112" i="1" s="1"/>
  <c r="F109" i="1"/>
  <c r="F110" i="1" s="1"/>
  <c r="F82" i="1"/>
  <c r="F87" i="7"/>
  <c r="F135" i="7"/>
  <c r="C5" i="2"/>
  <c r="F85" i="1"/>
  <c r="F136" i="7" l="1"/>
  <c r="F137" i="7" s="1"/>
  <c r="C11" i="2" l="1"/>
  <c r="C10" i="2"/>
  <c r="M10" i="2"/>
  <c r="B16" i="2" l="1"/>
  <c r="M11" i="2"/>
  <c r="L16" i="2" s="1"/>
  <c r="F128" i="1"/>
  <c r="F133" i="1" l="1"/>
  <c r="F105" i="1" l="1"/>
  <c r="F106" i="1" s="1"/>
  <c r="E11" i="5"/>
  <c r="F108" i="1" l="1"/>
  <c r="F113" i="1"/>
  <c r="F114" i="1"/>
  <c r="C16" i="2"/>
  <c r="M16" i="2"/>
  <c r="E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C12" i="6" l="1"/>
  <c r="D12" i="6" s="1"/>
  <c r="E12" i="6"/>
  <c r="N17" i="2"/>
  <c r="M17" i="2" s="1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O17" i="2"/>
  <c r="N42" i="2"/>
  <c r="N41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P17" i="2" l="1"/>
  <c r="L17" i="2" s="1"/>
  <c r="M18" i="2"/>
  <c r="O18" i="2"/>
  <c r="P18" i="2" s="1"/>
  <c r="L18" i="2" s="1"/>
  <c r="C13" i="6"/>
  <c r="D13" i="6" s="1"/>
  <c r="E13" i="6"/>
  <c r="C14" i="6" l="1"/>
  <c r="D14" i="6" s="1"/>
  <c r="E14" i="6"/>
  <c r="M19" i="2"/>
  <c r="O19" i="2"/>
  <c r="P19" i="2" s="1"/>
  <c r="L19" i="2" s="1"/>
  <c r="M20" i="2" l="1"/>
  <c r="O20" i="2"/>
  <c r="P20" i="2" s="1"/>
  <c r="L20" i="2" s="1"/>
  <c r="C15" i="6"/>
  <c r="D15" i="6" s="1"/>
  <c r="E15" i="6"/>
  <c r="M21" i="2" l="1"/>
  <c r="O21" i="2"/>
  <c r="P21" i="2" s="1"/>
  <c r="L21" i="2" s="1"/>
  <c r="C16" i="6"/>
  <c r="D16" i="6" s="1"/>
  <c r="E16" i="6"/>
  <c r="M22" i="2" l="1"/>
  <c r="O22" i="2"/>
  <c r="P22" i="2" s="1"/>
  <c r="L22" i="2" s="1"/>
  <c r="C17" i="6"/>
  <c r="D17" i="6" s="1"/>
  <c r="E17" i="6"/>
  <c r="C18" i="6" l="1"/>
  <c r="D18" i="6" s="1"/>
  <c r="E18" i="6"/>
  <c r="M23" i="2"/>
  <c r="O23" i="2"/>
  <c r="P23" i="2" s="1"/>
  <c r="L23" i="2" s="1"/>
  <c r="M24" i="2" l="1"/>
  <c r="O24" i="2"/>
  <c r="P24" i="2" s="1"/>
  <c r="L24" i="2" s="1"/>
  <c r="C19" i="6"/>
  <c r="D19" i="6" s="1"/>
  <c r="E19" i="6"/>
  <c r="M25" i="2" l="1"/>
  <c r="O25" i="2"/>
  <c r="P25" i="2" s="1"/>
  <c r="L25" i="2" s="1"/>
  <c r="C20" i="6"/>
  <c r="D20" i="6" s="1"/>
  <c r="E20" i="6"/>
  <c r="C21" i="6" l="1"/>
  <c r="D21" i="6" s="1"/>
  <c r="E21" i="6"/>
  <c r="M26" i="2"/>
  <c r="O26" i="2"/>
  <c r="P26" i="2" s="1"/>
  <c r="L26" i="2" s="1"/>
  <c r="M27" i="2" l="1"/>
  <c r="O27" i="2"/>
  <c r="P27" i="2" s="1"/>
  <c r="L27" i="2" s="1"/>
  <c r="C22" i="6"/>
  <c r="D22" i="6" s="1"/>
  <c r="E22" i="6"/>
  <c r="M28" i="2" l="1"/>
  <c r="O28" i="2"/>
  <c r="P28" i="2" s="1"/>
  <c r="L28" i="2" s="1"/>
  <c r="C23" i="6"/>
  <c r="D23" i="6" s="1"/>
  <c r="E23" i="6"/>
  <c r="C24" i="6" l="1"/>
  <c r="D24" i="6" s="1"/>
  <c r="E24" i="6"/>
  <c r="M29" i="2"/>
  <c r="O29" i="2"/>
  <c r="P29" i="2" s="1"/>
  <c r="L29" i="2" s="1"/>
  <c r="M30" i="2" l="1"/>
  <c r="O30" i="2"/>
  <c r="P30" i="2" s="1"/>
  <c r="L30" i="2" s="1"/>
  <c r="C25" i="6"/>
  <c r="D25" i="6" s="1"/>
  <c r="E25" i="6"/>
  <c r="C26" i="6" l="1"/>
  <c r="D26" i="6" s="1"/>
  <c r="E26" i="6"/>
  <c r="M31" i="2"/>
  <c r="O31" i="2"/>
  <c r="P31" i="2" s="1"/>
  <c r="L31" i="2" s="1"/>
  <c r="M32" i="2" l="1"/>
  <c r="O32" i="2"/>
  <c r="P32" i="2" s="1"/>
  <c r="L32" i="2" s="1"/>
  <c r="C27" i="6"/>
  <c r="D27" i="6" s="1"/>
  <c r="E27" i="6"/>
  <c r="C28" i="6" l="1"/>
  <c r="D28" i="6" s="1"/>
  <c r="E28" i="6"/>
  <c r="M33" i="2"/>
  <c r="O33" i="2"/>
  <c r="P33" i="2" s="1"/>
  <c r="L33" i="2" s="1"/>
  <c r="M34" i="2" l="1"/>
  <c r="O34" i="2"/>
  <c r="P34" i="2" s="1"/>
  <c r="L34" i="2" s="1"/>
  <c r="C29" i="6"/>
  <c r="D29" i="6" s="1"/>
  <c r="E29" i="6"/>
  <c r="M35" i="2" l="1"/>
  <c r="O35" i="2"/>
  <c r="P35" i="2" s="1"/>
  <c r="L35" i="2" s="1"/>
  <c r="C30" i="6"/>
  <c r="D30" i="6" s="1"/>
  <c r="E30" i="6"/>
  <c r="M36" i="2" l="1"/>
  <c r="O36" i="2"/>
  <c r="P36" i="2" s="1"/>
  <c r="L36" i="2" s="1"/>
  <c r="C31" i="6"/>
  <c r="D31" i="6" s="1"/>
  <c r="E31" i="6"/>
  <c r="M37" i="2" l="1"/>
  <c r="O37" i="2"/>
  <c r="P37" i="2" s="1"/>
  <c r="L37" i="2" s="1"/>
  <c r="C32" i="6"/>
  <c r="D32" i="6" s="1"/>
  <c r="E32" i="6"/>
  <c r="M38" i="2" l="1"/>
  <c r="O38" i="2"/>
  <c r="P38" i="2" s="1"/>
  <c r="L38" i="2" s="1"/>
  <c r="C33" i="6"/>
  <c r="D33" i="6" s="1"/>
  <c r="E33" i="6"/>
  <c r="C34" i="6" l="1"/>
  <c r="D34" i="6" s="1"/>
  <c r="E34" i="6"/>
  <c r="M39" i="2"/>
  <c r="O39" i="2"/>
  <c r="P39" i="2" s="1"/>
  <c r="L39" i="2" s="1"/>
  <c r="M40" i="2" l="1"/>
  <c r="Q41" i="2" s="1"/>
  <c r="O40" i="2"/>
  <c r="P40" i="2" s="1"/>
  <c r="L40" i="2" s="1"/>
  <c r="C35" i="6"/>
  <c r="D35" i="6" s="1"/>
  <c r="E35" i="6"/>
  <c r="C36" i="6" l="1"/>
  <c r="D36" i="6" s="1"/>
  <c r="E36" i="6"/>
  <c r="F36" i="6" s="1"/>
  <c r="O41" i="2"/>
  <c r="P41" i="2" s="1"/>
  <c r="M41" i="2"/>
  <c r="Q42" i="2" s="1"/>
  <c r="M42" i="2" l="1"/>
  <c r="Q43" i="2" s="1"/>
  <c r="O42" i="2"/>
  <c r="P42" i="2" s="1"/>
  <c r="C37" i="6"/>
  <c r="D37" i="6" s="1"/>
  <c r="E37" i="6"/>
  <c r="F37" i="6" s="1"/>
  <c r="C38" i="6" l="1"/>
  <c r="D38" i="6" s="1"/>
  <c r="E38" i="6"/>
  <c r="F38" i="6" s="1"/>
  <c r="M43" i="2"/>
  <c r="Q44" i="2" s="1"/>
  <c r="O43" i="2"/>
  <c r="P43" i="2" s="1"/>
  <c r="C39" i="6" l="1"/>
  <c r="D39" i="6" s="1"/>
  <c r="E39" i="6"/>
  <c r="F39" i="6" s="1"/>
  <c r="M44" i="2"/>
  <c r="Q45" i="2" s="1"/>
  <c r="O44" i="2"/>
  <c r="P44" i="2" s="1"/>
  <c r="M45" i="2" l="1"/>
  <c r="Q46" i="2" s="1"/>
  <c r="O45" i="2"/>
  <c r="P45" i="2" s="1"/>
  <c r="C40" i="6"/>
  <c r="D40" i="6" s="1"/>
  <c r="E40" i="6"/>
  <c r="F40" i="6" s="1"/>
  <c r="M46" i="2" l="1"/>
  <c r="Q47" i="2" s="1"/>
  <c r="O46" i="2"/>
  <c r="P46" i="2" s="1"/>
  <c r="C41" i="6"/>
  <c r="D41" i="6" s="1"/>
  <c r="E41" i="6"/>
  <c r="F41" i="6" s="1"/>
  <c r="C42" i="6" l="1"/>
  <c r="D42" i="6" s="1"/>
  <c r="E42" i="6"/>
  <c r="F42" i="6" s="1"/>
  <c r="M47" i="2"/>
  <c r="Q48" i="2" s="1"/>
  <c r="O47" i="2"/>
  <c r="P47" i="2" s="1"/>
  <c r="M48" i="2" l="1"/>
  <c r="Q49" i="2" s="1"/>
  <c r="O48" i="2"/>
  <c r="P48" i="2" s="1"/>
  <c r="C43" i="6"/>
  <c r="D43" i="6" s="1"/>
  <c r="E43" i="6"/>
  <c r="F43" i="6" s="1"/>
  <c r="C44" i="6" l="1"/>
  <c r="D44" i="6" s="1"/>
  <c r="E44" i="6"/>
  <c r="F44" i="6" s="1"/>
  <c r="M49" i="2"/>
  <c r="Q50" i="2" s="1"/>
  <c r="O49" i="2"/>
  <c r="P49" i="2" s="1"/>
  <c r="M50" i="2" l="1"/>
  <c r="Q51" i="2" s="1"/>
  <c r="O50" i="2"/>
  <c r="P50" i="2" s="1"/>
  <c r="C45" i="6"/>
  <c r="D45" i="6" s="1"/>
  <c r="E45" i="6"/>
  <c r="F45" i="6" s="1"/>
  <c r="C46" i="6" l="1"/>
  <c r="D46" i="6" s="1"/>
  <c r="E46" i="6"/>
  <c r="F46" i="6" s="1"/>
  <c r="M51" i="2"/>
  <c r="Q52" i="2" s="1"/>
  <c r="O51" i="2"/>
  <c r="P51" i="2" s="1"/>
  <c r="M52" i="2" l="1"/>
  <c r="Q53" i="2" s="1"/>
  <c r="O52" i="2"/>
  <c r="P52" i="2" s="1"/>
  <c r="C47" i="6"/>
  <c r="D47" i="6" s="1"/>
  <c r="E47" i="6"/>
  <c r="F47" i="6" s="1"/>
  <c r="C48" i="6" l="1"/>
  <c r="D48" i="6" s="1"/>
  <c r="E48" i="6"/>
  <c r="F48" i="6" s="1"/>
  <c r="M53" i="2"/>
  <c r="Q54" i="2" s="1"/>
  <c r="O53" i="2"/>
  <c r="P53" i="2" s="1"/>
  <c r="M54" i="2" l="1"/>
  <c r="Q55" i="2" s="1"/>
  <c r="O54" i="2"/>
  <c r="P54" i="2" s="1"/>
  <c r="C49" i="6"/>
  <c r="D49" i="6" s="1"/>
  <c r="E49" i="6"/>
  <c r="F49" i="6" s="1"/>
  <c r="C50" i="6" l="1"/>
  <c r="D50" i="6" s="1"/>
  <c r="E50" i="6"/>
  <c r="F50" i="6" s="1"/>
  <c r="M55" i="2"/>
  <c r="Q56" i="2" s="1"/>
  <c r="O55" i="2"/>
  <c r="P55" i="2" s="1"/>
  <c r="M56" i="2" l="1"/>
  <c r="Q57" i="2" s="1"/>
  <c r="O56" i="2"/>
  <c r="P56" i="2" s="1"/>
  <c r="C51" i="6"/>
  <c r="D51" i="6" s="1"/>
  <c r="E51" i="6"/>
  <c r="F51" i="6" s="1"/>
  <c r="C52" i="6" l="1"/>
  <c r="D52" i="6" s="1"/>
  <c r="E52" i="6"/>
  <c r="F52" i="6" s="1"/>
  <c r="M57" i="2"/>
  <c r="Q58" i="2" s="1"/>
  <c r="O57" i="2"/>
  <c r="P57" i="2" s="1"/>
  <c r="M58" i="2" l="1"/>
  <c r="Q59" i="2" s="1"/>
  <c r="O58" i="2"/>
  <c r="P58" i="2" s="1"/>
  <c r="C53" i="6"/>
  <c r="D53" i="6" s="1"/>
  <c r="E53" i="6"/>
  <c r="F53" i="6" s="1"/>
  <c r="C54" i="6" l="1"/>
  <c r="D54" i="6" s="1"/>
  <c r="E54" i="6"/>
  <c r="F54" i="6" s="1"/>
  <c r="M59" i="2"/>
  <c r="Q60" i="2" s="1"/>
  <c r="O59" i="2"/>
  <c r="P59" i="2" s="1"/>
  <c r="M60" i="2" l="1"/>
  <c r="Q61" i="2" s="1"/>
  <c r="O60" i="2"/>
  <c r="P60" i="2" s="1"/>
  <c r="C55" i="6"/>
  <c r="D55" i="6" s="1"/>
  <c r="E55" i="6"/>
  <c r="F55" i="6" s="1"/>
  <c r="C56" i="6" l="1"/>
  <c r="D56" i="6" s="1"/>
  <c r="E56" i="6"/>
  <c r="F56" i="6" s="1"/>
  <c r="M61" i="2"/>
  <c r="Q62" i="2" s="1"/>
  <c r="O61" i="2"/>
  <c r="P61" i="2" s="1"/>
  <c r="M62" i="2" l="1"/>
  <c r="Q63" i="2" s="1"/>
  <c r="O62" i="2"/>
  <c r="P62" i="2" s="1"/>
  <c r="C57" i="6"/>
  <c r="D57" i="6" s="1"/>
  <c r="E57" i="6"/>
  <c r="F57" i="6" s="1"/>
  <c r="C58" i="6" l="1"/>
  <c r="D58" i="6" s="1"/>
  <c r="E58" i="6"/>
  <c r="F58" i="6" s="1"/>
  <c r="M63" i="2"/>
  <c r="Q64" i="2" s="1"/>
  <c r="O63" i="2"/>
  <c r="P63" i="2" s="1"/>
  <c r="M64" i="2" l="1"/>
  <c r="Q65" i="2" s="1"/>
  <c r="O64" i="2"/>
  <c r="P64" i="2" s="1"/>
  <c r="C59" i="6"/>
  <c r="D59" i="6" s="1"/>
  <c r="E59" i="6"/>
  <c r="F59" i="6" s="1"/>
  <c r="C60" i="6" l="1"/>
  <c r="D60" i="6" s="1"/>
  <c r="E60" i="6"/>
  <c r="F60" i="6" s="1"/>
  <c r="M65" i="2"/>
  <c r="Q66" i="2" s="1"/>
  <c r="O65" i="2"/>
  <c r="P65" i="2" s="1"/>
  <c r="M66" i="2" l="1"/>
  <c r="Q67" i="2" s="1"/>
  <c r="O66" i="2"/>
  <c r="P66" i="2" s="1"/>
  <c r="C61" i="6"/>
  <c r="D61" i="6" s="1"/>
  <c r="E61" i="6"/>
  <c r="F61" i="6" s="1"/>
  <c r="C62" i="6" l="1"/>
  <c r="D62" i="6" s="1"/>
  <c r="E62" i="6"/>
  <c r="F62" i="6" s="1"/>
  <c r="M67" i="2"/>
  <c r="Q68" i="2" s="1"/>
  <c r="O67" i="2"/>
  <c r="P67" i="2" s="1"/>
  <c r="M68" i="2" l="1"/>
  <c r="Q69" i="2" s="1"/>
  <c r="O68" i="2"/>
  <c r="P68" i="2" s="1"/>
  <c r="C63" i="6"/>
  <c r="D63" i="6" s="1"/>
  <c r="E63" i="6"/>
  <c r="F63" i="6" s="1"/>
  <c r="C64" i="6" l="1"/>
  <c r="D64" i="6" s="1"/>
  <c r="E64" i="6"/>
  <c r="F64" i="6" s="1"/>
  <c r="M69" i="2"/>
  <c r="Q70" i="2" s="1"/>
  <c r="O69" i="2"/>
  <c r="P69" i="2" s="1"/>
  <c r="M70" i="2" l="1"/>
  <c r="Q71" i="2" s="1"/>
  <c r="O70" i="2"/>
  <c r="P70" i="2" s="1"/>
  <c r="C65" i="6"/>
  <c r="D65" i="6" s="1"/>
  <c r="E65" i="6"/>
  <c r="F65" i="6" s="1"/>
  <c r="C66" i="6" l="1"/>
  <c r="D66" i="6" s="1"/>
  <c r="E66" i="6"/>
  <c r="F66" i="6" s="1"/>
  <c r="M71" i="2"/>
  <c r="Q72" i="2" s="1"/>
  <c r="O71" i="2"/>
  <c r="P71" i="2" s="1"/>
  <c r="M72" i="2" l="1"/>
  <c r="Q73" i="2" s="1"/>
  <c r="O72" i="2"/>
  <c r="P72" i="2" s="1"/>
  <c r="C67" i="6"/>
  <c r="D67" i="6" s="1"/>
  <c r="E67" i="6"/>
  <c r="F67" i="6" s="1"/>
  <c r="C68" i="6" l="1"/>
  <c r="D68" i="6" s="1"/>
  <c r="E68" i="6"/>
  <c r="F68" i="6" s="1"/>
  <c r="M73" i="2"/>
  <c r="Q74" i="2" s="1"/>
  <c r="O73" i="2"/>
  <c r="P73" i="2" s="1"/>
  <c r="M74" i="2" l="1"/>
  <c r="Q75" i="2" s="1"/>
  <c r="O74" i="2"/>
  <c r="P74" i="2" s="1"/>
  <c r="C69" i="6"/>
  <c r="D69" i="6" s="1"/>
  <c r="E69" i="6"/>
  <c r="F69" i="6" s="1"/>
  <c r="C70" i="6" l="1"/>
  <c r="D70" i="6" s="1"/>
  <c r="E70" i="6"/>
  <c r="F70" i="6" s="1"/>
  <c r="M75" i="2"/>
  <c r="Q76" i="2" s="1"/>
  <c r="O75" i="2"/>
  <c r="P75" i="2" s="1"/>
  <c r="M76" i="2" l="1"/>
  <c r="Q77" i="2" s="1"/>
  <c r="O76" i="2"/>
  <c r="P76" i="2" s="1"/>
  <c r="C71" i="6"/>
  <c r="D71" i="6" s="1"/>
  <c r="E71" i="6"/>
  <c r="F71" i="6" s="1"/>
  <c r="C72" i="6" l="1"/>
  <c r="D72" i="6" s="1"/>
  <c r="E72" i="6"/>
  <c r="F72" i="6" s="1"/>
  <c r="M77" i="2"/>
  <c r="Q78" i="2" s="1"/>
  <c r="O77" i="2"/>
  <c r="P77" i="2" s="1"/>
  <c r="M78" i="2" l="1"/>
  <c r="Q79" i="2" s="1"/>
  <c r="O78" i="2"/>
  <c r="P78" i="2" s="1"/>
  <c r="C73" i="6"/>
  <c r="D73" i="6" s="1"/>
  <c r="E73" i="6"/>
  <c r="F73" i="6" s="1"/>
  <c r="C74" i="6" l="1"/>
  <c r="D74" i="6" s="1"/>
  <c r="E74" i="6"/>
  <c r="F74" i="6" s="1"/>
  <c r="M79" i="2"/>
  <c r="Q80" i="2" s="1"/>
  <c r="O79" i="2"/>
  <c r="P79" i="2" s="1"/>
  <c r="C75" i="6" l="1"/>
  <c r="D75" i="6" s="1"/>
  <c r="E75" i="6"/>
  <c r="F75" i="6" s="1"/>
  <c r="M80" i="2"/>
  <c r="Q81" i="2" s="1"/>
  <c r="O80" i="2"/>
  <c r="P80" i="2" s="1"/>
  <c r="M81" i="2" l="1"/>
  <c r="Q82" i="2" s="1"/>
  <c r="O81" i="2"/>
  <c r="P81" i="2" s="1"/>
  <c r="C76" i="6"/>
  <c r="D76" i="6" s="1"/>
  <c r="E76" i="6"/>
  <c r="F76" i="6" s="1"/>
  <c r="C77" i="6" l="1"/>
  <c r="D77" i="6" s="1"/>
  <c r="E77" i="6"/>
  <c r="F77" i="6" s="1"/>
  <c r="M82" i="2"/>
  <c r="Q83" i="2" s="1"/>
  <c r="O82" i="2"/>
  <c r="P82" i="2" s="1"/>
  <c r="M83" i="2" l="1"/>
  <c r="Q84" i="2" s="1"/>
  <c r="O83" i="2"/>
  <c r="P83" i="2" s="1"/>
  <c r="C78" i="6"/>
  <c r="D78" i="6" s="1"/>
  <c r="E78" i="6"/>
  <c r="F78" i="6" s="1"/>
  <c r="C79" i="6" l="1"/>
  <c r="D79" i="6" s="1"/>
  <c r="E79" i="6"/>
  <c r="F79" i="6" s="1"/>
  <c r="M84" i="2"/>
  <c r="Q85" i="2" s="1"/>
  <c r="O84" i="2"/>
  <c r="P84" i="2" s="1"/>
  <c r="M85" i="2" l="1"/>
  <c r="Q86" i="2" s="1"/>
  <c r="O85" i="2"/>
  <c r="P85" i="2" s="1"/>
  <c r="C80" i="6"/>
  <c r="D80" i="6" s="1"/>
  <c r="E80" i="6"/>
  <c r="F80" i="6" s="1"/>
  <c r="C81" i="6" l="1"/>
  <c r="D81" i="6" s="1"/>
  <c r="E81" i="6"/>
  <c r="F81" i="6" s="1"/>
  <c r="M86" i="2"/>
  <c r="Q87" i="2" s="1"/>
  <c r="O86" i="2"/>
  <c r="P86" i="2" s="1"/>
  <c r="M87" i="2" l="1"/>
  <c r="Q88" i="2" s="1"/>
  <c r="O87" i="2"/>
  <c r="P87" i="2" s="1"/>
  <c r="C82" i="6"/>
  <c r="D82" i="6" s="1"/>
  <c r="E82" i="6"/>
  <c r="F82" i="6" s="1"/>
  <c r="C83" i="6" l="1"/>
  <c r="D83" i="6" s="1"/>
  <c r="E83" i="6"/>
  <c r="F83" i="6" s="1"/>
  <c r="M88" i="2"/>
  <c r="Q89" i="2" s="1"/>
  <c r="O88" i="2"/>
  <c r="P88" i="2" s="1"/>
  <c r="M89" i="2" l="1"/>
  <c r="Q90" i="2" s="1"/>
  <c r="O89" i="2"/>
  <c r="P89" i="2" s="1"/>
  <c r="C84" i="6"/>
  <c r="D84" i="6" s="1"/>
  <c r="E84" i="6"/>
  <c r="F84" i="6" s="1"/>
  <c r="C85" i="6" l="1"/>
  <c r="D85" i="6" s="1"/>
  <c r="E85" i="6"/>
  <c r="F85" i="6" s="1"/>
  <c r="M90" i="2"/>
  <c r="Q91" i="2" s="1"/>
  <c r="O90" i="2"/>
  <c r="P90" i="2" s="1"/>
  <c r="M91" i="2" l="1"/>
  <c r="Q92" i="2" s="1"/>
  <c r="O91" i="2"/>
  <c r="P91" i="2" s="1"/>
  <c r="C86" i="6"/>
  <c r="D86" i="6" s="1"/>
  <c r="E86" i="6"/>
  <c r="F86" i="6" s="1"/>
  <c r="C87" i="6" l="1"/>
  <c r="D87" i="6" s="1"/>
  <c r="E87" i="6"/>
  <c r="F87" i="6" s="1"/>
  <c r="M92" i="2"/>
  <c r="Q93" i="2" s="1"/>
  <c r="O92" i="2"/>
  <c r="P92" i="2" s="1"/>
  <c r="M93" i="2" l="1"/>
  <c r="Q94" i="2" s="1"/>
  <c r="O93" i="2"/>
  <c r="P93" i="2" s="1"/>
  <c r="C88" i="6"/>
  <c r="D88" i="6" s="1"/>
  <c r="E88" i="6"/>
  <c r="F88" i="6" s="1"/>
  <c r="C89" i="6" l="1"/>
  <c r="D89" i="6" s="1"/>
  <c r="E89" i="6"/>
  <c r="F89" i="6" s="1"/>
  <c r="M94" i="2"/>
  <c r="Q95" i="2" s="1"/>
  <c r="O94" i="2"/>
  <c r="P94" i="2" s="1"/>
  <c r="M95" i="2" l="1"/>
  <c r="Q96" i="2" s="1"/>
  <c r="O95" i="2"/>
  <c r="P95" i="2" s="1"/>
  <c r="C90" i="6"/>
  <c r="D90" i="6" s="1"/>
  <c r="E90" i="6"/>
  <c r="F90" i="6" s="1"/>
  <c r="C91" i="6" l="1"/>
  <c r="D91" i="6" s="1"/>
  <c r="E91" i="6"/>
  <c r="F91" i="6" s="1"/>
  <c r="M96" i="2"/>
  <c r="Q97" i="2" s="1"/>
  <c r="O96" i="2"/>
  <c r="P96" i="2" s="1"/>
  <c r="C92" i="6" l="1"/>
  <c r="D92" i="6" s="1"/>
  <c r="E92" i="6"/>
  <c r="F92" i="6" s="1"/>
  <c r="M97" i="2"/>
  <c r="Q98" i="2" s="1"/>
  <c r="O97" i="2"/>
  <c r="P97" i="2" s="1"/>
  <c r="M98" i="2" l="1"/>
  <c r="Q99" i="2" s="1"/>
  <c r="O98" i="2"/>
  <c r="P98" i="2" s="1"/>
  <c r="C93" i="6"/>
  <c r="D93" i="6" s="1"/>
  <c r="E93" i="6"/>
  <c r="F93" i="6" s="1"/>
  <c r="C94" i="6" l="1"/>
  <c r="D94" i="6" s="1"/>
  <c r="E94" i="6"/>
  <c r="F94" i="6" s="1"/>
  <c r="M99" i="2"/>
  <c r="Q100" i="2" s="1"/>
  <c r="O99" i="2"/>
  <c r="P99" i="2" s="1"/>
  <c r="M100" i="2" l="1"/>
  <c r="Q101" i="2" s="1"/>
  <c r="O100" i="2"/>
  <c r="P100" i="2" s="1"/>
  <c r="C95" i="6"/>
  <c r="D95" i="6" s="1"/>
  <c r="E95" i="6"/>
  <c r="F95" i="6" s="1"/>
  <c r="C96" i="6" l="1"/>
  <c r="D96" i="6" s="1"/>
  <c r="E96" i="6"/>
  <c r="F96" i="6" s="1"/>
  <c r="M101" i="2"/>
  <c r="Q102" i="2" s="1"/>
  <c r="O101" i="2"/>
  <c r="P101" i="2" s="1"/>
  <c r="M102" i="2" l="1"/>
  <c r="Q103" i="2" s="1"/>
  <c r="O102" i="2"/>
  <c r="P102" i="2" s="1"/>
  <c r="C97" i="6"/>
  <c r="D97" i="6" s="1"/>
  <c r="E97" i="6"/>
  <c r="F97" i="6" s="1"/>
  <c r="C98" i="6" l="1"/>
  <c r="D98" i="6" s="1"/>
  <c r="E98" i="6"/>
  <c r="F98" i="6" s="1"/>
  <c r="M103" i="2"/>
  <c r="Q104" i="2" s="1"/>
  <c r="O103" i="2"/>
  <c r="P103" i="2" s="1"/>
  <c r="M104" i="2" l="1"/>
  <c r="Q105" i="2" s="1"/>
  <c r="O104" i="2"/>
  <c r="P104" i="2" s="1"/>
  <c r="C99" i="6"/>
  <c r="D99" i="6" s="1"/>
  <c r="E99" i="6"/>
  <c r="F99" i="6" s="1"/>
  <c r="C100" i="6" l="1"/>
  <c r="D100" i="6" s="1"/>
  <c r="E100" i="6"/>
  <c r="F100" i="6" s="1"/>
  <c r="M105" i="2"/>
  <c r="Q106" i="2" s="1"/>
  <c r="O105" i="2"/>
  <c r="P105" i="2" s="1"/>
  <c r="M106" i="2" l="1"/>
  <c r="Q107" i="2" s="1"/>
  <c r="O106" i="2"/>
  <c r="P106" i="2" s="1"/>
  <c r="C101" i="6"/>
  <c r="D101" i="6" s="1"/>
  <c r="E101" i="6"/>
  <c r="F101" i="6" s="1"/>
  <c r="C102" i="6" l="1"/>
  <c r="D102" i="6" s="1"/>
  <c r="E102" i="6"/>
  <c r="F102" i="6" s="1"/>
  <c r="M107" i="2"/>
  <c r="Q108" i="2" s="1"/>
  <c r="O107" i="2"/>
  <c r="P107" i="2" s="1"/>
  <c r="M108" i="2" l="1"/>
  <c r="Q109" i="2" s="1"/>
  <c r="O108" i="2"/>
  <c r="P108" i="2" s="1"/>
  <c r="C103" i="6"/>
  <c r="D103" i="6" s="1"/>
  <c r="E103" i="6"/>
  <c r="F103" i="6" s="1"/>
  <c r="C104" i="6" l="1"/>
  <c r="D104" i="6" s="1"/>
  <c r="E104" i="6"/>
  <c r="F104" i="6" s="1"/>
  <c r="M109" i="2"/>
  <c r="Q110" i="2" s="1"/>
  <c r="O109" i="2"/>
  <c r="P109" i="2" s="1"/>
  <c r="C105" i="6" l="1"/>
  <c r="D105" i="6" s="1"/>
  <c r="E105" i="6"/>
  <c r="F105" i="6" s="1"/>
  <c r="M110" i="2"/>
  <c r="Q111" i="2" s="1"/>
  <c r="O110" i="2"/>
  <c r="P110" i="2" s="1"/>
  <c r="M111" i="2" l="1"/>
  <c r="Q112" i="2" s="1"/>
  <c r="O111" i="2"/>
  <c r="P111" i="2" s="1"/>
  <c r="C106" i="6"/>
  <c r="D106" i="6" s="1"/>
  <c r="E106" i="6"/>
  <c r="F106" i="6" s="1"/>
  <c r="C107" i="6" l="1"/>
  <c r="D107" i="6" s="1"/>
  <c r="E107" i="6"/>
  <c r="F107" i="6" s="1"/>
  <c r="M112" i="2"/>
  <c r="Q113" i="2" s="1"/>
  <c r="O112" i="2"/>
  <c r="P112" i="2" s="1"/>
  <c r="M113" i="2" l="1"/>
  <c r="Q114" i="2" s="1"/>
  <c r="O113" i="2"/>
  <c r="P113" i="2" s="1"/>
  <c r="C108" i="6"/>
  <c r="D108" i="6" s="1"/>
  <c r="E108" i="6"/>
  <c r="F108" i="6" s="1"/>
  <c r="C109" i="6" l="1"/>
  <c r="D109" i="6" s="1"/>
  <c r="E109" i="6"/>
  <c r="F109" i="6" s="1"/>
  <c r="M114" i="2"/>
  <c r="Q115" i="2" s="1"/>
  <c r="O114" i="2"/>
  <c r="P114" i="2" s="1"/>
  <c r="C110" i="6" l="1"/>
  <c r="D110" i="6" s="1"/>
  <c r="E110" i="6"/>
  <c r="F110" i="6" s="1"/>
  <c r="M115" i="2"/>
  <c r="Q116" i="2" s="1"/>
  <c r="O115" i="2"/>
  <c r="P115" i="2" s="1"/>
  <c r="M116" i="2" l="1"/>
  <c r="Q117" i="2" s="1"/>
  <c r="O116" i="2"/>
  <c r="P116" i="2" s="1"/>
  <c r="C111" i="6"/>
  <c r="D111" i="6" s="1"/>
  <c r="E111" i="6"/>
  <c r="F111" i="6" s="1"/>
  <c r="C112" i="6" l="1"/>
  <c r="D112" i="6" s="1"/>
  <c r="E112" i="6"/>
  <c r="F112" i="6" s="1"/>
  <c r="M117" i="2"/>
  <c r="Q118" i="2" s="1"/>
  <c r="O117" i="2"/>
  <c r="P117" i="2" s="1"/>
  <c r="M118" i="2" l="1"/>
  <c r="Q119" i="2" s="1"/>
  <c r="O118" i="2"/>
  <c r="P118" i="2" s="1"/>
  <c r="C113" i="6"/>
  <c r="D113" i="6" s="1"/>
  <c r="E113" i="6"/>
  <c r="F113" i="6" s="1"/>
  <c r="C114" i="6" l="1"/>
  <c r="D114" i="6" s="1"/>
  <c r="E114" i="6"/>
  <c r="F114" i="6" s="1"/>
  <c r="M119" i="2"/>
  <c r="Q120" i="2" s="1"/>
  <c r="O119" i="2"/>
  <c r="P119" i="2" s="1"/>
  <c r="M120" i="2" l="1"/>
  <c r="Q121" i="2" s="1"/>
  <c r="O120" i="2"/>
  <c r="P120" i="2" s="1"/>
  <c r="C115" i="6"/>
  <c r="D115" i="6" s="1"/>
  <c r="E115" i="6"/>
  <c r="F115" i="6" s="1"/>
  <c r="C116" i="6" l="1"/>
  <c r="D116" i="6" s="1"/>
  <c r="E116" i="6"/>
  <c r="F116" i="6" s="1"/>
  <c r="M121" i="2"/>
  <c r="Q122" i="2" s="1"/>
  <c r="O121" i="2"/>
  <c r="P121" i="2" s="1"/>
  <c r="M122" i="2" l="1"/>
  <c r="Q123" i="2" s="1"/>
  <c r="O122" i="2"/>
  <c r="P122" i="2" s="1"/>
  <c r="C117" i="6"/>
  <c r="D117" i="6" s="1"/>
  <c r="E117" i="6"/>
  <c r="F117" i="6" s="1"/>
  <c r="C118" i="6" l="1"/>
  <c r="D118" i="6" s="1"/>
  <c r="E118" i="6"/>
  <c r="F118" i="6" s="1"/>
  <c r="M123" i="2"/>
  <c r="Q124" i="2" s="1"/>
  <c r="O123" i="2"/>
  <c r="P123" i="2" s="1"/>
  <c r="M124" i="2" l="1"/>
  <c r="Q125" i="2" s="1"/>
  <c r="O124" i="2"/>
  <c r="P124" i="2" s="1"/>
  <c r="C119" i="6"/>
  <c r="D119" i="6" s="1"/>
  <c r="E119" i="6"/>
  <c r="F119" i="6" s="1"/>
  <c r="C120" i="6" l="1"/>
  <c r="D120" i="6" s="1"/>
  <c r="E120" i="6"/>
  <c r="F120" i="6" s="1"/>
  <c r="M125" i="2"/>
  <c r="Q126" i="2" s="1"/>
  <c r="O125" i="2"/>
  <c r="P125" i="2" s="1"/>
  <c r="M126" i="2" l="1"/>
  <c r="Q127" i="2" s="1"/>
  <c r="O126" i="2"/>
  <c r="P126" i="2" s="1"/>
  <c r="C121" i="6"/>
  <c r="D121" i="6" s="1"/>
  <c r="E121" i="6"/>
  <c r="F121" i="6" s="1"/>
  <c r="C122" i="6" l="1"/>
  <c r="D122" i="6" s="1"/>
  <c r="E122" i="6"/>
  <c r="F122" i="6" s="1"/>
  <c r="M127" i="2"/>
  <c r="Q128" i="2" s="1"/>
  <c r="O127" i="2"/>
  <c r="P127" i="2" s="1"/>
  <c r="M128" i="2" l="1"/>
  <c r="Q129" i="2" s="1"/>
  <c r="O128" i="2"/>
  <c r="P128" i="2" s="1"/>
  <c r="C123" i="6"/>
  <c r="D123" i="6" s="1"/>
  <c r="E123" i="6"/>
  <c r="F123" i="6" s="1"/>
  <c r="C124" i="6" l="1"/>
  <c r="D124" i="6" s="1"/>
  <c r="E124" i="6"/>
  <c r="F124" i="6" s="1"/>
  <c r="M129" i="2"/>
  <c r="Q130" i="2" s="1"/>
  <c r="O129" i="2"/>
  <c r="P129" i="2" s="1"/>
  <c r="M130" i="2" l="1"/>
  <c r="Q131" i="2" s="1"/>
  <c r="O130" i="2"/>
  <c r="P130" i="2" s="1"/>
  <c r="C125" i="6"/>
  <c r="D125" i="6" s="1"/>
  <c r="E125" i="6"/>
  <c r="F125" i="6" s="1"/>
  <c r="C126" i="6" l="1"/>
  <c r="D126" i="6" s="1"/>
  <c r="E126" i="6"/>
  <c r="F126" i="6" s="1"/>
  <c r="M131" i="2"/>
  <c r="Q132" i="2" s="1"/>
  <c r="O131" i="2"/>
  <c r="P131" i="2" s="1"/>
  <c r="M132" i="2" l="1"/>
  <c r="Q133" i="2" s="1"/>
  <c r="O132" i="2"/>
  <c r="P132" i="2" s="1"/>
  <c r="C127" i="6"/>
  <c r="D127" i="6" s="1"/>
  <c r="E127" i="6"/>
  <c r="F127" i="6" s="1"/>
  <c r="C128" i="6" l="1"/>
  <c r="D128" i="6" s="1"/>
  <c r="E128" i="6"/>
  <c r="F128" i="6" s="1"/>
  <c r="M133" i="2"/>
  <c r="Q134" i="2" s="1"/>
  <c r="O133" i="2"/>
  <c r="P133" i="2" s="1"/>
  <c r="M134" i="2" l="1"/>
  <c r="Q135" i="2" s="1"/>
  <c r="O134" i="2"/>
  <c r="P134" i="2" s="1"/>
  <c r="C129" i="6"/>
  <c r="D129" i="6" s="1"/>
  <c r="E129" i="6"/>
  <c r="F129" i="6" s="1"/>
  <c r="C130" i="6" l="1"/>
  <c r="D130" i="6" s="1"/>
  <c r="E130" i="6"/>
  <c r="F130" i="6" s="1"/>
  <c r="M135" i="2"/>
  <c r="Q136" i="2" s="1"/>
  <c r="O135" i="2"/>
  <c r="P135" i="2" s="1"/>
  <c r="M136" i="2" l="1"/>
  <c r="Q137" i="2" s="1"/>
  <c r="O136" i="2"/>
  <c r="P136" i="2" s="1"/>
  <c r="C131" i="6"/>
  <c r="D131" i="6" s="1"/>
  <c r="E131" i="6"/>
  <c r="F131" i="6" s="1"/>
  <c r="C132" i="6" l="1"/>
  <c r="D132" i="6" s="1"/>
  <c r="E132" i="6"/>
  <c r="F132" i="6" s="1"/>
  <c r="M137" i="2"/>
  <c r="Q138" i="2" s="1"/>
  <c r="O137" i="2"/>
  <c r="P137" i="2" s="1"/>
  <c r="C133" i="6" l="1"/>
  <c r="D133" i="6" s="1"/>
  <c r="E133" i="6"/>
  <c r="F133" i="6" s="1"/>
  <c r="M138" i="2"/>
  <c r="Q139" i="2" s="1"/>
  <c r="O138" i="2"/>
  <c r="P138" i="2" s="1"/>
  <c r="M139" i="2" l="1"/>
  <c r="Q140" i="2" s="1"/>
  <c r="O139" i="2"/>
  <c r="P139" i="2" s="1"/>
  <c r="C134" i="6"/>
  <c r="D134" i="6" s="1"/>
  <c r="E134" i="6"/>
  <c r="F134" i="6" s="1"/>
  <c r="C135" i="6" l="1"/>
  <c r="D135" i="6" s="1"/>
  <c r="E135" i="6"/>
  <c r="F135" i="6" s="1"/>
  <c r="M140" i="2"/>
  <c r="Q141" i="2" s="1"/>
  <c r="O140" i="2"/>
  <c r="P140" i="2" s="1"/>
  <c r="M141" i="2" l="1"/>
  <c r="Q142" i="2" s="1"/>
  <c r="O141" i="2"/>
  <c r="P141" i="2" s="1"/>
  <c r="C136" i="6"/>
  <c r="D136" i="6" s="1"/>
  <c r="E136" i="6"/>
  <c r="F136" i="6" s="1"/>
  <c r="C137" i="6" l="1"/>
  <c r="D137" i="6" s="1"/>
  <c r="E137" i="6"/>
  <c r="F137" i="6" s="1"/>
  <c r="M142" i="2"/>
  <c r="Q143" i="2" s="1"/>
  <c r="O142" i="2"/>
  <c r="P142" i="2" s="1"/>
  <c r="C138" i="6" l="1"/>
  <c r="D138" i="6" s="1"/>
  <c r="E138" i="6"/>
  <c r="F138" i="6" s="1"/>
  <c r="M143" i="2"/>
  <c r="Q144" i="2" s="1"/>
  <c r="O143" i="2"/>
  <c r="P143" i="2" s="1"/>
  <c r="M144" i="2" l="1"/>
  <c r="Q145" i="2" s="1"/>
  <c r="O144" i="2"/>
  <c r="P144" i="2" s="1"/>
  <c r="C139" i="6"/>
  <c r="D139" i="6" s="1"/>
  <c r="E139" i="6"/>
  <c r="F139" i="6" s="1"/>
  <c r="C140" i="6" l="1"/>
  <c r="D140" i="6" s="1"/>
  <c r="E140" i="6"/>
  <c r="F140" i="6" s="1"/>
  <c r="M145" i="2"/>
  <c r="Q146" i="2" s="1"/>
  <c r="O145" i="2"/>
  <c r="P145" i="2" s="1"/>
  <c r="C141" i="6" l="1"/>
  <c r="D141" i="6" s="1"/>
  <c r="E141" i="6"/>
  <c r="F141" i="6" s="1"/>
  <c r="M146" i="2"/>
  <c r="Q147" i="2" s="1"/>
  <c r="O146" i="2"/>
  <c r="P146" i="2" s="1"/>
  <c r="M147" i="2" l="1"/>
  <c r="Q148" i="2" s="1"/>
  <c r="O147" i="2"/>
  <c r="P147" i="2" s="1"/>
  <c r="C142" i="6"/>
  <c r="D142" i="6" s="1"/>
  <c r="E142" i="6"/>
  <c r="F142" i="6" s="1"/>
  <c r="C143" i="6" l="1"/>
  <c r="D143" i="6" s="1"/>
  <c r="E143" i="6"/>
  <c r="F143" i="6" s="1"/>
  <c r="M148" i="2"/>
  <c r="Q149" i="2" s="1"/>
  <c r="O148" i="2"/>
  <c r="P148" i="2" s="1"/>
  <c r="M149" i="2" l="1"/>
  <c r="Q150" i="2" s="1"/>
  <c r="O149" i="2"/>
  <c r="P149" i="2" s="1"/>
  <c r="C144" i="6"/>
  <c r="D144" i="6" s="1"/>
  <c r="E144" i="6"/>
  <c r="F144" i="6" s="1"/>
  <c r="C145" i="6" l="1"/>
  <c r="D145" i="6" s="1"/>
  <c r="E145" i="6"/>
  <c r="F145" i="6" s="1"/>
  <c r="M150" i="2"/>
  <c r="Q151" i="2" s="1"/>
  <c r="O150" i="2"/>
  <c r="P150" i="2" s="1"/>
  <c r="M151" i="2" l="1"/>
  <c r="Q152" i="2" s="1"/>
  <c r="O151" i="2"/>
  <c r="P151" i="2" s="1"/>
  <c r="C146" i="6"/>
  <c r="D146" i="6" s="1"/>
  <c r="E146" i="6"/>
  <c r="F146" i="6" s="1"/>
  <c r="C147" i="6" l="1"/>
  <c r="D147" i="6" s="1"/>
  <c r="E147" i="6"/>
  <c r="F147" i="6" s="1"/>
  <c r="M152" i="2"/>
  <c r="Q153" i="2" s="1"/>
  <c r="O152" i="2"/>
  <c r="P152" i="2" s="1"/>
  <c r="C148" i="6" l="1"/>
  <c r="D148" i="6" s="1"/>
  <c r="E148" i="6"/>
  <c r="F148" i="6" s="1"/>
  <c r="M153" i="2"/>
  <c r="Q154" i="2" s="1"/>
  <c r="O153" i="2"/>
  <c r="P153" i="2" s="1"/>
  <c r="M154" i="2" l="1"/>
  <c r="Q155" i="2" s="1"/>
  <c r="O154" i="2"/>
  <c r="P154" i="2" s="1"/>
  <c r="C149" i="6"/>
  <c r="D149" i="6" s="1"/>
  <c r="E149" i="6"/>
  <c r="F149" i="6" s="1"/>
  <c r="C150" i="6" l="1"/>
  <c r="D150" i="6" s="1"/>
  <c r="E150" i="6"/>
  <c r="F150" i="6" s="1"/>
  <c r="M155" i="2"/>
  <c r="Q156" i="2" s="1"/>
  <c r="O155" i="2"/>
  <c r="P155" i="2" s="1"/>
  <c r="M156" i="2" l="1"/>
  <c r="Q157" i="2" s="1"/>
  <c r="O156" i="2"/>
  <c r="P156" i="2" s="1"/>
  <c r="C151" i="6"/>
  <c r="D151" i="6" s="1"/>
  <c r="E151" i="6"/>
  <c r="F151" i="6" s="1"/>
  <c r="C152" i="6" l="1"/>
  <c r="D152" i="6" s="1"/>
  <c r="E152" i="6"/>
  <c r="F152" i="6" s="1"/>
  <c r="M157" i="2"/>
  <c r="Q158" i="2" s="1"/>
  <c r="O157" i="2"/>
  <c r="P157" i="2" s="1"/>
  <c r="M158" i="2" l="1"/>
  <c r="Q159" i="2" s="1"/>
  <c r="O158" i="2"/>
  <c r="P158" i="2" s="1"/>
  <c r="C153" i="6"/>
  <c r="D153" i="6" s="1"/>
  <c r="E153" i="6"/>
  <c r="F153" i="6" s="1"/>
  <c r="C154" i="6" l="1"/>
  <c r="D154" i="6" s="1"/>
  <c r="E154" i="6"/>
  <c r="F154" i="6" s="1"/>
  <c r="M159" i="2"/>
  <c r="Q160" i="2" s="1"/>
  <c r="O159" i="2"/>
  <c r="P159" i="2" s="1"/>
  <c r="M160" i="2" l="1"/>
  <c r="Q161" i="2" s="1"/>
  <c r="O160" i="2"/>
  <c r="P160" i="2" s="1"/>
  <c r="C155" i="6"/>
  <c r="D155" i="6" s="1"/>
  <c r="E155" i="6"/>
  <c r="F155" i="6" s="1"/>
  <c r="C156" i="6" l="1"/>
  <c r="D156" i="6" s="1"/>
  <c r="E156" i="6"/>
  <c r="F156" i="6" s="1"/>
  <c r="M161" i="2"/>
  <c r="Q162" i="2" s="1"/>
  <c r="O161" i="2"/>
  <c r="P161" i="2" s="1"/>
  <c r="M162" i="2" l="1"/>
  <c r="Q163" i="2" s="1"/>
  <c r="O162" i="2"/>
  <c r="P162" i="2" s="1"/>
  <c r="C157" i="6"/>
  <c r="D157" i="6" s="1"/>
  <c r="E157" i="6"/>
  <c r="F157" i="6" s="1"/>
  <c r="C158" i="6" l="1"/>
  <c r="D158" i="6" s="1"/>
  <c r="E158" i="6"/>
  <c r="F158" i="6" s="1"/>
  <c r="M163" i="2"/>
  <c r="Q164" i="2" s="1"/>
  <c r="O163" i="2"/>
  <c r="P163" i="2" s="1"/>
  <c r="M164" i="2" l="1"/>
  <c r="Q165" i="2" s="1"/>
  <c r="O164" i="2"/>
  <c r="P164" i="2" s="1"/>
  <c r="C159" i="6"/>
  <c r="D159" i="6" s="1"/>
  <c r="E159" i="6"/>
  <c r="F159" i="6" s="1"/>
  <c r="C160" i="6" l="1"/>
  <c r="D160" i="6" s="1"/>
  <c r="E160" i="6"/>
  <c r="F160" i="6" s="1"/>
  <c r="M165" i="2"/>
  <c r="Q166" i="2" s="1"/>
  <c r="O165" i="2"/>
  <c r="P165" i="2" s="1"/>
  <c r="M166" i="2" l="1"/>
  <c r="Q167" i="2" s="1"/>
  <c r="O166" i="2"/>
  <c r="P166" i="2" s="1"/>
  <c r="C161" i="6"/>
  <c r="D161" i="6" s="1"/>
  <c r="E161" i="6"/>
  <c r="F161" i="6" s="1"/>
  <c r="C162" i="6" l="1"/>
  <c r="D162" i="6" s="1"/>
  <c r="E162" i="6"/>
  <c r="F162" i="6" s="1"/>
  <c r="M167" i="2"/>
  <c r="Q168" i="2" s="1"/>
  <c r="O167" i="2"/>
  <c r="P167" i="2" s="1"/>
  <c r="M168" i="2" l="1"/>
  <c r="Q169" i="2" s="1"/>
  <c r="O168" i="2"/>
  <c r="P168" i="2" s="1"/>
  <c r="C163" i="6"/>
  <c r="D163" i="6" s="1"/>
  <c r="E163" i="6"/>
  <c r="F163" i="6" s="1"/>
  <c r="C164" i="6" l="1"/>
  <c r="D164" i="6" s="1"/>
  <c r="E164" i="6"/>
  <c r="F164" i="6" s="1"/>
  <c r="M169" i="2"/>
  <c r="Q170" i="2" s="1"/>
  <c r="O169" i="2"/>
  <c r="P169" i="2" s="1"/>
  <c r="M170" i="2" l="1"/>
  <c r="Q171" i="2" s="1"/>
  <c r="O170" i="2"/>
  <c r="P170" i="2" s="1"/>
  <c r="C165" i="6"/>
  <c r="D165" i="6" s="1"/>
  <c r="E165" i="6"/>
  <c r="F165" i="6" s="1"/>
  <c r="C166" i="6" l="1"/>
  <c r="D166" i="6" s="1"/>
  <c r="E166" i="6"/>
  <c r="F166" i="6" s="1"/>
  <c r="M171" i="2"/>
  <c r="Q172" i="2" s="1"/>
  <c r="O171" i="2"/>
  <c r="P171" i="2" s="1"/>
  <c r="M172" i="2" l="1"/>
  <c r="Q173" i="2" s="1"/>
  <c r="O172" i="2"/>
  <c r="P172" i="2" s="1"/>
  <c r="C167" i="6"/>
  <c r="D167" i="6" s="1"/>
  <c r="E167" i="6"/>
  <c r="F167" i="6" s="1"/>
  <c r="C168" i="6" l="1"/>
  <c r="D168" i="6" s="1"/>
  <c r="E168" i="6"/>
  <c r="F168" i="6" s="1"/>
  <c r="M173" i="2"/>
  <c r="Q174" i="2" s="1"/>
  <c r="O173" i="2"/>
  <c r="P173" i="2" s="1"/>
  <c r="C169" i="6" l="1"/>
  <c r="D169" i="6" s="1"/>
  <c r="E169" i="6"/>
  <c r="F169" i="6" s="1"/>
  <c r="M174" i="2"/>
  <c r="Q175" i="2" s="1"/>
  <c r="O174" i="2"/>
  <c r="P174" i="2" s="1"/>
  <c r="M175" i="2" l="1"/>
  <c r="Q176" i="2" s="1"/>
  <c r="O175" i="2"/>
  <c r="P175" i="2" s="1"/>
  <c r="C170" i="6"/>
  <c r="D170" i="6" s="1"/>
  <c r="E170" i="6"/>
  <c r="F170" i="6" s="1"/>
  <c r="C171" i="6" l="1"/>
  <c r="D171" i="6" s="1"/>
  <c r="E171" i="6"/>
  <c r="F171" i="6" s="1"/>
  <c r="M176" i="2"/>
  <c r="Q177" i="2" s="1"/>
  <c r="O176" i="2"/>
  <c r="P176" i="2" s="1"/>
  <c r="M177" i="2" l="1"/>
  <c r="Q178" i="2" s="1"/>
  <c r="O177" i="2"/>
  <c r="P177" i="2" s="1"/>
  <c r="C172" i="6"/>
  <c r="D172" i="6" s="1"/>
  <c r="E172" i="6"/>
  <c r="F172" i="6" s="1"/>
  <c r="C173" i="6" l="1"/>
  <c r="D173" i="6" s="1"/>
  <c r="E173" i="6"/>
  <c r="F173" i="6" s="1"/>
  <c r="M178" i="2"/>
  <c r="Q179" i="2" s="1"/>
  <c r="O178" i="2"/>
  <c r="P178" i="2" s="1"/>
  <c r="C174" i="6" l="1"/>
  <c r="D174" i="6" s="1"/>
  <c r="E174" i="6"/>
  <c r="F174" i="6" s="1"/>
  <c r="M179" i="2"/>
  <c r="Q180" i="2" s="1"/>
  <c r="O179" i="2"/>
  <c r="P179" i="2" s="1"/>
  <c r="M180" i="2" l="1"/>
  <c r="Q181" i="2" s="1"/>
  <c r="O180" i="2"/>
  <c r="P180" i="2" s="1"/>
  <c r="C175" i="6"/>
  <c r="D175" i="6" s="1"/>
  <c r="E175" i="6"/>
  <c r="F175" i="6" s="1"/>
  <c r="C176" i="6" l="1"/>
  <c r="D176" i="6" s="1"/>
  <c r="E176" i="6"/>
  <c r="F176" i="6" s="1"/>
  <c r="M181" i="2"/>
  <c r="Q182" i="2" s="1"/>
  <c r="O181" i="2"/>
  <c r="P181" i="2" s="1"/>
  <c r="M182" i="2" l="1"/>
  <c r="Q183" i="2" s="1"/>
  <c r="O182" i="2"/>
  <c r="P182" i="2" s="1"/>
  <c r="C177" i="6"/>
  <c r="D177" i="6" s="1"/>
  <c r="E177" i="6"/>
  <c r="F177" i="6" s="1"/>
  <c r="C178" i="6" l="1"/>
  <c r="D178" i="6" s="1"/>
  <c r="E178" i="6"/>
  <c r="F178" i="6" s="1"/>
  <c r="M183" i="2"/>
  <c r="Q184" i="2" s="1"/>
  <c r="O183" i="2"/>
  <c r="P183" i="2" s="1"/>
  <c r="M184" i="2" l="1"/>
  <c r="Q185" i="2" s="1"/>
  <c r="O184" i="2"/>
  <c r="P184" i="2" s="1"/>
  <c r="C179" i="6"/>
  <c r="D179" i="6" s="1"/>
  <c r="E179" i="6"/>
  <c r="F179" i="6" s="1"/>
  <c r="C180" i="6" l="1"/>
  <c r="D180" i="6" s="1"/>
  <c r="E180" i="6"/>
  <c r="F180" i="6" s="1"/>
  <c r="M185" i="2"/>
  <c r="Q186" i="2" s="1"/>
  <c r="O185" i="2"/>
  <c r="P185" i="2" s="1"/>
  <c r="M186" i="2" l="1"/>
  <c r="Q187" i="2" s="1"/>
  <c r="O186" i="2"/>
  <c r="P186" i="2" s="1"/>
  <c r="C181" i="6"/>
  <c r="D181" i="6" s="1"/>
  <c r="E181" i="6"/>
  <c r="F181" i="6" s="1"/>
  <c r="C182" i="6" l="1"/>
  <c r="D182" i="6" s="1"/>
  <c r="E182" i="6"/>
  <c r="F182" i="6" s="1"/>
  <c r="M187" i="2"/>
  <c r="Q188" i="2" s="1"/>
  <c r="O187" i="2"/>
  <c r="P187" i="2" s="1"/>
  <c r="M188" i="2" l="1"/>
  <c r="Q189" i="2" s="1"/>
  <c r="O188" i="2"/>
  <c r="P188" i="2" s="1"/>
  <c r="C183" i="6"/>
  <c r="D183" i="6" s="1"/>
  <c r="E183" i="6"/>
  <c r="F183" i="6" s="1"/>
  <c r="C184" i="6" l="1"/>
  <c r="D184" i="6" s="1"/>
  <c r="E184" i="6"/>
  <c r="F184" i="6" s="1"/>
  <c r="M189" i="2"/>
  <c r="Q190" i="2" s="1"/>
  <c r="O189" i="2"/>
  <c r="P189" i="2" s="1"/>
  <c r="M190" i="2" l="1"/>
  <c r="Q191" i="2" s="1"/>
  <c r="O190" i="2"/>
  <c r="P190" i="2" s="1"/>
  <c r="C185" i="6"/>
  <c r="D185" i="6" s="1"/>
  <c r="E185" i="6"/>
  <c r="F185" i="6" s="1"/>
  <c r="C186" i="6" l="1"/>
  <c r="D186" i="6" s="1"/>
  <c r="E186" i="6"/>
  <c r="F186" i="6" s="1"/>
  <c r="M191" i="2"/>
  <c r="Q192" i="2" s="1"/>
  <c r="O191" i="2"/>
  <c r="P191" i="2" s="1"/>
  <c r="C187" i="6" l="1"/>
  <c r="D187" i="6" s="1"/>
  <c r="E187" i="6"/>
  <c r="F187" i="6" s="1"/>
  <c r="M192" i="2"/>
  <c r="Q193" i="2" s="1"/>
  <c r="O192" i="2"/>
  <c r="P192" i="2" s="1"/>
  <c r="M193" i="2" l="1"/>
  <c r="Q194" i="2" s="1"/>
  <c r="O193" i="2"/>
  <c r="P193" i="2" s="1"/>
  <c r="C188" i="6"/>
  <c r="D188" i="6" s="1"/>
  <c r="E188" i="6"/>
  <c r="F188" i="6" s="1"/>
  <c r="C189" i="6" l="1"/>
  <c r="D189" i="6" s="1"/>
  <c r="E189" i="6"/>
  <c r="F189" i="6" s="1"/>
  <c r="M194" i="2"/>
  <c r="Q195" i="2" s="1"/>
  <c r="O194" i="2"/>
  <c r="P194" i="2" s="1"/>
  <c r="M195" i="2" l="1"/>
  <c r="Q196" i="2" s="1"/>
  <c r="O195" i="2"/>
  <c r="P195" i="2" s="1"/>
  <c r="C190" i="6"/>
  <c r="D190" i="6" s="1"/>
  <c r="E190" i="6"/>
  <c r="F190" i="6" s="1"/>
  <c r="C191" i="6" l="1"/>
  <c r="D191" i="6" s="1"/>
  <c r="E191" i="6"/>
  <c r="F191" i="6" s="1"/>
  <c r="M196" i="2"/>
  <c r="Q197" i="2" s="1"/>
  <c r="O196" i="2"/>
  <c r="P196" i="2" s="1"/>
  <c r="C192" i="6" l="1"/>
  <c r="D192" i="6" s="1"/>
  <c r="E192" i="6"/>
  <c r="F192" i="6" s="1"/>
  <c r="M197" i="2"/>
  <c r="Q198" i="2" s="1"/>
  <c r="O197" i="2"/>
  <c r="P197" i="2" s="1"/>
  <c r="M198" i="2" l="1"/>
  <c r="Q199" i="2" s="1"/>
  <c r="O198" i="2"/>
  <c r="P198" i="2" s="1"/>
  <c r="C193" i="6"/>
  <c r="D193" i="6" s="1"/>
  <c r="E193" i="6"/>
  <c r="F193" i="6" s="1"/>
  <c r="C194" i="6" l="1"/>
  <c r="D194" i="6" s="1"/>
  <c r="E194" i="6"/>
  <c r="F194" i="6" s="1"/>
  <c r="M199" i="2"/>
  <c r="Q200" i="2" s="1"/>
  <c r="O199" i="2"/>
  <c r="P199" i="2" s="1"/>
  <c r="M200" i="2" l="1"/>
  <c r="Q201" i="2" s="1"/>
  <c r="O200" i="2"/>
  <c r="P200" i="2" s="1"/>
  <c r="C195" i="6"/>
  <c r="D195" i="6" s="1"/>
  <c r="E195" i="6"/>
  <c r="F195" i="6" s="1"/>
  <c r="C196" i="6" l="1"/>
  <c r="D196" i="6" s="1"/>
  <c r="E196" i="6"/>
  <c r="F196" i="6" s="1"/>
  <c r="M201" i="2"/>
  <c r="Q202" i="2" s="1"/>
  <c r="O201" i="2"/>
  <c r="P201" i="2" s="1"/>
  <c r="M202" i="2" l="1"/>
  <c r="Q203" i="2" s="1"/>
  <c r="O202" i="2"/>
  <c r="P202" i="2" s="1"/>
  <c r="C197" i="6"/>
  <c r="D197" i="6" s="1"/>
  <c r="E197" i="6"/>
  <c r="F197" i="6" s="1"/>
  <c r="C198" i="6" l="1"/>
  <c r="D198" i="6" s="1"/>
  <c r="E198" i="6"/>
  <c r="F198" i="6" s="1"/>
  <c r="M203" i="2"/>
  <c r="Q204" i="2" s="1"/>
  <c r="O203" i="2"/>
  <c r="P203" i="2" s="1"/>
  <c r="M204" i="2" l="1"/>
  <c r="Q205" i="2" s="1"/>
  <c r="O204" i="2"/>
  <c r="P204" i="2" s="1"/>
  <c r="C199" i="6"/>
  <c r="D199" i="6" s="1"/>
  <c r="E199" i="6"/>
  <c r="F199" i="6" s="1"/>
  <c r="C200" i="6" l="1"/>
  <c r="D200" i="6" s="1"/>
  <c r="E200" i="6"/>
  <c r="F200" i="6" s="1"/>
  <c r="M205" i="2"/>
  <c r="Q206" i="2" s="1"/>
  <c r="O205" i="2"/>
  <c r="P205" i="2" s="1"/>
  <c r="M206" i="2" l="1"/>
  <c r="Q207" i="2" s="1"/>
  <c r="O206" i="2"/>
  <c r="P206" i="2" s="1"/>
  <c r="C201" i="6"/>
  <c r="D201" i="6" s="1"/>
  <c r="E201" i="6"/>
  <c r="F201" i="6" s="1"/>
  <c r="C202" i="6" l="1"/>
  <c r="D202" i="6" s="1"/>
  <c r="E202" i="6"/>
  <c r="F202" i="6" s="1"/>
  <c r="M207" i="2"/>
  <c r="Q208" i="2" s="1"/>
  <c r="O207" i="2"/>
  <c r="P207" i="2" s="1"/>
  <c r="C203" i="6" l="1"/>
  <c r="D203" i="6" s="1"/>
  <c r="E203" i="6"/>
  <c r="F203" i="6" s="1"/>
  <c r="M208" i="2"/>
  <c r="Q209" i="2" s="1"/>
  <c r="O208" i="2"/>
  <c r="P208" i="2" s="1"/>
  <c r="M209" i="2" l="1"/>
  <c r="Q210" i="2" s="1"/>
  <c r="O209" i="2"/>
  <c r="P209" i="2" s="1"/>
  <c r="C204" i="6"/>
  <c r="D204" i="6" s="1"/>
  <c r="E204" i="6"/>
  <c r="F204" i="6" s="1"/>
  <c r="C205" i="6" l="1"/>
  <c r="D205" i="6" s="1"/>
  <c r="E205" i="6"/>
  <c r="F205" i="6" s="1"/>
  <c r="M210" i="2"/>
  <c r="Q211" i="2" s="1"/>
  <c r="O210" i="2"/>
  <c r="P210" i="2" s="1"/>
  <c r="M211" i="2" l="1"/>
  <c r="Q212" i="2" s="1"/>
  <c r="O211" i="2"/>
  <c r="P211" i="2" s="1"/>
  <c r="C206" i="6"/>
  <c r="D206" i="6" s="1"/>
  <c r="E206" i="6"/>
  <c r="F206" i="6" s="1"/>
  <c r="C207" i="6" l="1"/>
  <c r="D207" i="6" s="1"/>
  <c r="E207" i="6"/>
  <c r="F207" i="6" s="1"/>
  <c r="M212" i="2"/>
  <c r="Q213" i="2" s="1"/>
  <c r="O212" i="2"/>
  <c r="P212" i="2" s="1"/>
  <c r="C208" i="6" l="1"/>
  <c r="D208" i="6" s="1"/>
  <c r="E208" i="6"/>
  <c r="F208" i="6" s="1"/>
  <c r="M213" i="2"/>
  <c r="Q214" i="2" s="1"/>
  <c r="O213" i="2"/>
  <c r="P213" i="2" s="1"/>
  <c r="M214" i="2" l="1"/>
  <c r="Q215" i="2" s="1"/>
  <c r="O214" i="2"/>
  <c r="P214" i="2" s="1"/>
  <c r="C209" i="6"/>
  <c r="D209" i="6" s="1"/>
  <c r="E209" i="6"/>
  <c r="F209" i="6" s="1"/>
  <c r="C210" i="6" l="1"/>
  <c r="D210" i="6" s="1"/>
  <c r="E210" i="6"/>
  <c r="F210" i="6" s="1"/>
  <c r="M215" i="2"/>
  <c r="Q216" i="2" s="1"/>
  <c r="O215" i="2"/>
  <c r="P215" i="2" s="1"/>
  <c r="M216" i="2" l="1"/>
  <c r="Q217" i="2" s="1"/>
  <c r="O216" i="2"/>
  <c r="P216" i="2" s="1"/>
  <c r="C211" i="6"/>
  <c r="D211" i="6" s="1"/>
  <c r="E211" i="6"/>
  <c r="F211" i="6" s="1"/>
  <c r="C212" i="6" l="1"/>
  <c r="D212" i="6" s="1"/>
  <c r="E212" i="6"/>
  <c r="F212" i="6" s="1"/>
  <c r="M217" i="2"/>
  <c r="Q218" i="2" s="1"/>
  <c r="O217" i="2"/>
  <c r="P217" i="2" s="1"/>
  <c r="C213" i="6" l="1"/>
  <c r="D213" i="6" s="1"/>
  <c r="E213" i="6"/>
  <c r="F213" i="6" s="1"/>
  <c r="M218" i="2"/>
  <c r="Q219" i="2" s="1"/>
  <c r="O218" i="2"/>
  <c r="P218" i="2" s="1"/>
  <c r="M219" i="2" l="1"/>
  <c r="Q220" i="2" s="1"/>
  <c r="O219" i="2"/>
  <c r="P219" i="2" s="1"/>
  <c r="C214" i="6"/>
  <c r="D214" i="6" s="1"/>
  <c r="E214" i="6"/>
  <c r="F214" i="6" s="1"/>
  <c r="M220" i="2" l="1"/>
  <c r="Q221" i="2" s="1"/>
  <c r="O220" i="2"/>
  <c r="P220" i="2" s="1"/>
  <c r="C215" i="6"/>
  <c r="D215" i="6" s="1"/>
  <c r="E215" i="6"/>
  <c r="F215" i="6" s="1"/>
  <c r="C216" i="6" l="1"/>
  <c r="D216" i="6" s="1"/>
  <c r="E216" i="6"/>
  <c r="F216" i="6" s="1"/>
  <c r="M221" i="2"/>
  <c r="Q222" i="2" s="1"/>
  <c r="O221" i="2"/>
  <c r="P221" i="2" s="1"/>
  <c r="C217" i="6" l="1"/>
  <c r="D217" i="6" s="1"/>
  <c r="E217" i="6"/>
  <c r="F217" i="6" s="1"/>
  <c r="M222" i="2"/>
  <c r="Q223" i="2" s="1"/>
  <c r="O222" i="2"/>
  <c r="P222" i="2" s="1"/>
  <c r="C218" i="6" l="1"/>
  <c r="D218" i="6" s="1"/>
  <c r="E218" i="6"/>
  <c r="F218" i="6" s="1"/>
  <c r="M223" i="2"/>
  <c r="Q224" i="2" s="1"/>
  <c r="O223" i="2"/>
  <c r="P223" i="2" s="1"/>
  <c r="M224" i="2" l="1"/>
  <c r="Q225" i="2" s="1"/>
  <c r="O224" i="2"/>
  <c r="P224" i="2" s="1"/>
  <c r="C219" i="6"/>
  <c r="D219" i="6" s="1"/>
  <c r="E219" i="6"/>
  <c r="F219" i="6" s="1"/>
  <c r="C220" i="6" l="1"/>
  <c r="D220" i="6" s="1"/>
  <c r="E220" i="6"/>
  <c r="F220" i="6" s="1"/>
  <c r="M225" i="2"/>
  <c r="Q226" i="2" s="1"/>
  <c r="O225" i="2"/>
  <c r="P225" i="2" s="1"/>
  <c r="C221" i="6" l="1"/>
  <c r="D221" i="6" s="1"/>
  <c r="E221" i="6"/>
  <c r="F221" i="6" s="1"/>
  <c r="M226" i="2"/>
  <c r="Q227" i="2" s="1"/>
  <c r="O226" i="2"/>
  <c r="P226" i="2" s="1"/>
  <c r="M227" i="2" l="1"/>
  <c r="Q228" i="2" s="1"/>
  <c r="O227" i="2"/>
  <c r="P227" i="2" s="1"/>
  <c r="C222" i="6"/>
  <c r="D222" i="6" s="1"/>
  <c r="E222" i="6"/>
  <c r="F222" i="6" s="1"/>
  <c r="C223" i="6" l="1"/>
  <c r="D223" i="6" s="1"/>
  <c r="E223" i="6"/>
  <c r="F223" i="6" s="1"/>
  <c r="M228" i="2"/>
  <c r="Q229" i="2" s="1"/>
  <c r="O228" i="2"/>
  <c r="P228" i="2" s="1"/>
  <c r="M229" i="2" l="1"/>
  <c r="Q230" i="2" s="1"/>
  <c r="O229" i="2"/>
  <c r="P229" i="2" s="1"/>
  <c r="C224" i="6"/>
  <c r="D224" i="6" s="1"/>
  <c r="E224" i="6"/>
  <c r="F224" i="6" s="1"/>
  <c r="C225" i="6" l="1"/>
  <c r="D225" i="6" s="1"/>
  <c r="E225" i="6"/>
  <c r="F225" i="6" s="1"/>
  <c r="M230" i="2"/>
  <c r="Q231" i="2" s="1"/>
  <c r="O230" i="2"/>
  <c r="P230" i="2" s="1"/>
  <c r="M231" i="2" l="1"/>
  <c r="Q232" i="2" s="1"/>
  <c r="O231" i="2"/>
  <c r="P231" i="2" s="1"/>
  <c r="C226" i="6"/>
  <c r="D226" i="6" s="1"/>
  <c r="E226" i="6"/>
  <c r="F226" i="6" s="1"/>
  <c r="C227" i="6" l="1"/>
  <c r="D227" i="6" s="1"/>
  <c r="E227" i="6"/>
  <c r="F227" i="6" s="1"/>
  <c r="M232" i="2"/>
  <c r="Q233" i="2" s="1"/>
  <c r="O232" i="2"/>
  <c r="P232" i="2" s="1"/>
  <c r="C228" i="6" l="1"/>
  <c r="D228" i="6" s="1"/>
  <c r="E228" i="6"/>
  <c r="F228" i="6" s="1"/>
  <c r="M233" i="2"/>
  <c r="Q234" i="2" s="1"/>
  <c r="O233" i="2"/>
  <c r="P233" i="2" s="1"/>
  <c r="M234" i="2" l="1"/>
  <c r="Q235" i="2" s="1"/>
  <c r="O234" i="2"/>
  <c r="P234" i="2" s="1"/>
  <c r="C229" i="6"/>
  <c r="D229" i="6" s="1"/>
  <c r="E229" i="6"/>
  <c r="F229" i="6" s="1"/>
  <c r="C230" i="6" l="1"/>
  <c r="D230" i="6" s="1"/>
  <c r="E230" i="6"/>
  <c r="F230" i="6" s="1"/>
  <c r="M235" i="2"/>
  <c r="Q236" i="2" s="1"/>
  <c r="O235" i="2"/>
  <c r="P235" i="2" s="1"/>
  <c r="M236" i="2" l="1"/>
  <c r="Q237" i="2" s="1"/>
  <c r="O236" i="2"/>
  <c r="P236" i="2" s="1"/>
  <c r="C231" i="6"/>
  <c r="D231" i="6" s="1"/>
  <c r="E231" i="6"/>
  <c r="F231" i="6" s="1"/>
  <c r="C232" i="6" l="1"/>
  <c r="D232" i="6" s="1"/>
  <c r="E232" i="6"/>
  <c r="F232" i="6" s="1"/>
  <c r="M237" i="2"/>
  <c r="Q238" i="2" s="1"/>
  <c r="O237" i="2"/>
  <c r="P237" i="2" s="1"/>
  <c r="M238" i="2" l="1"/>
  <c r="Q239" i="2" s="1"/>
  <c r="O238" i="2"/>
  <c r="P238" i="2" s="1"/>
  <c r="C233" i="6"/>
  <c r="D233" i="6" s="1"/>
  <c r="E233" i="6"/>
  <c r="F233" i="6" s="1"/>
  <c r="C234" i="6" l="1"/>
  <c r="D234" i="6" s="1"/>
  <c r="E234" i="6"/>
  <c r="F234" i="6" s="1"/>
  <c r="M239" i="2"/>
  <c r="Q240" i="2" s="1"/>
  <c r="O239" i="2"/>
  <c r="P239" i="2" s="1"/>
  <c r="M240" i="2" l="1"/>
  <c r="Q241" i="2" s="1"/>
  <c r="O240" i="2"/>
  <c r="P240" i="2" s="1"/>
  <c r="C235" i="6"/>
  <c r="D235" i="6" s="1"/>
  <c r="E235" i="6"/>
  <c r="F235" i="6" s="1"/>
  <c r="C236" i="6" l="1"/>
  <c r="D236" i="6" s="1"/>
  <c r="E236" i="6"/>
  <c r="F236" i="6" s="1"/>
  <c r="M241" i="2"/>
  <c r="Q242" i="2" s="1"/>
  <c r="O241" i="2"/>
  <c r="P241" i="2" s="1"/>
  <c r="M242" i="2" l="1"/>
  <c r="Q243" i="2" s="1"/>
  <c r="O242" i="2"/>
  <c r="P242" i="2" s="1"/>
  <c r="C237" i="6"/>
  <c r="D237" i="6" s="1"/>
  <c r="E237" i="6"/>
  <c r="F237" i="6" s="1"/>
  <c r="C238" i="6" l="1"/>
  <c r="D238" i="6" s="1"/>
  <c r="E238" i="6"/>
  <c r="F238" i="6" s="1"/>
  <c r="M243" i="2"/>
  <c r="Q244" i="2" s="1"/>
  <c r="O243" i="2"/>
  <c r="P243" i="2" s="1"/>
  <c r="C239" i="6" l="1"/>
  <c r="D239" i="6" s="1"/>
  <c r="E239" i="6"/>
  <c r="F239" i="6" s="1"/>
  <c r="M244" i="2"/>
  <c r="Q245" i="2" s="1"/>
  <c r="O244" i="2"/>
  <c r="P244" i="2" s="1"/>
  <c r="M245" i="2" l="1"/>
  <c r="Q246" i="2" s="1"/>
  <c r="O245" i="2"/>
  <c r="P245" i="2" s="1"/>
  <c r="C240" i="6"/>
  <c r="D240" i="6" s="1"/>
  <c r="E240" i="6"/>
  <c r="F240" i="6" s="1"/>
  <c r="C241" i="6" l="1"/>
  <c r="D241" i="6" s="1"/>
  <c r="E241" i="6"/>
  <c r="F241" i="6" s="1"/>
  <c r="M246" i="2"/>
  <c r="Q247" i="2" s="1"/>
  <c r="O246" i="2"/>
  <c r="P246" i="2" s="1"/>
  <c r="M247" i="2" l="1"/>
  <c r="Q248" i="2" s="1"/>
  <c r="O247" i="2"/>
  <c r="P247" i="2" s="1"/>
  <c r="C242" i="6"/>
  <c r="D242" i="6" s="1"/>
  <c r="E242" i="6"/>
  <c r="F242" i="6" s="1"/>
  <c r="C243" i="6" l="1"/>
  <c r="D243" i="6" s="1"/>
  <c r="E243" i="6"/>
  <c r="F243" i="6" s="1"/>
  <c r="M248" i="2"/>
  <c r="Q249" i="2" s="1"/>
  <c r="O248" i="2"/>
  <c r="P248" i="2" s="1"/>
  <c r="M249" i="2" l="1"/>
  <c r="Q250" i="2" s="1"/>
  <c r="O249" i="2"/>
  <c r="P249" i="2" s="1"/>
  <c r="C244" i="6"/>
  <c r="D244" i="6" s="1"/>
  <c r="E244" i="6"/>
  <c r="F244" i="6" s="1"/>
  <c r="C245" i="6" l="1"/>
  <c r="D245" i="6" s="1"/>
  <c r="E245" i="6"/>
  <c r="F245" i="6" s="1"/>
  <c r="M250" i="2"/>
  <c r="Q251" i="2" s="1"/>
  <c r="O250" i="2"/>
  <c r="P250" i="2" s="1"/>
  <c r="M251" i="2" l="1"/>
  <c r="Q252" i="2" s="1"/>
  <c r="O251" i="2"/>
  <c r="P251" i="2" s="1"/>
  <c r="C246" i="6"/>
  <c r="D246" i="6" s="1"/>
  <c r="E246" i="6"/>
  <c r="F246" i="6" s="1"/>
  <c r="C247" i="6" l="1"/>
  <c r="D247" i="6" s="1"/>
  <c r="E247" i="6"/>
  <c r="F247" i="6" s="1"/>
  <c r="M252" i="2"/>
  <c r="Q253" i="2" s="1"/>
  <c r="O252" i="2"/>
  <c r="P252" i="2" s="1"/>
  <c r="M253" i="2" l="1"/>
  <c r="Q254" i="2" s="1"/>
  <c r="O253" i="2"/>
  <c r="P253" i="2" s="1"/>
  <c r="C248" i="6"/>
  <c r="D248" i="6" s="1"/>
  <c r="E248" i="6"/>
  <c r="F248" i="6" s="1"/>
  <c r="C249" i="6" l="1"/>
  <c r="D249" i="6" s="1"/>
  <c r="E249" i="6"/>
  <c r="F249" i="6" s="1"/>
  <c r="M254" i="2"/>
  <c r="Q255" i="2" s="1"/>
  <c r="O254" i="2"/>
  <c r="P254" i="2" s="1"/>
  <c r="M255" i="2" l="1"/>
  <c r="Q256" i="2" s="1"/>
  <c r="O255" i="2"/>
  <c r="P255" i="2" s="1"/>
  <c r="C250" i="6"/>
  <c r="D250" i="6" s="1"/>
  <c r="E250" i="6"/>
  <c r="F250" i="6" s="1"/>
  <c r="C251" i="6" l="1"/>
  <c r="D251" i="6" s="1"/>
  <c r="E251" i="6"/>
  <c r="F251" i="6" s="1"/>
  <c r="M256" i="2"/>
  <c r="Q257" i="2" s="1"/>
  <c r="O256" i="2"/>
  <c r="P256" i="2" s="1"/>
  <c r="C252" i="6" l="1"/>
  <c r="D252" i="6" s="1"/>
  <c r="E252" i="6"/>
  <c r="F252" i="6" s="1"/>
  <c r="M257" i="2"/>
  <c r="Q258" i="2" s="1"/>
  <c r="O257" i="2"/>
  <c r="P257" i="2" s="1"/>
  <c r="M258" i="2" l="1"/>
  <c r="Q259" i="2" s="1"/>
  <c r="O258" i="2"/>
  <c r="P258" i="2" s="1"/>
  <c r="C253" i="6"/>
  <c r="D253" i="6" s="1"/>
  <c r="E253" i="6"/>
  <c r="F253" i="6" s="1"/>
  <c r="C254" i="6" l="1"/>
  <c r="D254" i="6" s="1"/>
  <c r="E254" i="6"/>
  <c r="F254" i="6" s="1"/>
  <c r="M259" i="2"/>
  <c r="Q260" i="2" s="1"/>
  <c r="O259" i="2"/>
  <c r="P259" i="2" s="1"/>
  <c r="M260" i="2" l="1"/>
  <c r="Q261" i="2" s="1"/>
  <c r="O260" i="2"/>
  <c r="P260" i="2" s="1"/>
  <c r="C255" i="6"/>
  <c r="D255" i="6" s="1"/>
  <c r="E255" i="6"/>
  <c r="F255" i="6" s="1"/>
  <c r="C256" i="6" l="1"/>
  <c r="D256" i="6" s="1"/>
  <c r="E256" i="6"/>
  <c r="F256" i="6" s="1"/>
  <c r="M261" i="2"/>
  <c r="Q262" i="2" s="1"/>
  <c r="O261" i="2"/>
  <c r="P261" i="2" s="1"/>
  <c r="C257" i="6" l="1"/>
  <c r="D257" i="6" s="1"/>
  <c r="E257" i="6"/>
  <c r="F257" i="6" s="1"/>
  <c r="M262" i="2"/>
  <c r="Q263" i="2" s="1"/>
  <c r="O262" i="2"/>
  <c r="P262" i="2" s="1"/>
  <c r="M263" i="2" l="1"/>
  <c r="Q264" i="2" s="1"/>
  <c r="O263" i="2"/>
  <c r="P263" i="2" s="1"/>
  <c r="C258" i="6"/>
  <c r="D258" i="6" s="1"/>
  <c r="E258" i="6"/>
  <c r="F258" i="6" s="1"/>
  <c r="C259" i="6" l="1"/>
  <c r="D259" i="6" s="1"/>
  <c r="E259" i="6"/>
  <c r="F259" i="6" s="1"/>
  <c r="M264" i="2"/>
  <c r="Q265" i="2" s="1"/>
  <c r="O264" i="2"/>
  <c r="P264" i="2" s="1"/>
  <c r="M265" i="2" l="1"/>
  <c r="Q266" i="2" s="1"/>
  <c r="O265" i="2"/>
  <c r="P265" i="2" s="1"/>
  <c r="C260" i="6"/>
  <c r="D260" i="6" s="1"/>
  <c r="E260" i="6"/>
  <c r="F260" i="6" s="1"/>
  <c r="C261" i="6" l="1"/>
  <c r="D261" i="6" s="1"/>
  <c r="E261" i="6"/>
  <c r="F261" i="6" s="1"/>
  <c r="M266" i="2"/>
  <c r="Q267" i="2" s="1"/>
  <c r="O266" i="2"/>
  <c r="P266" i="2" s="1"/>
  <c r="M267" i="2" l="1"/>
  <c r="Q268" i="2" s="1"/>
  <c r="O267" i="2"/>
  <c r="P267" i="2" s="1"/>
  <c r="C262" i="6"/>
  <c r="D262" i="6" s="1"/>
  <c r="E262" i="6"/>
  <c r="F262" i="6" s="1"/>
  <c r="C263" i="6" l="1"/>
  <c r="D263" i="6" s="1"/>
  <c r="E263" i="6"/>
  <c r="F263" i="6" s="1"/>
  <c r="M268" i="2"/>
  <c r="Q269" i="2" s="1"/>
  <c r="O268" i="2"/>
  <c r="P268" i="2" s="1"/>
  <c r="M269" i="2" l="1"/>
  <c r="Q270" i="2" s="1"/>
  <c r="O269" i="2"/>
  <c r="P269" i="2" s="1"/>
  <c r="C264" i="6"/>
  <c r="D264" i="6" s="1"/>
  <c r="E264" i="6"/>
  <c r="F264" i="6" s="1"/>
  <c r="C265" i="6" l="1"/>
  <c r="D265" i="6" s="1"/>
  <c r="E265" i="6"/>
  <c r="F265" i="6" s="1"/>
  <c r="M270" i="2"/>
  <c r="Q271" i="2" s="1"/>
  <c r="O270" i="2"/>
  <c r="P270" i="2" s="1"/>
  <c r="C266" i="6" l="1"/>
  <c r="D266" i="6" s="1"/>
  <c r="E266" i="6"/>
  <c r="F266" i="6" s="1"/>
  <c r="M271" i="2"/>
  <c r="Q272" i="2" s="1"/>
  <c r="O271" i="2"/>
  <c r="P271" i="2" s="1"/>
  <c r="M272" i="2" l="1"/>
  <c r="Q273" i="2" s="1"/>
  <c r="O272" i="2"/>
  <c r="P272" i="2" s="1"/>
  <c r="C267" i="6"/>
  <c r="D267" i="6" s="1"/>
  <c r="E267" i="6"/>
  <c r="F267" i="6" s="1"/>
  <c r="C268" i="6" l="1"/>
  <c r="D268" i="6" s="1"/>
  <c r="E268" i="6"/>
  <c r="F268" i="6" s="1"/>
  <c r="M273" i="2"/>
  <c r="Q274" i="2" s="1"/>
  <c r="O273" i="2"/>
  <c r="P273" i="2" s="1"/>
  <c r="M274" i="2" l="1"/>
  <c r="Q275" i="2" s="1"/>
  <c r="O274" i="2"/>
  <c r="P274" i="2" s="1"/>
  <c r="C269" i="6"/>
  <c r="D269" i="6" s="1"/>
  <c r="E269" i="6"/>
  <c r="F269" i="6" s="1"/>
  <c r="C270" i="6" l="1"/>
  <c r="D270" i="6" s="1"/>
  <c r="E270" i="6"/>
  <c r="F270" i="6" s="1"/>
  <c r="M275" i="2"/>
  <c r="Q276" i="2" s="1"/>
  <c r="O275" i="2"/>
  <c r="P275" i="2" s="1"/>
  <c r="M276" i="2" l="1"/>
  <c r="Q277" i="2" s="1"/>
  <c r="O276" i="2"/>
  <c r="P276" i="2" s="1"/>
  <c r="C271" i="6"/>
  <c r="D271" i="6" s="1"/>
  <c r="E271" i="6"/>
  <c r="F271" i="6" s="1"/>
  <c r="C272" i="6" l="1"/>
  <c r="D272" i="6" s="1"/>
  <c r="E272" i="6"/>
  <c r="F272" i="6" s="1"/>
  <c r="M277" i="2"/>
  <c r="Q278" i="2" s="1"/>
  <c r="O277" i="2"/>
  <c r="P277" i="2" s="1"/>
  <c r="M278" i="2" l="1"/>
  <c r="Q279" i="2" s="1"/>
  <c r="O278" i="2"/>
  <c r="P278" i="2" s="1"/>
  <c r="C273" i="6"/>
  <c r="D273" i="6" s="1"/>
  <c r="E273" i="6"/>
  <c r="F273" i="6" s="1"/>
  <c r="C274" i="6" l="1"/>
  <c r="D274" i="6" s="1"/>
  <c r="E274" i="6"/>
  <c r="F274" i="6" s="1"/>
  <c r="M279" i="2"/>
  <c r="Q280" i="2" s="1"/>
  <c r="O279" i="2"/>
  <c r="P279" i="2" s="1"/>
  <c r="M280" i="2" l="1"/>
  <c r="Q281" i="2" s="1"/>
  <c r="O280" i="2"/>
  <c r="P280" i="2" s="1"/>
  <c r="C275" i="6"/>
  <c r="D275" i="6" s="1"/>
  <c r="E275" i="6"/>
  <c r="F275" i="6" s="1"/>
  <c r="C276" i="6" l="1"/>
  <c r="D276" i="6" s="1"/>
  <c r="E276" i="6"/>
  <c r="F276" i="6" s="1"/>
  <c r="M281" i="2"/>
  <c r="Q282" i="2" s="1"/>
  <c r="O281" i="2"/>
  <c r="P281" i="2" s="1"/>
  <c r="C277" i="6" l="1"/>
  <c r="D277" i="6" s="1"/>
  <c r="E277" i="6"/>
  <c r="F277" i="6" s="1"/>
  <c r="O282" i="2"/>
  <c r="P282" i="2" s="1"/>
  <c r="M282" i="2"/>
  <c r="Q283" i="2" s="1"/>
  <c r="C278" i="6" l="1"/>
  <c r="D278" i="6" s="1"/>
  <c r="E278" i="6"/>
  <c r="F278" i="6" s="1"/>
  <c r="M283" i="2"/>
  <c r="Q284" i="2" s="1"/>
  <c r="O283" i="2"/>
  <c r="P283" i="2" s="1"/>
  <c r="M284" i="2" l="1"/>
  <c r="Q285" i="2" s="1"/>
  <c r="O284" i="2"/>
  <c r="P284" i="2" s="1"/>
  <c r="C279" i="6"/>
  <c r="D279" i="6" s="1"/>
  <c r="E279" i="6"/>
  <c r="F279" i="6" s="1"/>
  <c r="M285" i="2" l="1"/>
  <c r="Q286" i="2" s="1"/>
  <c r="O285" i="2"/>
  <c r="P285" i="2" s="1"/>
  <c r="C280" i="6"/>
  <c r="D280" i="6" s="1"/>
  <c r="E280" i="6"/>
  <c r="F280" i="6" s="1"/>
  <c r="M286" i="2" l="1"/>
  <c r="Q287" i="2" s="1"/>
  <c r="O286" i="2"/>
  <c r="P286" i="2" s="1"/>
  <c r="C281" i="6"/>
  <c r="D281" i="6" s="1"/>
  <c r="E281" i="6"/>
  <c r="F281" i="6" s="1"/>
  <c r="M287" i="2" l="1"/>
  <c r="Q288" i="2" s="1"/>
  <c r="O287" i="2"/>
  <c r="P287" i="2" s="1"/>
  <c r="C282" i="6"/>
  <c r="D282" i="6" s="1"/>
  <c r="E282" i="6"/>
  <c r="F282" i="6" s="1"/>
  <c r="M288" i="2" l="1"/>
  <c r="Q289" i="2" s="1"/>
  <c r="O288" i="2"/>
  <c r="P288" i="2" s="1"/>
  <c r="C283" i="6"/>
  <c r="D283" i="6" s="1"/>
  <c r="E283" i="6"/>
  <c r="F283" i="6" s="1"/>
  <c r="M289" i="2" l="1"/>
  <c r="Q290" i="2" s="1"/>
  <c r="O289" i="2"/>
  <c r="P289" i="2" s="1"/>
  <c r="C284" i="6"/>
  <c r="D284" i="6" s="1"/>
  <c r="E284" i="6"/>
  <c r="F284" i="6" s="1"/>
  <c r="M290" i="2" l="1"/>
  <c r="Q291" i="2" s="1"/>
  <c r="O290" i="2"/>
  <c r="P290" i="2" s="1"/>
  <c r="C285" i="6"/>
  <c r="D285" i="6" s="1"/>
  <c r="E285" i="6"/>
  <c r="F285" i="6" s="1"/>
  <c r="M291" i="2" l="1"/>
  <c r="Q292" i="2" s="1"/>
  <c r="O291" i="2"/>
  <c r="P291" i="2" s="1"/>
  <c r="C286" i="6"/>
  <c r="D286" i="6" s="1"/>
  <c r="E286" i="6"/>
  <c r="F286" i="6" s="1"/>
  <c r="M292" i="2" l="1"/>
  <c r="Q293" i="2" s="1"/>
  <c r="O292" i="2"/>
  <c r="P292" i="2" s="1"/>
  <c r="C287" i="6"/>
  <c r="D287" i="6" s="1"/>
  <c r="E287" i="6"/>
  <c r="F287" i="6" s="1"/>
  <c r="M293" i="2" l="1"/>
  <c r="Q294" i="2" s="1"/>
  <c r="O293" i="2"/>
  <c r="P293" i="2" s="1"/>
  <c r="C288" i="6"/>
  <c r="D288" i="6" s="1"/>
  <c r="E288" i="6"/>
  <c r="F288" i="6" s="1"/>
  <c r="M294" i="2" l="1"/>
  <c r="Q295" i="2" s="1"/>
  <c r="O294" i="2"/>
  <c r="P294" i="2" s="1"/>
  <c r="C289" i="6"/>
  <c r="D289" i="6" s="1"/>
  <c r="E289" i="6"/>
  <c r="F289" i="6" s="1"/>
  <c r="M295" i="2" l="1"/>
  <c r="Q296" i="2" s="1"/>
  <c r="O295" i="2"/>
  <c r="P295" i="2" s="1"/>
  <c r="C290" i="6"/>
  <c r="D290" i="6" s="1"/>
  <c r="E290" i="6"/>
  <c r="F290" i="6" s="1"/>
  <c r="M296" i="2" l="1"/>
  <c r="Q297" i="2" s="1"/>
  <c r="O296" i="2"/>
  <c r="P296" i="2" s="1"/>
  <c r="C291" i="6"/>
  <c r="D291" i="6" s="1"/>
  <c r="E291" i="6"/>
  <c r="F291" i="6" s="1"/>
  <c r="M297" i="2" l="1"/>
  <c r="Q298" i="2" s="1"/>
  <c r="O297" i="2"/>
  <c r="P297" i="2" s="1"/>
  <c r="C292" i="6"/>
  <c r="D292" i="6" s="1"/>
  <c r="E292" i="6"/>
  <c r="F292" i="6" s="1"/>
  <c r="M298" i="2" l="1"/>
  <c r="Q299" i="2" s="1"/>
  <c r="O298" i="2"/>
  <c r="P298" i="2" s="1"/>
  <c r="C293" i="6"/>
  <c r="D293" i="6" s="1"/>
  <c r="E293" i="6"/>
  <c r="F293" i="6" s="1"/>
  <c r="M299" i="2" l="1"/>
  <c r="Q300" i="2" s="1"/>
  <c r="O299" i="2"/>
  <c r="P299" i="2" s="1"/>
  <c r="C294" i="6"/>
  <c r="D294" i="6" s="1"/>
  <c r="E294" i="6"/>
  <c r="F294" i="6" s="1"/>
  <c r="M300" i="2" l="1"/>
  <c r="Q301" i="2" s="1"/>
  <c r="O300" i="2"/>
  <c r="P300" i="2" s="1"/>
  <c r="C295" i="6"/>
  <c r="D295" i="6" s="1"/>
  <c r="E295" i="6"/>
  <c r="F295" i="6" s="1"/>
  <c r="M301" i="2" l="1"/>
  <c r="Q302" i="2" s="1"/>
  <c r="O301" i="2"/>
  <c r="P301" i="2" s="1"/>
  <c r="C296" i="6"/>
  <c r="D296" i="6" s="1"/>
  <c r="E296" i="6"/>
  <c r="F296" i="6" s="1"/>
  <c r="M302" i="2" l="1"/>
  <c r="Q303" i="2" s="1"/>
  <c r="O302" i="2"/>
  <c r="P302" i="2" s="1"/>
  <c r="C297" i="6"/>
  <c r="D297" i="6" s="1"/>
  <c r="E297" i="6"/>
  <c r="F297" i="6" s="1"/>
  <c r="M303" i="2" l="1"/>
  <c r="Q304" i="2" s="1"/>
  <c r="O303" i="2"/>
  <c r="P303" i="2" s="1"/>
  <c r="C298" i="6"/>
  <c r="D298" i="6" s="1"/>
  <c r="E298" i="6"/>
  <c r="F298" i="6" s="1"/>
  <c r="M304" i="2" l="1"/>
  <c r="Q305" i="2" s="1"/>
  <c r="O304" i="2"/>
  <c r="P304" i="2" s="1"/>
  <c r="C299" i="6"/>
  <c r="D299" i="6" s="1"/>
  <c r="E299" i="6"/>
  <c r="F299" i="6" s="1"/>
  <c r="M305" i="2" l="1"/>
  <c r="Q306" i="2" s="1"/>
  <c r="O305" i="2"/>
  <c r="P305" i="2" s="1"/>
  <c r="C300" i="6"/>
  <c r="D300" i="6" s="1"/>
  <c r="E300" i="6"/>
  <c r="F300" i="6" s="1"/>
  <c r="M306" i="2" l="1"/>
  <c r="Q307" i="2" s="1"/>
  <c r="O306" i="2"/>
  <c r="P306" i="2" s="1"/>
  <c r="C301" i="6"/>
  <c r="D301" i="6" s="1"/>
  <c r="E301" i="6"/>
  <c r="F301" i="6" s="1"/>
  <c r="M307" i="2" l="1"/>
  <c r="Q308" i="2" s="1"/>
  <c r="O307" i="2"/>
  <c r="P307" i="2" s="1"/>
  <c r="C302" i="6"/>
  <c r="D302" i="6" s="1"/>
  <c r="E302" i="6"/>
  <c r="F302" i="6" s="1"/>
  <c r="M308" i="2" l="1"/>
  <c r="Q309" i="2" s="1"/>
  <c r="O308" i="2"/>
  <c r="P308" i="2" s="1"/>
  <c r="C303" i="6"/>
  <c r="D303" i="6" s="1"/>
  <c r="E303" i="6"/>
  <c r="F303" i="6" s="1"/>
  <c r="M309" i="2" l="1"/>
  <c r="Q310" i="2" s="1"/>
  <c r="O309" i="2"/>
  <c r="P309" i="2" s="1"/>
  <c r="C304" i="6"/>
  <c r="D304" i="6" s="1"/>
  <c r="E304" i="6"/>
  <c r="F304" i="6" s="1"/>
  <c r="M310" i="2" l="1"/>
  <c r="Q311" i="2" s="1"/>
  <c r="O310" i="2"/>
  <c r="P310" i="2" s="1"/>
  <c r="C305" i="6"/>
  <c r="D305" i="6" s="1"/>
  <c r="E305" i="6"/>
  <c r="F305" i="6" s="1"/>
  <c r="M311" i="2" l="1"/>
  <c r="Q312" i="2" s="1"/>
  <c r="O311" i="2"/>
  <c r="P311" i="2" s="1"/>
  <c r="C306" i="6"/>
  <c r="D306" i="6" s="1"/>
  <c r="E306" i="6"/>
  <c r="F306" i="6" s="1"/>
  <c r="M312" i="2" l="1"/>
  <c r="Q313" i="2" s="1"/>
  <c r="O312" i="2"/>
  <c r="P312" i="2" s="1"/>
  <c r="C307" i="6"/>
  <c r="D307" i="6" s="1"/>
  <c r="E307" i="6"/>
  <c r="F307" i="6" s="1"/>
  <c r="M313" i="2" l="1"/>
  <c r="Q314" i="2" s="1"/>
  <c r="O313" i="2"/>
  <c r="P313" i="2" s="1"/>
  <c r="C308" i="6"/>
  <c r="D308" i="6" s="1"/>
  <c r="E308" i="6"/>
  <c r="F308" i="6" s="1"/>
  <c r="M314" i="2" l="1"/>
  <c r="Q315" i="2" s="1"/>
  <c r="O314" i="2"/>
  <c r="P314" i="2" s="1"/>
  <c r="C309" i="6"/>
  <c r="D309" i="6" s="1"/>
  <c r="E309" i="6"/>
  <c r="F309" i="6" s="1"/>
  <c r="M315" i="2" l="1"/>
  <c r="Q316" i="2" s="1"/>
  <c r="O315" i="2"/>
  <c r="P315" i="2" s="1"/>
  <c r="C310" i="6"/>
  <c r="D310" i="6" s="1"/>
  <c r="E310" i="6"/>
  <c r="F310" i="6" s="1"/>
  <c r="M316" i="2" l="1"/>
  <c r="Q317" i="2" s="1"/>
  <c r="O316" i="2"/>
  <c r="P316" i="2" s="1"/>
  <c r="C311" i="6"/>
  <c r="D311" i="6" s="1"/>
  <c r="E311" i="6"/>
  <c r="F311" i="6" s="1"/>
  <c r="M317" i="2" l="1"/>
  <c r="Q318" i="2" s="1"/>
  <c r="O317" i="2"/>
  <c r="P317" i="2" s="1"/>
  <c r="C312" i="6"/>
  <c r="D312" i="6" s="1"/>
  <c r="E312" i="6"/>
  <c r="F312" i="6" s="1"/>
  <c r="M318" i="2" l="1"/>
  <c r="Q319" i="2" s="1"/>
  <c r="O318" i="2"/>
  <c r="P318" i="2" s="1"/>
  <c r="C313" i="6"/>
  <c r="D313" i="6" s="1"/>
  <c r="E313" i="6"/>
  <c r="F313" i="6" s="1"/>
  <c r="M319" i="2" l="1"/>
  <c r="Q320" i="2" s="1"/>
  <c r="O319" i="2"/>
  <c r="P319" i="2" s="1"/>
  <c r="C314" i="6"/>
  <c r="D314" i="6" s="1"/>
  <c r="E314" i="6"/>
  <c r="F314" i="6" s="1"/>
  <c r="M320" i="2" l="1"/>
  <c r="Q321" i="2" s="1"/>
  <c r="O320" i="2"/>
  <c r="P320" i="2" s="1"/>
  <c r="C315" i="6"/>
  <c r="D315" i="6" s="1"/>
  <c r="E315" i="6"/>
  <c r="F315" i="6" s="1"/>
  <c r="M321" i="2" l="1"/>
  <c r="Q322" i="2" s="1"/>
  <c r="O321" i="2"/>
  <c r="P321" i="2" s="1"/>
  <c r="C316" i="6"/>
  <c r="D316" i="6" s="1"/>
  <c r="E316" i="6"/>
  <c r="F316" i="6" s="1"/>
  <c r="M322" i="2" l="1"/>
  <c r="Q323" i="2" s="1"/>
  <c r="O322" i="2"/>
  <c r="P322" i="2" s="1"/>
  <c r="C317" i="6"/>
  <c r="D317" i="6" s="1"/>
  <c r="E317" i="6"/>
  <c r="F317" i="6" s="1"/>
  <c r="M323" i="2" l="1"/>
  <c r="Q324" i="2" s="1"/>
  <c r="O323" i="2"/>
  <c r="P323" i="2" s="1"/>
  <c r="C318" i="6"/>
  <c r="D318" i="6" s="1"/>
  <c r="E318" i="6"/>
  <c r="F318" i="6" s="1"/>
  <c r="M324" i="2" l="1"/>
  <c r="Q325" i="2" s="1"/>
  <c r="O324" i="2"/>
  <c r="P324" i="2" s="1"/>
  <c r="C319" i="6"/>
  <c r="D319" i="6" s="1"/>
  <c r="E319" i="6"/>
  <c r="F319" i="6" s="1"/>
  <c r="M325" i="2" l="1"/>
  <c r="Q326" i="2" s="1"/>
  <c r="O325" i="2"/>
  <c r="P325" i="2" s="1"/>
  <c r="C320" i="6"/>
  <c r="D320" i="6" s="1"/>
  <c r="E320" i="6"/>
  <c r="F320" i="6" s="1"/>
  <c r="M326" i="2" l="1"/>
  <c r="Q327" i="2" s="1"/>
  <c r="O326" i="2"/>
  <c r="P326" i="2" s="1"/>
  <c r="C321" i="6"/>
  <c r="D321" i="6" s="1"/>
  <c r="E321" i="6"/>
  <c r="F321" i="6" s="1"/>
  <c r="M327" i="2" l="1"/>
  <c r="Q328" i="2" s="1"/>
  <c r="O327" i="2"/>
  <c r="P327" i="2" s="1"/>
  <c r="C322" i="6"/>
  <c r="D322" i="6" s="1"/>
  <c r="E322" i="6"/>
  <c r="F322" i="6" s="1"/>
  <c r="M328" i="2" l="1"/>
  <c r="Q329" i="2" s="1"/>
  <c r="O328" i="2"/>
  <c r="P328" i="2" s="1"/>
  <c r="C323" i="6"/>
  <c r="D323" i="6" s="1"/>
  <c r="E323" i="6"/>
  <c r="F323" i="6" s="1"/>
  <c r="M329" i="2" l="1"/>
  <c r="Q330" i="2" s="1"/>
  <c r="O329" i="2"/>
  <c r="P329" i="2" s="1"/>
  <c r="C324" i="6"/>
  <c r="D324" i="6" s="1"/>
  <c r="E324" i="6"/>
  <c r="F324" i="6" s="1"/>
  <c r="M330" i="2" l="1"/>
  <c r="Q331" i="2" s="1"/>
  <c r="O330" i="2"/>
  <c r="P330" i="2" s="1"/>
  <c r="C325" i="6"/>
  <c r="D325" i="6" s="1"/>
  <c r="E325" i="6"/>
  <c r="F325" i="6" s="1"/>
  <c r="M331" i="2" l="1"/>
  <c r="Q332" i="2" s="1"/>
  <c r="O331" i="2"/>
  <c r="P331" i="2" s="1"/>
  <c r="C326" i="6"/>
  <c r="D326" i="6" s="1"/>
  <c r="E326" i="6"/>
  <c r="F326" i="6" s="1"/>
  <c r="M332" i="2" l="1"/>
  <c r="Q333" i="2" s="1"/>
  <c r="O332" i="2"/>
  <c r="P332" i="2" s="1"/>
  <c r="C327" i="6"/>
  <c r="D327" i="6" s="1"/>
  <c r="E327" i="6"/>
  <c r="F327" i="6" s="1"/>
  <c r="M333" i="2" l="1"/>
  <c r="Q334" i="2" s="1"/>
  <c r="O333" i="2"/>
  <c r="P333" i="2" s="1"/>
  <c r="C328" i="6"/>
  <c r="D328" i="6" s="1"/>
  <c r="E328" i="6"/>
  <c r="F328" i="6" s="1"/>
  <c r="M334" i="2" l="1"/>
  <c r="Q335" i="2" s="1"/>
  <c r="O334" i="2"/>
  <c r="P334" i="2" s="1"/>
  <c r="C329" i="6"/>
  <c r="D329" i="6" s="1"/>
  <c r="E329" i="6"/>
  <c r="F329" i="6" s="1"/>
  <c r="M335" i="2" l="1"/>
  <c r="Q336" i="2" s="1"/>
  <c r="O335" i="2"/>
  <c r="P335" i="2" s="1"/>
  <c r="C330" i="6"/>
  <c r="D330" i="6" s="1"/>
  <c r="E330" i="6"/>
  <c r="F330" i="6" s="1"/>
  <c r="M336" i="2" l="1"/>
  <c r="Q337" i="2" s="1"/>
  <c r="O336" i="2"/>
  <c r="P336" i="2" s="1"/>
  <c r="C331" i="6"/>
  <c r="D331" i="6" s="1"/>
  <c r="E331" i="6"/>
  <c r="F331" i="6" s="1"/>
  <c r="M337" i="2" l="1"/>
  <c r="Q338" i="2" s="1"/>
  <c r="O337" i="2"/>
  <c r="P337" i="2" s="1"/>
  <c r="C332" i="6"/>
  <c r="D332" i="6" s="1"/>
  <c r="E332" i="6"/>
  <c r="F332" i="6" s="1"/>
  <c r="M338" i="2" l="1"/>
  <c r="Q339" i="2" s="1"/>
  <c r="O338" i="2"/>
  <c r="P338" i="2" s="1"/>
  <c r="C333" i="6"/>
  <c r="D333" i="6" s="1"/>
  <c r="E333" i="6"/>
  <c r="F333" i="6" s="1"/>
  <c r="M339" i="2" l="1"/>
  <c r="Q340" i="2" s="1"/>
  <c r="O339" i="2"/>
  <c r="P339" i="2" s="1"/>
  <c r="C334" i="6"/>
  <c r="D334" i="6" s="1"/>
  <c r="E334" i="6"/>
  <c r="F334" i="6" s="1"/>
  <c r="M340" i="2" l="1"/>
  <c r="Q341" i="2" s="1"/>
  <c r="O340" i="2"/>
  <c r="P340" i="2" s="1"/>
  <c r="C335" i="6"/>
  <c r="D335" i="6" s="1"/>
  <c r="E335" i="6"/>
  <c r="F335" i="6" s="1"/>
  <c r="M341" i="2" l="1"/>
  <c r="Q342" i="2" s="1"/>
  <c r="O341" i="2"/>
  <c r="P341" i="2" s="1"/>
  <c r="C336" i="6"/>
  <c r="D336" i="6" s="1"/>
  <c r="E336" i="6"/>
  <c r="F336" i="6" s="1"/>
  <c r="M342" i="2" l="1"/>
  <c r="Q343" i="2" s="1"/>
  <c r="O342" i="2"/>
  <c r="P342" i="2" s="1"/>
  <c r="C337" i="6"/>
  <c r="D337" i="6" s="1"/>
  <c r="E337" i="6"/>
  <c r="F337" i="6" s="1"/>
  <c r="M343" i="2" l="1"/>
  <c r="Q344" i="2" s="1"/>
  <c r="O343" i="2"/>
  <c r="P343" i="2" s="1"/>
  <c r="C338" i="6"/>
  <c r="D338" i="6" s="1"/>
  <c r="E338" i="6"/>
  <c r="F338" i="6" s="1"/>
  <c r="M344" i="2" l="1"/>
  <c r="Q345" i="2" s="1"/>
  <c r="O344" i="2"/>
  <c r="P344" i="2" s="1"/>
  <c r="C339" i="6"/>
  <c r="D339" i="6" s="1"/>
  <c r="E339" i="6"/>
  <c r="F339" i="6" s="1"/>
  <c r="M345" i="2" l="1"/>
  <c r="Q346" i="2" s="1"/>
  <c r="O345" i="2"/>
  <c r="P345" i="2" s="1"/>
  <c r="C340" i="6"/>
  <c r="D340" i="6" s="1"/>
  <c r="E340" i="6"/>
  <c r="F340" i="6" s="1"/>
  <c r="M346" i="2" l="1"/>
  <c r="Q347" i="2" s="1"/>
  <c r="O346" i="2"/>
  <c r="P346" i="2" s="1"/>
  <c r="C341" i="6"/>
  <c r="D341" i="6" s="1"/>
  <c r="E341" i="6"/>
  <c r="F341" i="6" s="1"/>
  <c r="M347" i="2" l="1"/>
  <c r="Q348" i="2" s="1"/>
  <c r="O347" i="2"/>
  <c r="P347" i="2" s="1"/>
  <c r="C342" i="6"/>
  <c r="D342" i="6" s="1"/>
  <c r="E342" i="6"/>
  <c r="F342" i="6" s="1"/>
  <c r="M348" i="2" l="1"/>
  <c r="Q349" i="2" s="1"/>
  <c r="O348" i="2"/>
  <c r="P348" i="2" s="1"/>
  <c r="C343" i="6"/>
  <c r="D343" i="6" s="1"/>
  <c r="E343" i="6"/>
  <c r="F343" i="6" s="1"/>
  <c r="M349" i="2" l="1"/>
  <c r="Q350" i="2" s="1"/>
  <c r="O349" i="2"/>
  <c r="P349" i="2" s="1"/>
  <c r="C344" i="6"/>
  <c r="D344" i="6" s="1"/>
  <c r="E344" i="6"/>
  <c r="F344" i="6" s="1"/>
  <c r="M350" i="2" l="1"/>
  <c r="Q351" i="2" s="1"/>
  <c r="O350" i="2"/>
  <c r="P350" i="2" s="1"/>
  <c r="C345" i="6"/>
  <c r="D345" i="6" s="1"/>
  <c r="E345" i="6"/>
  <c r="F345" i="6" s="1"/>
  <c r="M351" i="2" l="1"/>
  <c r="Q352" i="2" s="1"/>
  <c r="O351" i="2"/>
  <c r="P351" i="2" s="1"/>
  <c r="C346" i="6"/>
  <c r="D346" i="6" s="1"/>
  <c r="E346" i="6"/>
  <c r="F346" i="6" s="1"/>
  <c r="M352" i="2" l="1"/>
  <c r="Q353" i="2" s="1"/>
  <c r="O352" i="2"/>
  <c r="P352" i="2" s="1"/>
  <c r="C347" i="6"/>
  <c r="D347" i="6" s="1"/>
  <c r="E347" i="6"/>
  <c r="F347" i="6" s="1"/>
  <c r="M353" i="2" l="1"/>
  <c r="Q354" i="2" s="1"/>
  <c r="O353" i="2"/>
  <c r="P353" i="2" s="1"/>
  <c r="C348" i="6"/>
  <c r="D348" i="6" s="1"/>
  <c r="E348" i="6"/>
  <c r="F348" i="6" s="1"/>
  <c r="M354" i="2" l="1"/>
  <c r="Q355" i="2" s="1"/>
  <c r="O354" i="2"/>
  <c r="P354" i="2" s="1"/>
  <c r="C349" i="6"/>
  <c r="D349" i="6" s="1"/>
  <c r="E349" i="6"/>
  <c r="F349" i="6" s="1"/>
  <c r="M355" i="2" l="1"/>
  <c r="Q356" i="2" s="1"/>
  <c r="O355" i="2"/>
  <c r="P355" i="2" s="1"/>
  <c r="C350" i="6"/>
  <c r="D350" i="6" s="1"/>
  <c r="E350" i="6"/>
  <c r="F350" i="6" s="1"/>
  <c r="M356" i="2" l="1"/>
  <c r="Q357" i="2" s="1"/>
  <c r="O356" i="2"/>
  <c r="P356" i="2" s="1"/>
  <c r="C351" i="6"/>
  <c r="D351" i="6" s="1"/>
  <c r="E351" i="6"/>
  <c r="F351" i="6" s="1"/>
  <c r="M357" i="2" l="1"/>
  <c r="Q358" i="2" s="1"/>
  <c r="O357" i="2"/>
  <c r="P357" i="2" s="1"/>
  <c r="C352" i="6"/>
  <c r="D352" i="6" s="1"/>
  <c r="E352" i="6"/>
  <c r="F352" i="6" s="1"/>
  <c r="M358" i="2" l="1"/>
  <c r="Q359" i="2" s="1"/>
  <c r="O358" i="2"/>
  <c r="P358" i="2" s="1"/>
  <c r="C353" i="6"/>
  <c r="D353" i="6" s="1"/>
  <c r="E353" i="6"/>
  <c r="F353" i="6" s="1"/>
  <c r="M359" i="2" l="1"/>
  <c r="Q360" i="2" s="1"/>
  <c r="O359" i="2"/>
  <c r="P359" i="2" s="1"/>
  <c r="C354" i="6"/>
  <c r="D354" i="6" s="1"/>
  <c r="E354" i="6"/>
  <c r="F354" i="6" s="1"/>
  <c r="M360" i="2" l="1"/>
  <c r="Q361" i="2" s="1"/>
  <c r="O360" i="2"/>
  <c r="P360" i="2" s="1"/>
  <c r="C355" i="6"/>
  <c r="D355" i="6" s="1"/>
  <c r="E355" i="6"/>
  <c r="F355" i="6" s="1"/>
  <c r="M361" i="2" l="1"/>
  <c r="Q362" i="2" s="1"/>
  <c r="O361" i="2"/>
  <c r="P361" i="2" s="1"/>
  <c r="C356" i="6"/>
  <c r="D356" i="6" s="1"/>
  <c r="E356" i="6"/>
  <c r="F356" i="6" s="1"/>
  <c r="M362" i="2" l="1"/>
  <c r="Q363" i="2" s="1"/>
  <c r="O362" i="2"/>
  <c r="P362" i="2" s="1"/>
  <c r="C357" i="6"/>
  <c r="D357" i="6" s="1"/>
  <c r="E357" i="6"/>
  <c r="F357" i="6" s="1"/>
  <c r="M363" i="2" l="1"/>
  <c r="Q364" i="2" s="1"/>
  <c r="O363" i="2"/>
  <c r="P363" i="2" s="1"/>
  <c r="C358" i="6"/>
  <c r="D358" i="6" s="1"/>
  <c r="E358" i="6"/>
  <c r="F358" i="6" s="1"/>
  <c r="M364" i="2" l="1"/>
  <c r="Q365" i="2" s="1"/>
  <c r="O364" i="2"/>
  <c r="P364" i="2" s="1"/>
  <c r="C359" i="6"/>
  <c r="D359" i="6" s="1"/>
  <c r="E359" i="6"/>
  <c r="F359" i="6" s="1"/>
  <c r="M365" i="2" l="1"/>
  <c r="Q366" i="2" s="1"/>
  <c r="O365" i="2"/>
  <c r="P365" i="2" s="1"/>
  <c r="C360" i="6"/>
  <c r="D360" i="6" s="1"/>
  <c r="E360" i="6"/>
  <c r="F360" i="6" s="1"/>
  <c r="M366" i="2" l="1"/>
  <c r="Q367" i="2" s="1"/>
  <c r="O366" i="2"/>
  <c r="P366" i="2" s="1"/>
  <c r="C361" i="6"/>
  <c r="D361" i="6" s="1"/>
  <c r="E361" i="6"/>
  <c r="F361" i="6" s="1"/>
  <c r="M367" i="2" l="1"/>
  <c r="Q368" i="2" s="1"/>
  <c r="O367" i="2"/>
  <c r="P367" i="2" s="1"/>
  <c r="C362" i="6"/>
  <c r="D362" i="6" s="1"/>
  <c r="E362" i="6"/>
  <c r="F362" i="6" s="1"/>
  <c r="M368" i="2" l="1"/>
  <c r="Q369" i="2" s="1"/>
  <c r="O368" i="2"/>
  <c r="P368" i="2" s="1"/>
  <c r="C363" i="6"/>
  <c r="D363" i="6" s="1"/>
  <c r="E363" i="6"/>
  <c r="F363" i="6" s="1"/>
  <c r="M369" i="2" l="1"/>
  <c r="Q370" i="2" s="1"/>
  <c r="O369" i="2"/>
  <c r="P369" i="2" s="1"/>
  <c r="C364" i="6"/>
  <c r="D364" i="6" s="1"/>
  <c r="E364" i="6"/>
  <c r="F364" i="6" s="1"/>
  <c r="M370" i="2" l="1"/>
  <c r="Q371" i="2" s="1"/>
  <c r="O370" i="2"/>
  <c r="P370" i="2" s="1"/>
  <c r="C365" i="6"/>
  <c r="D365" i="6" s="1"/>
  <c r="E365" i="6"/>
  <c r="F365" i="6" s="1"/>
  <c r="M371" i="2" l="1"/>
  <c r="Q372" i="2" s="1"/>
  <c r="O371" i="2"/>
  <c r="P371" i="2" s="1"/>
  <c r="C366" i="6"/>
  <c r="D366" i="6" s="1"/>
  <c r="E366" i="6"/>
  <c r="F366" i="6" s="1"/>
  <c r="M372" i="2" l="1"/>
  <c r="Q373" i="2" s="1"/>
  <c r="O372" i="2"/>
  <c r="P372" i="2" s="1"/>
  <c r="C367" i="6"/>
  <c r="D367" i="6" s="1"/>
  <c r="E367" i="6"/>
  <c r="F367" i="6" s="1"/>
  <c r="M373" i="2" l="1"/>
  <c r="Q374" i="2" s="1"/>
  <c r="O373" i="2"/>
  <c r="P373" i="2" s="1"/>
  <c r="C368" i="6"/>
  <c r="D368" i="6" s="1"/>
  <c r="E368" i="6"/>
  <c r="F368" i="6" s="1"/>
  <c r="M374" i="2" l="1"/>
  <c r="Q375" i="2" s="1"/>
  <c r="O374" i="2"/>
  <c r="P374" i="2" s="1"/>
  <c r="C369" i="6"/>
  <c r="D369" i="6" s="1"/>
  <c r="E369" i="6"/>
  <c r="F369" i="6" s="1"/>
  <c r="M375" i="2" l="1"/>
  <c r="Q376" i="2" s="1"/>
  <c r="O375" i="2"/>
  <c r="P375" i="2" s="1"/>
  <c r="C370" i="6"/>
  <c r="D370" i="6" s="1"/>
  <c r="E370" i="6"/>
  <c r="F370" i="6" s="1"/>
  <c r="M376" i="2" l="1"/>
  <c r="Q377" i="2" s="1"/>
  <c r="O376" i="2"/>
  <c r="P376" i="2" s="1"/>
  <c r="C371" i="6"/>
  <c r="D371" i="6" s="1"/>
  <c r="E371" i="6"/>
  <c r="F371" i="6" s="1"/>
  <c r="M377" i="2" l="1"/>
  <c r="Q378" i="2" s="1"/>
  <c r="O377" i="2"/>
  <c r="P377" i="2" s="1"/>
  <c r="C372" i="6"/>
  <c r="D372" i="6" s="1"/>
  <c r="E372" i="6"/>
  <c r="F372" i="6" s="1"/>
  <c r="M378" i="2" l="1"/>
  <c r="Q379" i="2" s="1"/>
  <c r="O378" i="2"/>
  <c r="P378" i="2" s="1"/>
  <c r="C373" i="6"/>
  <c r="D373" i="6" s="1"/>
  <c r="E373" i="6"/>
  <c r="F373" i="6" s="1"/>
  <c r="M379" i="2" l="1"/>
  <c r="Q380" i="2" s="1"/>
  <c r="O379" i="2"/>
  <c r="P379" i="2" s="1"/>
  <c r="C374" i="6"/>
  <c r="D374" i="6" s="1"/>
  <c r="E374" i="6"/>
  <c r="F374" i="6" s="1"/>
  <c r="M380" i="2" l="1"/>
  <c r="Q381" i="2" s="1"/>
  <c r="O380" i="2"/>
  <c r="P380" i="2" s="1"/>
  <c r="C375" i="6"/>
  <c r="D375" i="6" s="1"/>
  <c r="E375" i="6"/>
  <c r="F375" i="6" s="1"/>
  <c r="M381" i="2" l="1"/>
  <c r="Q382" i="2" s="1"/>
  <c r="O381" i="2"/>
  <c r="P381" i="2" s="1"/>
  <c r="C376" i="6"/>
  <c r="D376" i="6" s="1"/>
  <c r="E376" i="6"/>
  <c r="F376" i="6" s="1"/>
  <c r="M382" i="2" l="1"/>
  <c r="Q383" i="2" s="1"/>
  <c r="O382" i="2"/>
  <c r="P382" i="2" s="1"/>
  <c r="C377" i="6"/>
  <c r="D377" i="6" s="1"/>
  <c r="E377" i="6"/>
  <c r="F377" i="6" s="1"/>
  <c r="M383" i="2" l="1"/>
  <c r="Q384" i="2" s="1"/>
  <c r="O383" i="2"/>
  <c r="P383" i="2" s="1"/>
  <c r="C378" i="6"/>
  <c r="D378" i="6" s="1"/>
  <c r="E378" i="6"/>
  <c r="F378" i="6" s="1"/>
  <c r="M384" i="2" l="1"/>
  <c r="Q385" i="2" s="1"/>
  <c r="O384" i="2"/>
  <c r="P384" i="2" s="1"/>
  <c r="C379" i="6"/>
  <c r="D379" i="6" s="1"/>
  <c r="E379" i="6"/>
  <c r="F379" i="6" s="1"/>
  <c r="M385" i="2" l="1"/>
  <c r="Q386" i="2" s="1"/>
  <c r="O385" i="2"/>
  <c r="P385" i="2" s="1"/>
  <c r="C380" i="6"/>
  <c r="D380" i="6" s="1"/>
  <c r="E380" i="6"/>
  <c r="F380" i="6" s="1"/>
  <c r="M386" i="2" l="1"/>
  <c r="Q387" i="2" s="1"/>
  <c r="O386" i="2"/>
  <c r="P386" i="2" s="1"/>
  <c r="C381" i="6"/>
  <c r="D381" i="6" s="1"/>
  <c r="E381" i="6"/>
  <c r="F381" i="6" s="1"/>
  <c r="M387" i="2" l="1"/>
  <c r="Q388" i="2" s="1"/>
  <c r="O387" i="2"/>
  <c r="P387" i="2" s="1"/>
  <c r="C382" i="6"/>
  <c r="D382" i="6" s="1"/>
  <c r="E382" i="6"/>
  <c r="F382" i="6" s="1"/>
  <c r="M388" i="2" l="1"/>
  <c r="Q389" i="2" s="1"/>
  <c r="O388" i="2"/>
  <c r="P388" i="2" s="1"/>
  <c r="C383" i="6"/>
  <c r="D383" i="6" s="1"/>
  <c r="E383" i="6"/>
  <c r="F383" i="6" s="1"/>
  <c r="M389" i="2" l="1"/>
  <c r="Q390" i="2" s="1"/>
  <c r="O389" i="2"/>
  <c r="P389" i="2" s="1"/>
  <c r="C384" i="6"/>
  <c r="D384" i="6" s="1"/>
  <c r="E384" i="6"/>
  <c r="F384" i="6" s="1"/>
  <c r="M390" i="2" l="1"/>
  <c r="Q391" i="2" s="1"/>
  <c r="O390" i="2"/>
  <c r="P390" i="2" s="1"/>
  <c r="C385" i="6"/>
  <c r="D385" i="6" s="1"/>
  <c r="E385" i="6"/>
  <c r="F385" i="6" s="1"/>
  <c r="M391" i="2" l="1"/>
  <c r="Q392" i="2" s="1"/>
  <c r="O391" i="2"/>
  <c r="P391" i="2" s="1"/>
  <c r="C386" i="6"/>
  <c r="D386" i="6" s="1"/>
  <c r="E386" i="6"/>
  <c r="F386" i="6" s="1"/>
  <c r="M392" i="2" l="1"/>
  <c r="Q393" i="2" s="1"/>
  <c r="O392" i="2"/>
  <c r="P392" i="2" s="1"/>
  <c r="C387" i="6"/>
  <c r="D387" i="6" s="1"/>
  <c r="E387" i="6"/>
  <c r="F387" i="6" s="1"/>
  <c r="M393" i="2" l="1"/>
  <c r="Q394" i="2" s="1"/>
  <c r="O393" i="2"/>
  <c r="P393" i="2" s="1"/>
  <c r="C388" i="6"/>
  <c r="D388" i="6" s="1"/>
  <c r="E388" i="6"/>
  <c r="F388" i="6" s="1"/>
  <c r="M394" i="2" l="1"/>
  <c r="Q395" i="2" s="1"/>
  <c r="O394" i="2"/>
  <c r="P394" i="2" s="1"/>
  <c r="C389" i="6"/>
  <c r="D389" i="6" s="1"/>
  <c r="E389" i="6"/>
  <c r="F389" i="6" s="1"/>
  <c r="M395" i="2" l="1"/>
  <c r="Q396" i="2" s="1"/>
  <c r="O395" i="2"/>
  <c r="P395" i="2" s="1"/>
  <c r="C390" i="6"/>
  <c r="D390" i="6" s="1"/>
  <c r="E390" i="6"/>
  <c r="F390" i="6" s="1"/>
  <c r="M396" i="2" l="1"/>
  <c r="Q397" i="2" s="1"/>
  <c r="O396" i="2"/>
  <c r="P396" i="2" s="1"/>
  <c r="C391" i="6"/>
  <c r="D391" i="6" s="1"/>
  <c r="E391" i="6"/>
  <c r="F391" i="6" s="1"/>
  <c r="M397" i="2" l="1"/>
  <c r="Q398" i="2" s="1"/>
  <c r="O397" i="2"/>
  <c r="P397" i="2" s="1"/>
  <c r="C392" i="6"/>
  <c r="D392" i="6" s="1"/>
  <c r="E392" i="6"/>
  <c r="F392" i="6" s="1"/>
  <c r="M398" i="2" l="1"/>
  <c r="Q399" i="2" s="1"/>
  <c r="O398" i="2"/>
  <c r="P398" i="2" s="1"/>
  <c r="C393" i="6"/>
  <c r="D393" i="6" s="1"/>
  <c r="E393" i="6"/>
  <c r="F393" i="6" s="1"/>
  <c r="M399" i="2" l="1"/>
  <c r="Q400" i="2" s="1"/>
  <c r="O399" i="2"/>
  <c r="P399" i="2" s="1"/>
  <c r="C394" i="6"/>
  <c r="D394" i="6" s="1"/>
  <c r="E394" i="6"/>
  <c r="F394" i="6" s="1"/>
  <c r="M400" i="2" l="1"/>
  <c r="Q401" i="2" s="1"/>
  <c r="O400" i="2"/>
  <c r="P400" i="2" s="1"/>
  <c r="C395" i="6"/>
  <c r="D395" i="6" s="1"/>
  <c r="E395" i="6"/>
  <c r="F395" i="6" s="1"/>
  <c r="M401" i="2" l="1"/>
  <c r="Q402" i="2" s="1"/>
  <c r="O401" i="2"/>
  <c r="P401" i="2" s="1"/>
  <c r="C396" i="6"/>
  <c r="D396" i="6" s="1"/>
  <c r="E396" i="6"/>
  <c r="F396" i="6" s="1"/>
  <c r="M402" i="2" l="1"/>
  <c r="Q403" i="2" s="1"/>
  <c r="O402" i="2"/>
  <c r="P402" i="2" s="1"/>
  <c r="C397" i="6"/>
  <c r="D397" i="6" s="1"/>
  <c r="E397" i="6"/>
  <c r="F397" i="6" s="1"/>
  <c r="M403" i="2" l="1"/>
  <c r="Q404" i="2" s="1"/>
  <c r="O403" i="2"/>
  <c r="P403" i="2" s="1"/>
  <c r="C398" i="6"/>
  <c r="D398" i="6" s="1"/>
  <c r="E398" i="6"/>
  <c r="F398" i="6" s="1"/>
  <c r="M404" i="2" l="1"/>
  <c r="Q405" i="2" s="1"/>
  <c r="O404" i="2"/>
  <c r="P404" i="2" s="1"/>
  <c r="C399" i="6"/>
  <c r="D399" i="6" s="1"/>
  <c r="E399" i="6"/>
  <c r="F399" i="6" s="1"/>
  <c r="M405" i="2" l="1"/>
  <c r="Q406" i="2" s="1"/>
  <c r="O405" i="2"/>
  <c r="P405" i="2" s="1"/>
  <c r="C400" i="6"/>
  <c r="D400" i="6" s="1"/>
  <c r="E400" i="6"/>
  <c r="F400" i="6" s="1"/>
  <c r="M406" i="2" l="1"/>
  <c r="Q407" i="2" s="1"/>
  <c r="O406" i="2"/>
  <c r="P406" i="2" s="1"/>
  <c r="C401" i="6"/>
  <c r="D401" i="6" s="1"/>
  <c r="E401" i="6"/>
  <c r="F401" i="6" s="1"/>
  <c r="M407" i="2" l="1"/>
  <c r="Q408" i="2" s="1"/>
  <c r="O407" i="2"/>
  <c r="P407" i="2" s="1"/>
  <c r="C402" i="6"/>
  <c r="D402" i="6" s="1"/>
  <c r="E402" i="6"/>
  <c r="F402" i="6" s="1"/>
  <c r="M408" i="2" l="1"/>
  <c r="Q409" i="2" s="1"/>
  <c r="O408" i="2"/>
  <c r="P408" i="2" s="1"/>
  <c r="C403" i="6"/>
  <c r="D403" i="6" s="1"/>
  <c r="E403" i="6"/>
  <c r="F403" i="6" s="1"/>
  <c r="M409" i="2" l="1"/>
  <c r="Q410" i="2" s="1"/>
  <c r="O409" i="2"/>
  <c r="P409" i="2" s="1"/>
  <c r="C404" i="6"/>
  <c r="D404" i="6" s="1"/>
  <c r="E404" i="6"/>
  <c r="F404" i="6" s="1"/>
  <c r="M410" i="2" l="1"/>
  <c r="Q411" i="2" s="1"/>
  <c r="O410" i="2"/>
  <c r="P410" i="2" s="1"/>
  <c r="C405" i="6"/>
  <c r="D405" i="6" s="1"/>
  <c r="E405" i="6"/>
  <c r="F405" i="6" s="1"/>
  <c r="M411" i="2" l="1"/>
  <c r="Q412" i="2" s="1"/>
  <c r="O411" i="2"/>
  <c r="P411" i="2" s="1"/>
  <c r="C406" i="6"/>
  <c r="D406" i="6" s="1"/>
  <c r="E406" i="6"/>
  <c r="F406" i="6" s="1"/>
  <c r="M412" i="2" l="1"/>
  <c r="Q413" i="2" s="1"/>
  <c r="O412" i="2"/>
  <c r="P412" i="2" s="1"/>
  <c r="C407" i="6"/>
  <c r="D407" i="6" s="1"/>
  <c r="E407" i="6"/>
  <c r="F407" i="6" s="1"/>
  <c r="M413" i="2" l="1"/>
  <c r="Q414" i="2" s="1"/>
  <c r="O413" i="2"/>
  <c r="P413" i="2" s="1"/>
  <c r="C408" i="6"/>
  <c r="D408" i="6" s="1"/>
  <c r="E408" i="6"/>
  <c r="F408" i="6" s="1"/>
  <c r="M414" i="2" l="1"/>
  <c r="Q415" i="2" s="1"/>
  <c r="O414" i="2"/>
  <c r="P414" i="2" s="1"/>
  <c r="C409" i="6"/>
  <c r="D409" i="6" s="1"/>
  <c r="E409" i="6"/>
  <c r="F409" i="6" s="1"/>
  <c r="M415" i="2" l="1"/>
  <c r="Q416" i="2" s="1"/>
  <c r="O415" i="2"/>
  <c r="P415" i="2" s="1"/>
  <c r="C410" i="6"/>
  <c r="D410" i="6" s="1"/>
  <c r="E410" i="6"/>
  <c r="F410" i="6" s="1"/>
  <c r="M416" i="2" l="1"/>
  <c r="Q417" i="2" s="1"/>
  <c r="O416" i="2"/>
  <c r="P416" i="2" s="1"/>
  <c r="C411" i="6"/>
  <c r="D411" i="6" s="1"/>
  <c r="E411" i="6"/>
  <c r="F411" i="6" s="1"/>
  <c r="M417" i="2" l="1"/>
  <c r="Q418" i="2" s="1"/>
  <c r="O417" i="2"/>
  <c r="P417" i="2" s="1"/>
  <c r="C412" i="6"/>
  <c r="D412" i="6" s="1"/>
  <c r="E412" i="6"/>
  <c r="F412" i="6" s="1"/>
  <c r="M418" i="2" l="1"/>
  <c r="Q419" i="2" s="1"/>
  <c r="O418" i="2"/>
  <c r="P418" i="2" s="1"/>
  <c r="C413" i="6"/>
  <c r="D413" i="6" s="1"/>
  <c r="E413" i="6"/>
  <c r="F413" i="6" s="1"/>
  <c r="M419" i="2" l="1"/>
  <c r="Q420" i="2" s="1"/>
  <c r="O419" i="2"/>
  <c r="P419" i="2" s="1"/>
  <c r="C414" i="6"/>
  <c r="D414" i="6" s="1"/>
  <c r="E414" i="6"/>
  <c r="F414" i="6" s="1"/>
  <c r="M420" i="2" l="1"/>
  <c r="Q421" i="2" s="1"/>
  <c r="O420" i="2"/>
  <c r="P420" i="2" s="1"/>
  <c r="C415" i="6"/>
  <c r="D415" i="6" s="1"/>
  <c r="E415" i="6"/>
  <c r="F415" i="6" s="1"/>
  <c r="M421" i="2" l="1"/>
  <c r="Q422" i="2" s="1"/>
  <c r="O421" i="2"/>
  <c r="P421" i="2" s="1"/>
  <c r="C416" i="6"/>
  <c r="D416" i="6" s="1"/>
  <c r="E416" i="6"/>
  <c r="F416" i="6" s="1"/>
  <c r="M422" i="2" l="1"/>
  <c r="Q423" i="2" s="1"/>
  <c r="O422" i="2"/>
  <c r="P422" i="2" s="1"/>
  <c r="C417" i="6"/>
  <c r="D417" i="6" s="1"/>
  <c r="E417" i="6"/>
  <c r="F417" i="6" s="1"/>
  <c r="M423" i="2" l="1"/>
  <c r="Q424" i="2" s="1"/>
  <c r="O423" i="2"/>
  <c r="P423" i="2" s="1"/>
  <c r="C418" i="6"/>
  <c r="D418" i="6" s="1"/>
  <c r="E418" i="6"/>
  <c r="F418" i="6" s="1"/>
  <c r="M424" i="2" l="1"/>
  <c r="Q425" i="2" s="1"/>
  <c r="O424" i="2"/>
  <c r="P424" i="2" s="1"/>
  <c r="C419" i="6"/>
  <c r="D419" i="6" s="1"/>
  <c r="E419" i="6"/>
  <c r="F419" i="6" s="1"/>
  <c r="M425" i="2" l="1"/>
  <c r="Q426" i="2" s="1"/>
  <c r="O425" i="2"/>
  <c r="P425" i="2" s="1"/>
  <c r="C420" i="6"/>
  <c r="D420" i="6" s="1"/>
  <c r="E420" i="6"/>
  <c r="F420" i="6" s="1"/>
  <c r="M426" i="2" l="1"/>
  <c r="Q427" i="2" s="1"/>
  <c r="O426" i="2"/>
  <c r="P426" i="2" s="1"/>
  <c r="C421" i="6"/>
  <c r="D421" i="6" s="1"/>
  <c r="E421" i="6"/>
  <c r="F421" i="6" s="1"/>
  <c r="M427" i="2" l="1"/>
  <c r="Q428" i="2" s="1"/>
  <c r="O427" i="2"/>
  <c r="P427" i="2" s="1"/>
  <c r="C422" i="6"/>
  <c r="D422" i="6" s="1"/>
  <c r="E422" i="6"/>
  <c r="F422" i="6" s="1"/>
  <c r="M428" i="2" l="1"/>
  <c r="Q429" i="2" s="1"/>
  <c r="O428" i="2"/>
  <c r="P428" i="2" s="1"/>
  <c r="C423" i="6"/>
  <c r="D423" i="6" s="1"/>
  <c r="E423" i="6"/>
  <c r="F423" i="6" s="1"/>
  <c r="M429" i="2" l="1"/>
  <c r="Q430" i="2" s="1"/>
  <c r="O429" i="2"/>
  <c r="P429" i="2" s="1"/>
  <c r="C424" i="6"/>
  <c r="D424" i="6" s="1"/>
  <c r="E424" i="6"/>
  <c r="F424" i="6" s="1"/>
  <c r="M430" i="2" l="1"/>
  <c r="Q431" i="2" s="1"/>
  <c r="O430" i="2"/>
  <c r="P430" i="2" s="1"/>
  <c r="C425" i="6"/>
  <c r="D425" i="6" s="1"/>
  <c r="E425" i="6"/>
  <c r="F425" i="6" s="1"/>
  <c r="M431" i="2" l="1"/>
  <c r="Q432" i="2" s="1"/>
  <c r="O431" i="2"/>
  <c r="P431" i="2" s="1"/>
  <c r="C426" i="6"/>
  <c r="D426" i="6" s="1"/>
  <c r="E426" i="6"/>
  <c r="F426" i="6" s="1"/>
  <c r="M432" i="2" l="1"/>
  <c r="Q433" i="2" s="1"/>
  <c r="O432" i="2"/>
  <c r="P432" i="2" s="1"/>
  <c r="C427" i="6"/>
  <c r="D427" i="6" s="1"/>
  <c r="E427" i="6"/>
  <c r="F427" i="6" s="1"/>
  <c r="M433" i="2" l="1"/>
  <c r="Q434" i="2" s="1"/>
  <c r="O433" i="2"/>
  <c r="P433" i="2" s="1"/>
  <c r="C428" i="6"/>
  <c r="D428" i="6" s="1"/>
  <c r="E428" i="6"/>
  <c r="F428" i="6" s="1"/>
  <c r="M434" i="2" l="1"/>
  <c r="Q435" i="2" s="1"/>
  <c r="O434" i="2"/>
  <c r="P434" i="2" s="1"/>
  <c r="C429" i="6"/>
  <c r="D429" i="6" s="1"/>
  <c r="E429" i="6"/>
  <c r="F429" i="6" s="1"/>
  <c r="M435" i="2" l="1"/>
  <c r="Q436" i="2" s="1"/>
  <c r="O435" i="2"/>
  <c r="P435" i="2" s="1"/>
  <c r="C430" i="6"/>
  <c r="D430" i="6" s="1"/>
  <c r="E430" i="6"/>
  <c r="F430" i="6" s="1"/>
  <c r="M436" i="2" l="1"/>
  <c r="Q437" i="2" s="1"/>
  <c r="O436" i="2"/>
  <c r="P436" i="2" s="1"/>
  <c r="C431" i="6"/>
  <c r="D431" i="6" s="1"/>
  <c r="E431" i="6"/>
  <c r="F431" i="6" s="1"/>
  <c r="M437" i="2" l="1"/>
  <c r="Q438" i="2" s="1"/>
  <c r="O437" i="2"/>
  <c r="P437" i="2" s="1"/>
  <c r="C432" i="6"/>
  <c r="D432" i="6" s="1"/>
  <c r="E432" i="6"/>
  <c r="F432" i="6" s="1"/>
  <c r="M438" i="2" l="1"/>
  <c r="Q439" i="2" s="1"/>
  <c r="O438" i="2"/>
  <c r="P438" i="2" s="1"/>
  <c r="C433" i="6"/>
  <c r="D433" i="6" s="1"/>
  <c r="E433" i="6"/>
  <c r="F433" i="6" s="1"/>
  <c r="M439" i="2" l="1"/>
  <c r="Q440" i="2" s="1"/>
  <c r="O439" i="2"/>
  <c r="P439" i="2" s="1"/>
  <c r="C434" i="6"/>
  <c r="D434" i="6" s="1"/>
  <c r="E434" i="6"/>
  <c r="F434" i="6" s="1"/>
  <c r="M440" i="2" l="1"/>
  <c r="Q441" i="2" s="1"/>
  <c r="O440" i="2"/>
  <c r="P440" i="2" s="1"/>
  <c r="C435" i="6"/>
  <c r="D435" i="6" s="1"/>
  <c r="E435" i="6"/>
  <c r="F435" i="6" s="1"/>
  <c r="M441" i="2" l="1"/>
  <c r="Q442" i="2" s="1"/>
  <c r="O441" i="2"/>
  <c r="P441" i="2" s="1"/>
  <c r="C436" i="6"/>
  <c r="D436" i="6" s="1"/>
  <c r="E436" i="6"/>
  <c r="F436" i="6" s="1"/>
  <c r="M442" i="2" l="1"/>
  <c r="Q443" i="2" s="1"/>
  <c r="O442" i="2"/>
  <c r="P442" i="2" s="1"/>
  <c r="C437" i="6"/>
  <c r="D437" i="6" s="1"/>
  <c r="E437" i="6"/>
  <c r="F437" i="6" s="1"/>
  <c r="M443" i="2" l="1"/>
  <c r="Q444" i="2" s="1"/>
  <c r="O443" i="2"/>
  <c r="P443" i="2" s="1"/>
  <c r="C438" i="6"/>
  <c r="D438" i="6" s="1"/>
  <c r="E438" i="6"/>
  <c r="F438" i="6" s="1"/>
  <c r="M444" i="2" l="1"/>
  <c r="Q445" i="2" s="1"/>
  <c r="O444" i="2"/>
  <c r="P444" i="2" s="1"/>
  <c r="C439" i="6"/>
  <c r="D439" i="6" s="1"/>
  <c r="E439" i="6"/>
  <c r="F439" i="6" s="1"/>
  <c r="M445" i="2" l="1"/>
  <c r="Q446" i="2" s="1"/>
  <c r="O445" i="2"/>
  <c r="P445" i="2" s="1"/>
  <c r="C440" i="6"/>
  <c r="D440" i="6" s="1"/>
  <c r="E440" i="6"/>
  <c r="F440" i="6" s="1"/>
  <c r="C441" i="6" l="1"/>
  <c r="D441" i="6" s="1"/>
  <c r="E441" i="6"/>
  <c r="F441" i="6" s="1"/>
  <c r="M446" i="2"/>
  <c r="Q447" i="2" s="1"/>
  <c r="O446" i="2"/>
  <c r="P446" i="2" s="1"/>
  <c r="C442" i="6" l="1"/>
  <c r="D442" i="6" s="1"/>
  <c r="E442" i="6"/>
  <c r="F442" i="6" s="1"/>
  <c r="M447" i="2"/>
  <c r="Q448" i="2" s="1"/>
  <c r="O447" i="2"/>
  <c r="P447" i="2" s="1"/>
  <c r="M448" i="2" l="1"/>
  <c r="Q449" i="2" s="1"/>
  <c r="O448" i="2"/>
  <c r="P448" i="2" s="1"/>
  <c r="C443" i="6"/>
  <c r="D443" i="6" s="1"/>
  <c r="E443" i="6"/>
  <c r="F443" i="6" s="1"/>
  <c r="C444" i="6" l="1"/>
  <c r="D444" i="6" s="1"/>
  <c r="E444" i="6"/>
  <c r="F444" i="6" s="1"/>
  <c r="M449" i="2"/>
  <c r="Q450" i="2" s="1"/>
  <c r="O449" i="2"/>
  <c r="P449" i="2" s="1"/>
  <c r="M450" i="2" l="1"/>
  <c r="Q451" i="2" s="1"/>
  <c r="O450" i="2"/>
  <c r="P450" i="2" s="1"/>
  <c r="C445" i="6"/>
  <c r="D445" i="6" s="1"/>
  <c r="E445" i="6"/>
  <c r="F445" i="6" s="1"/>
  <c r="M451" i="2" l="1"/>
  <c r="Q452" i="2" s="1"/>
  <c r="O451" i="2"/>
  <c r="P451" i="2" s="1"/>
  <c r="C446" i="6"/>
  <c r="D446" i="6" s="1"/>
  <c r="E446" i="6"/>
  <c r="F446" i="6" s="1"/>
  <c r="M452" i="2" l="1"/>
  <c r="Q453" i="2" s="1"/>
  <c r="O452" i="2"/>
  <c r="P452" i="2" s="1"/>
  <c r="C447" i="6"/>
  <c r="D447" i="6" s="1"/>
  <c r="E447" i="6"/>
  <c r="F447" i="6" s="1"/>
  <c r="M453" i="2" l="1"/>
  <c r="Q454" i="2" s="1"/>
  <c r="O453" i="2"/>
  <c r="P453" i="2" s="1"/>
  <c r="C448" i="6"/>
  <c r="D448" i="6" s="1"/>
  <c r="E448" i="6"/>
  <c r="F448" i="6" s="1"/>
  <c r="M454" i="2" l="1"/>
  <c r="Q455" i="2" s="1"/>
  <c r="O454" i="2"/>
  <c r="P454" i="2" s="1"/>
  <c r="C449" i="6"/>
  <c r="D449" i="6" s="1"/>
  <c r="E449" i="6"/>
  <c r="F449" i="6" s="1"/>
  <c r="M455" i="2" l="1"/>
  <c r="Q456" i="2" s="1"/>
  <c r="O455" i="2"/>
  <c r="P455" i="2" s="1"/>
  <c r="C450" i="6"/>
  <c r="D450" i="6" s="1"/>
  <c r="E450" i="6"/>
  <c r="F450" i="6" s="1"/>
  <c r="M456" i="2" l="1"/>
  <c r="Q457" i="2" s="1"/>
  <c r="O456" i="2"/>
  <c r="P456" i="2" s="1"/>
  <c r="C451" i="6"/>
  <c r="D451" i="6" s="1"/>
  <c r="E451" i="6"/>
  <c r="F451" i="6" s="1"/>
  <c r="M457" i="2" l="1"/>
  <c r="Q458" i="2" s="1"/>
  <c r="O457" i="2"/>
  <c r="P457" i="2" s="1"/>
  <c r="C452" i="6"/>
  <c r="D452" i="6" s="1"/>
  <c r="E452" i="6"/>
  <c r="F452" i="6" s="1"/>
  <c r="M458" i="2" l="1"/>
  <c r="Q459" i="2" s="1"/>
  <c r="O458" i="2"/>
  <c r="P458" i="2" s="1"/>
  <c r="C453" i="6"/>
  <c r="D453" i="6" s="1"/>
  <c r="E453" i="6"/>
  <c r="F453" i="6" s="1"/>
  <c r="M459" i="2" l="1"/>
  <c r="Q460" i="2" s="1"/>
  <c r="O459" i="2"/>
  <c r="P459" i="2" s="1"/>
  <c r="C454" i="6"/>
  <c r="D454" i="6" s="1"/>
  <c r="E454" i="6"/>
  <c r="F454" i="6" s="1"/>
  <c r="M460" i="2" l="1"/>
  <c r="Q461" i="2" s="1"/>
  <c r="O460" i="2"/>
  <c r="P460" i="2" s="1"/>
  <c r="C455" i="6"/>
  <c r="D455" i="6" s="1"/>
  <c r="E455" i="6"/>
  <c r="F455" i="6" s="1"/>
  <c r="M461" i="2" l="1"/>
  <c r="Q462" i="2" s="1"/>
  <c r="O461" i="2"/>
  <c r="P461" i="2" s="1"/>
  <c r="C456" i="6"/>
  <c r="D456" i="6" s="1"/>
  <c r="E456" i="6"/>
  <c r="F456" i="6" s="1"/>
  <c r="M462" i="2" l="1"/>
  <c r="Q463" i="2" s="1"/>
  <c r="O462" i="2"/>
  <c r="P462" i="2" s="1"/>
  <c r="C457" i="6"/>
  <c r="D457" i="6" s="1"/>
  <c r="E457" i="6"/>
  <c r="F457" i="6" s="1"/>
  <c r="M463" i="2" l="1"/>
  <c r="Q464" i="2" s="1"/>
  <c r="O463" i="2"/>
  <c r="P463" i="2" s="1"/>
  <c r="C458" i="6"/>
  <c r="D458" i="6" s="1"/>
  <c r="E458" i="6"/>
  <c r="F458" i="6" s="1"/>
  <c r="M464" i="2" l="1"/>
  <c r="Q465" i="2" s="1"/>
  <c r="O464" i="2"/>
  <c r="P464" i="2" s="1"/>
  <c r="C459" i="6"/>
  <c r="D459" i="6" s="1"/>
  <c r="E459" i="6"/>
  <c r="F459" i="6" s="1"/>
  <c r="M465" i="2" l="1"/>
  <c r="Q466" i="2" s="1"/>
  <c r="O465" i="2"/>
  <c r="P465" i="2" s="1"/>
  <c r="C460" i="6"/>
  <c r="D460" i="6" s="1"/>
  <c r="E460" i="6"/>
  <c r="F460" i="6" s="1"/>
  <c r="M466" i="2" l="1"/>
  <c r="Q467" i="2" s="1"/>
  <c r="O466" i="2"/>
  <c r="P466" i="2" s="1"/>
  <c r="C461" i="6"/>
  <c r="D461" i="6" s="1"/>
  <c r="E461" i="6"/>
  <c r="F461" i="6" s="1"/>
  <c r="M467" i="2" l="1"/>
  <c r="Q468" i="2" s="1"/>
  <c r="O467" i="2"/>
  <c r="P467" i="2" s="1"/>
  <c r="C462" i="6"/>
  <c r="D462" i="6" s="1"/>
  <c r="E462" i="6"/>
  <c r="F462" i="6" s="1"/>
  <c r="M468" i="2" l="1"/>
  <c r="Q469" i="2" s="1"/>
  <c r="O468" i="2"/>
  <c r="P468" i="2" s="1"/>
  <c r="C463" i="6"/>
  <c r="D463" i="6" s="1"/>
  <c r="E463" i="6"/>
  <c r="F463" i="6" s="1"/>
  <c r="M469" i="2" l="1"/>
  <c r="Q470" i="2" s="1"/>
  <c r="O469" i="2"/>
  <c r="P469" i="2" s="1"/>
  <c r="C464" i="6"/>
  <c r="D464" i="6" s="1"/>
  <c r="E464" i="6"/>
  <c r="F464" i="6" s="1"/>
  <c r="M470" i="2" l="1"/>
  <c r="Q471" i="2" s="1"/>
  <c r="O470" i="2"/>
  <c r="P470" i="2" s="1"/>
  <c r="C465" i="6"/>
  <c r="D465" i="6" s="1"/>
  <c r="E465" i="6"/>
  <c r="F465" i="6" s="1"/>
  <c r="M471" i="2" l="1"/>
  <c r="Q472" i="2" s="1"/>
  <c r="O471" i="2"/>
  <c r="P471" i="2" s="1"/>
  <c r="C466" i="6"/>
  <c r="D466" i="6" s="1"/>
  <c r="E466" i="6"/>
  <c r="F466" i="6" s="1"/>
  <c r="M472" i="2" l="1"/>
  <c r="Q473" i="2" s="1"/>
  <c r="O472" i="2"/>
  <c r="P472" i="2" s="1"/>
  <c r="C467" i="6"/>
  <c r="D467" i="6" s="1"/>
  <c r="E467" i="6"/>
  <c r="F467" i="6" s="1"/>
  <c r="M473" i="2" l="1"/>
  <c r="Q474" i="2" s="1"/>
  <c r="O473" i="2"/>
  <c r="P473" i="2" s="1"/>
  <c r="C468" i="6"/>
  <c r="D468" i="6" s="1"/>
  <c r="E468" i="6"/>
  <c r="F468" i="6" s="1"/>
  <c r="M474" i="2" l="1"/>
  <c r="Q475" i="2" s="1"/>
  <c r="O474" i="2"/>
  <c r="P474" i="2" s="1"/>
  <c r="C469" i="6"/>
  <c r="D469" i="6" s="1"/>
  <c r="E469" i="6"/>
  <c r="F469" i="6" s="1"/>
  <c r="M475" i="2" l="1"/>
  <c r="Q476" i="2" s="1"/>
  <c r="O475" i="2"/>
  <c r="P475" i="2" s="1"/>
  <c r="C470" i="6"/>
  <c r="D470" i="6" s="1"/>
  <c r="E470" i="6"/>
  <c r="F470" i="6" s="1"/>
  <c r="M476" i="2" l="1"/>
  <c r="Q477" i="2" s="1"/>
  <c r="O476" i="2"/>
  <c r="P476" i="2" s="1"/>
  <c r="C471" i="6"/>
  <c r="D471" i="6" s="1"/>
  <c r="E471" i="6"/>
  <c r="F471" i="6" s="1"/>
  <c r="M477" i="2" l="1"/>
  <c r="Q478" i="2" s="1"/>
  <c r="O477" i="2"/>
  <c r="P477" i="2" s="1"/>
  <c r="C472" i="6"/>
  <c r="D472" i="6" s="1"/>
  <c r="E472" i="6"/>
  <c r="F472" i="6" s="1"/>
  <c r="M478" i="2" l="1"/>
  <c r="Q479" i="2" s="1"/>
  <c r="O478" i="2"/>
  <c r="P478" i="2" s="1"/>
  <c r="C473" i="6"/>
  <c r="D473" i="6" s="1"/>
  <c r="E473" i="6"/>
  <c r="F473" i="6" s="1"/>
  <c r="M479" i="2" l="1"/>
  <c r="Q480" i="2" s="1"/>
  <c r="O479" i="2"/>
  <c r="P479" i="2" s="1"/>
  <c r="C474" i="6"/>
  <c r="D474" i="6" s="1"/>
  <c r="E474" i="6"/>
  <c r="F474" i="6" s="1"/>
  <c r="M480" i="2" l="1"/>
  <c r="Q481" i="2" s="1"/>
  <c r="O480" i="2"/>
  <c r="P480" i="2" s="1"/>
  <c r="C475" i="6"/>
  <c r="D475" i="6" s="1"/>
  <c r="E475" i="6"/>
  <c r="F475" i="6" s="1"/>
  <c r="M481" i="2" l="1"/>
  <c r="Q482" i="2" s="1"/>
  <c r="O481" i="2"/>
  <c r="P481" i="2" s="1"/>
  <c r="C476" i="6"/>
  <c r="D476" i="6" s="1"/>
  <c r="E476" i="6"/>
  <c r="F476" i="6" s="1"/>
  <c r="M482" i="2" l="1"/>
  <c r="Q483" i="2" s="1"/>
  <c r="O482" i="2"/>
  <c r="P482" i="2" s="1"/>
  <c r="C477" i="6"/>
  <c r="D477" i="6" s="1"/>
  <c r="E477" i="6"/>
  <c r="F477" i="6" s="1"/>
  <c r="M483" i="2" l="1"/>
  <c r="Q484" i="2" s="1"/>
  <c r="O483" i="2"/>
  <c r="P483" i="2" s="1"/>
  <c r="C478" i="6"/>
  <c r="D478" i="6" s="1"/>
  <c r="E478" i="6"/>
  <c r="F478" i="6" s="1"/>
  <c r="M484" i="2" l="1"/>
  <c r="Q485" i="2" s="1"/>
  <c r="O484" i="2"/>
  <c r="P484" i="2" s="1"/>
  <c r="C479" i="6"/>
  <c r="D479" i="6" s="1"/>
  <c r="E479" i="6"/>
  <c r="F479" i="6" s="1"/>
  <c r="M485" i="2" l="1"/>
  <c r="Q486" i="2" s="1"/>
  <c r="O485" i="2"/>
  <c r="P485" i="2" s="1"/>
  <c r="C480" i="6"/>
  <c r="D480" i="6" s="1"/>
  <c r="E480" i="6"/>
  <c r="F480" i="6" s="1"/>
  <c r="M486" i="2" l="1"/>
  <c r="Q487" i="2" s="1"/>
  <c r="O486" i="2"/>
  <c r="P486" i="2" s="1"/>
  <c r="C481" i="6"/>
  <c r="D481" i="6" s="1"/>
  <c r="E481" i="6"/>
  <c r="F481" i="6" s="1"/>
  <c r="M487" i="2" l="1"/>
  <c r="Q488" i="2" s="1"/>
  <c r="O487" i="2"/>
  <c r="P487" i="2" s="1"/>
  <c r="C482" i="6"/>
  <c r="D482" i="6" s="1"/>
  <c r="E482" i="6"/>
  <c r="F482" i="6" s="1"/>
  <c r="M488" i="2" l="1"/>
  <c r="Q489" i="2" s="1"/>
  <c r="O488" i="2"/>
  <c r="P488" i="2" s="1"/>
  <c r="C483" i="6"/>
  <c r="D483" i="6" s="1"/>
  <c r="E483" i="6"/>
  <c r="F483" i="6" s="1"/>
  <c r="M489" i="2" l="1"/>
  <c r="Q490" i="2" s="1"/>
  <c r="O489" i="2"/>
  <c r="P489" i="2" s="1"/>
  <c r="C484" i="6"/>
  <c r="D484" i="6" s="1"/>
  <c r="E484" i="6"/>
  <c r="F484" i="6" s="1"/>
  <c r="M490" i="2" l="1"/>
  <c r="Q491" i="2" s="1"/>
  <c r="O490" i="2"/>
  <c r="P490" i="2" s="1"/>
  <c r="C485" i="6"/>
  <c r="D485" i="6" s="1"/>
  <c r="E485" i="6"/>
  <c r="F485" i="6" s="1"/>
  <c r="M491" i="2" l="1"/>
  <c r="Q492" i="2" s="1"/>
  <c r="O491" i="2"/>
  <c r="P491" i="2" s="1"/>
  <c r="C486" i="6"/>
  <c r="D486" i="6" s="1"/>
  <c r="E486" i="6"/>
  <c r="F486" i="6" s="1"/>
  <c r="M492" i="2" l="1"/>
  <c r="Q493" i="2" s="1"/>
  <c r="O492" i="2"/>
  <c r="P492" i="2" s="1"/>
  <c r="C487" i="6"/>
  <c r="D487" i="6" s="1"/>
  <c r="E487" i="6"/>
  <c r="F487" i="6" s="1"/>
  <c r="M493" i="2" l="1"/>
  <c r="Q494" i="2" s="1"/>
  <c r="O493" i="2"/>
  <c r="P493" i="2" s="1"/>
  <c r="C488" i="6"/>
  <c r="D488" i="6" s="1"/>
  <c r="E488" i="6"/>
  <c r="F488" i="6" s="1"/>
  <c r="M494" i="2" l="1"/>
  <c r="Q495" i="2" s="1"/>
  <c r="O494" i="2"/>
  <c r="P494" i="2" s="1"/>
  <c r="C489" i="6"/>
  <c r="D489" i="6" s="1"/>
  <c r="E489" i="6"/>
  <c r="F489" i="6" s="1"/>
  <c r="M495" i="2" l="1"/>
  <c r="Q496" i="2" s="1"/>
  <c r="O495" i="2"/>
  <c r="P495" i="2" s="1"/>
  <c r="C490" i="6"/>
  <c r="D490" i="6" s="1"/>
  <c r="E490" i="6"/>
  <c r="F490" i="6" s="1"/>
  <c r="M496" i="2" l="1"/>
  <c r="O496" i="2"/>
  <c r="P496" i="2" s="1"/>
  <c r="C491" i="6"/>
  <c r="D491" i="6" s="1"/>
  <c r="E491" i="6"/>
  <c r="F491" i="6" s="1"/>
  <c r="C492" i="6" l="1"/>
  <c r="D492" i="6" s="1"/>
  <c r="E492" i="6"/>
  <c r="F492" i="6" s="1"/>
  <c r="C493" i="6" l="1"/>
  <c r="D493" i="6" s="1"/>
  <c r="E493" i="6"/>
  <c r="F493" i="6" s="1"/>
  <c r="C494" i="6" l="1"/>
  <c r="D494" i="6" s="1"/>
  <c r="E494" i="6"/>
  <c r="F494" i="6" s="1"/>
  <c r="C495" i="6" l="1"/>
  <c r="D495" i="6" s="1"/>
  <c r="E495" i="6"/>
  <c r="F495" i="6" s="1"/>
  <c r="C496" i="6" l="1"/>
  <c r="D496" i="6" s="1"/>
  <c r="E496" i="6"/>
  <c r="F496" i="6" s="1"/>
  <c r="C497" i="6" l="1"/>
  <c r="D497" i="6" s="1"/>
  <c r="E497" i="6"/>
  <c r="F497" i="6" s="1"/>
  <c r="C498" i="6" l="1"/>
  <c r="D498" i="6" s="1"/>
  <c r="E498" i="6"/>
  <c r="F498" i="6" s="1"/>
  <c r="C499" i="6" l="1"/>
  <c r="D499" i="6" s="1"/>
  <c r="E499" i="6"/>
  <c r="F499" i="6" s="1"/>
  <c r="C500" i="6" l="1"/>
  <c r="D500" i="6" s="1"/>
  <c r="E500" i="6"/>
  <c r="F500" i="6" s="1"/>
  <c r="C501" i="6" l="1"/>
  <c r="D501" i="6" s="1"/>
  <c r="E501" i="6"/>
  <c r="F501" i="6" s="1"/>
  <c r="C502" i="6" l="1"/>
  <c r="D502" i="6" s="1"/>
  <c r="E502" i="6"/>
  <c r="F502" i="6" s="1"/>
  <c r="C503" i="6" l="1"/>
  <c r="D503" i="6" s="1"/>
  <c r="E503" i="6"/>
  <c r="F503" i="6" s="1"/>
  <c r="C504" i="6" l="1"/>
  <c r="D504" i="6" s="1"/>
  <c r="E504" i="6"/>
  <c r="F504" i="6" s="1"/>
  <c r="C505" i="6" l="1"/>
  <c r="D505" i="6" s="1"/>
  <c r="E505" i="6"/>
  <c r="F505" i="6" s="1"/>
  <c r="C506" i="6" l="1"/>
  <c r="D506" i="6" s="1"/>
  <c r="E506" i="6"/>
  <c r="F506" i="6" s="1"/>
  <c r="C507" i="6" l="1"/>
  <c r="D507" i="6" s="1"/>
  <c r="E507" i="6"/>
  <c r="F507" i="6" s="1"/>
  <c r="C508" i="6" l="1"/>
  <c r="D508" i="6" s="1"/>
  <c r="E508" i="6"/>
  <c r="F508" i="6" s="1"/>
  <c r="C509" i="6" l="1"/>
  <c r="D509" i="6" s="1"/>
  <c r="E509" i="6"/>
  <c r="F509" i="6" s="1"/>
  <c r="C510" i="6" l="1"/>
  <c r="D510" i="6" s="1"/>
  <c r="E510" i="6"/>
  <c r="F510" i="6" s="1"/>
  <c r="C511" i="6" l="1"/>
  <c r="D511" i="6" s="1"/>
  <c r="E511" i="6"/>
  <c r="F511" i="6" s="1"/>
  <c r="C512" i="6" l="1"/>
  <c r="D512" i="6" s="1"/>
  <c r="E512" i="6"/>
  <c r="F512" i="6" s="1"/>
  <c r="C513" i="6" l="1"/>
  <c r="D513" i="6" s="1"/>
  <c r="E513" i="6"/>
  <c r="F513" i="6" s="1"/>
  <c r="C514" i="6" l="1"/>
  <c r="D514" i="6" s="1"/>
  <c r="E514" i="6"/>
  <c r="F514" i="6" s="1"/>
  <c r="C515" i="6" l="1"/>
  <c r="D515" i="6" s="1"/>
  <c r="E515" i="6"/>
  <c r="F515" i="6" s="1"/>
  <c r="C516" i="6" l="1"/>
  <c r="D516" i="6" s="1"/>
  <c r="E516" i="6"/>
  <c r="F516" i="6" s="1"/>
  <c r="C517" i="6" l="1"/>
  <c r="D517" i="6" s="1"/>
  <c r="E517" i="6"/>
  <c r="F517" i="6" s="1"/>
  <c r="C518" i="6" l="1"/>
  <c r="D518" i="6" s="1"/>
  <c r="E518" i="6"/>
  <c r="F518" i="6" s="1"/>
  <c r="C519" i="6" l="1"/>
  <c r="D519" i="6" s="1"/>
  <c r="E519" i="6"/>
  <c r="F519" i="6" s="1"/>
  <c r="C520" i="6" l="1"/>
  <c r="D520" i="6" s="1"/>
  <c r="E520" i="6"/>
  <c r="F520" i="6" s="1"/>
  <c r="C521" i="6" l="1"/>
  <c r="D521" i="6" s="1"/>
  <c r="E521" i="6"/>
  <c r="F521" i="6" s="1"/>
  <c r="C522" i="6" l="1"/>
  <c r="D522" i="6" s="1"/>
  <c r="E522" i="6"/>
  <c r="F522" i="6" s="1"/>
  <c r="C523" i="6" l="1"/>
  <c r="D523" i="6" s="1"/>
  <c r="E523" i="6"/>
  <c r="F523" i="6" s="1"/>
  <c r="C524" i="6" l="1"/>
  <c r="D524" i="6" s="1"/>
  <c r="E524" i="6"/>
  <c r="F524" i="6" s="1"/>
  <c r="C525" i="6" l="1"/>
  <c r="D525" i="6" s="1"/>
  <c r="E525" i="6"/>
  <c r="F525" i="6" s="1"/>
  <c r="C526" i="6" l="1"/>
  <c r="D526" i="6" s="1"/>
  <c r="E526" i="6"/>
  <c r="F526" i="6" s="1"/>
  <c r="C527" i="6" l="1"/>
  <c r="D527" i="6" s="1"/>
  <c r="E527" i="6"/>
  <c r="F527" i="6" s="1"/>
  <c r="C528" i="6" l="1"/>
  <c r="D528" i="6" s="1"/>
  <c r="E528" i="6"/>
  <c r="F528" i="6" s="1"/>
  <c r="C529" i="6" l="1"/>
  <c r="D529" i="6" s="1"/>
  <c r="E529" i="6"/>
  <c r="F529" i="6" s="1"/>
  <c r="C530" i="6" l="1"/>
  <c r="D530" i="6" s="1"/>
  <c r="E530" i="6"/>
  <c r="F530" i="6" s="1"/>
  <c r="C531" i="6" l="1"/>
  <c r="D531" i="6" s="1"/>
  <c r="E531" i="6"/>
  <c r="F531" i="6" s="1"/>
  <c r="C532" i="6" l="1"/>
  <c r="D532" i="6" s="1"/>
  <c r="E532" i="6"/>
  <c r="F532" i="6" s="1"/>
  <c r="C533" i="6" l="1"/>
  <c r="D533" i="6" s="1"/>
  <c r="E533" i="6"/>
  <c r="F533" i="6" s="1"/>
  <c r="C534" i="6" l="1"/>
  <c r="D534" i="6" s="1"/>
  <c r="E534" i="6"/>
  <c r="F534" i="6" s="1"/>
  <c r="C535" i="6" l="1"/>
  <c r="D535" i="6" s="1"/>
  <c r="E535" i="6"/>
  <c r="F535" i="6" s="1"/>
  <c r="C536" i="6" l="1"/>
  <c r="D536" i="6" s="1"/>
  <c r="E536" i="6"/>
  <c r="F536" i="6" s="1"/>
  <c r="C537" i="6" l="1"/>
  <c r="D537" i="6" s="1"/>
  <c r="E537" i="6"/>
  <c r="F537" i="6" s="1"/>
  <c r="C538" i="6" l="1"/>
  <c r="D538" i="6" s="1"/>
  <c r="E538" i="6"/>
  <c r="F538" i="6" s="1"/>
  <c r="C539" i="6" l="1"/>
  <c r="D539" i="6" s="1"/>
  <c r="E539" i="6"/>
  <c r="F539" i="6" s="1"/>
  <c r="C540" i="6" l="1"/>
  <c r="D540" i="6" s="1"/>
  <c r="E540" i="6"/>
  <c r="F540" i="6" s="1"/>
  <c r="C541" i="6" l="1"/>
  <c r="D541" i="6" s="1"/>
  <c r="E541" i="6"/>
  <c r="F541" i="6" s="1"/>
  <c r="C542" i="6" l="1"/>
  <c r="D542" i="6" s="1"/>
  <c r="E542" i="6"/>
  <c r="F542" i="6" s="1"/>
  <c r="C543" i="6" l="1"/>
  <c r="D543" i="6" s="1"/>
  <c r="E543" i="6"/>
  <c r="F543" i="6" s="1"/>
  <c r="C544" i="6" l="1"/>
  <c r="D544" i="6" s="1"/>
  <c r="E544" i="6"/>
  <c r="F544" i="6" s="1"/>
  <c r="C545" i="6" l="1"/>
  <c r="D545" i="6" s="1"/>
  <c r="E545" i="6"/>
  <c r="F545" i="6" s="1"/>
  <c r="C546" i="6" l="1"/>
  <c r="D546" i="6" s="1"/>
  <c r="E546" i="6"/>
  <c r="F546" i="6" s="1"/>
  <c r="C547" i="6" l="1"/>
  <c r="D547" i="6" s="1"/>
  <c r="E547" i="6"/>
  <c r="F547" i="6" s="1"/>
  <c r="C548" i="6" l="1"/>
  <c r="D548" i="6" s="1"/>
  <c r="E548" i="6"/>
  <c r="F548" i="6" s="1"/>
  <c r="C549" i="6" l="1"/>
  <c r="D549" i="6" s="1"/>
  <c r="E549" i="6"/>
  <c r="F549" i="6" s="1"/>
  <c r="C550" i="6" l="1"/>
  <c r="D550" i="6" s="1"/>
  <c r="E550" i="6"/>
  <c r="F550" i="6" s="1"/>
  <c r="C551" i="6" l="1"/>
  <c r="D551" i="6" s="1"/>
  <c r="D3" i="6" s="1"/>
  <c r="E551" i="6"/>
  <c r="F551" i="6" s="1"/>
  <c r="N16" i="4" l="1"/>
  <c r="C16" i="4"/>
  <c r="F17" i="4"/>
  <c r="F42" i="4"/>
  <c r="F46" i="4"/>
  <c r="F50" i="4"/>
  <c r="F55" i="4"/>
  <c r="F56" i="4"/>
  <c r="F59" i="4"/>
  <c r="F60" i="4"/>
  <c r="F63" i="4"/>
  <c r="F64" i="4"/>
  <c r="F67" i="4"/>
  <c r="F68" i="4"/>
  <c r="F71" i="4"/>
  <c r="F72" i="4"/>
  <c r="F75" i="4"/>
  <c r="F76" i="4"/>
  <c r="F79" i="4"/>
  <c r="F80" i="4"/>
  <c r="F83" i="4"/>
  <c r="F84" i="4"/>
  <c r="F87" i="4"/>
  <c r="F88" i="4"/>
  <c r="F91" i="4"/>
  <c r="F92" i="4"/>
  <c r="F95" i="4"/>
  <c r="F96" i="4"/>
  <c r="F99" i="4"/>
  <c r="F100" i="4"/>
  <c r="F103" i="4"/>
  <c r="F104" i="4"/>
  <c r="F107" i="4"/>
  <c r="F108" i="4"/>
  <c r="F111" i="4"/>
  <c r="F112" i="4"/>
  <c r="F115" i="4"/>
  <c r="F116" i="4"/>
  <c r="F119" i="4"/>
  <c r="F120" i="4"/>
  <c r="F123" i="4"/>
  <c r="F124" i="4"/>
  <c r="F127" i="4"/>
  <c r="F128" i="4"/>
  <c r="F131" i="4"/>
  <c r="F132" i="4"/>
  <c r="F135" i="4"/>
  <c r="F136" i="4"/>
  <c r="F139" i="4"/>
  <c r="F140" i="4"/>
  <c r="F143" i="4"/>
  <c r="F144" i="4"/>
  <c r="F147" i="4"/>
  <c r="F148" i="4"/>
  <c r="F151" i="4"/>
  <c r="F152" i="4"/>
  <c r="F155" i="4"/>
  <c r="F156" i="4"/>
  <c r="F159" i="4"/>
  <c r="F160" i="4"/>
  <c r="F163" i="4"/>
  <c r="F164" i="4"/>
  <c r="F167" i="4"/>
  <c r="F168" i="4"/>
  <c r="F171" i="4"/>
  <c r="F172" i="4"/>
  <c r="F175" i="4"/>
  <c r="F176" i="4"/>
  <c r="F179" i="4"/>
  <c r="F180" i="4"/>
  <c r="F183" i="4"/>
  <c r="F184" i="4"/>
  <c r="F187" i="4"/>
  <c r="F188" i="4"/>
  <c r="F191" i="4"/>
  <c r="F192" i="4"/>
  <c r="F195" i="4"/>
  <c r="F196" i="4"/>
  <c r="F199" i="4"/>
  <c r="F200" i="4"/>
  <c r="F203" i="4"/>
  <c r="F204" i="4"/>
  <c r="F207" i="4"/>
  <c r="F208" i="4"/>
  <c r="F211" i="4"/>
  <c r="F212" i="4"/>
  <c r="F215" i="4"/>
  <c r="F216" i="4"/>
  <c r="F219" i="4"/>
  <c r="F220" i="4"/>
  <c r="F223" i="4"/>
  <c r="F224" i="4"/>
  <c r="F227" i="4"/>
  <c r="F228" i="4"/>
  <c r="F231" i="4"/>
  <c r="F232" i="4"/>
  <c r="F235" i="4"/>
  <c r="F236" i="4"/>
  <c r="F239" i="4"/>
  <c r="F240" i="4"/>
  <c r="F243" i="4"/>
  <c r="F244" i="4"/>
  <c r="F247" i="4"/>
  <c r="F248" i="4"/>
  <c r="F251" i="4"/>
  <c r="F252" i="4"/>
  <c r="F255" i="4"/>
  <c r="F256" i="4"/>
  <c r="F259" i="4"/>
  <c r="F260" i="4"/>
  <c r="F263" i="4"/>
  <c r="F264" i="4"/>
  <c r="F267" i="4"/>
  <c r="F268" i="4"/>
  <c r="F271" i="4"/>
  <c r="F272" i="4"/>
  <c r="F275" i="4"/>
  <c r="F276" i="4"/>
  <c r="F279" i="4"/>
  <c r="F280" i="4"/>
  <c r="F283" i="4"/>
  <c r="F284" i="4"/>
  <c r="F287" i="4"/>
  <c r="F288" i="4"/>
  <c r="F291" i="4"/>
  <c r="F292" i="4"/>
  <c r="F295" i="4"/>
  <c r="F296" i="4"/>
  <c r="F299" i="4"/>
  <c r="F300" i="4"/>
  <c r="F303" i="4"/>
  <c r="F304" i="4"/>
  <c r="F307" i="4"/>
  <c r="F308" i="4"/>
  <c r="F311" i="4"/>
  <c r="F312" i="4"/>
  <c r="F315" i="4"/>
  <c r="F316" i="4"/>
  <c r="F319" i="4"/>
  <c r="F320" i="4"/>
  <c r="F323" i="4"/>
  <c r="F324" i="4"/>
  <c r="F327" i="4"/>
  <c r="F328" i="4"/>
  <c r="F331" i="4"/>
  <c r="F332" i="4"/>
  <c r="F335" i="4"/>
  <c r="F336" i="4"/>
  <c r="F339" i="4"/>
  <c r="F340" i="4"/>
  <c r="F343" i="4"/>
  <c r="F344" i="4"/>
  <c r="F347" i="4"/>
  <c r="F348" i="4"/>
  <c r="F351" i="4"/>
  <c r="F352" i="4"/>
  <c r="F355" i="4"/>
  <c r="F356" i="4"/>
  <c r="F359" i="4"/>
  <c r="F360" i="4"/>
  <c r="F363" i="4"/>
  <c r="F364" i="4"/>
  <c r="F367" i="4"/>
  <c r="F368" i="4"/>
  <c r="F371" i="4"/>
  <c r="F372" i="4"/>
  <c r="F375" i="4"/>
  <c r="F376" i="4"/>
  <c r="F379" i="4"/>
  <c r="F380" i="4"/>
  <c r="F44" i="4"/>
  <c r="F48" i="4"/>
  <c r="F52" i="4"/>
  <c r="F54" i="4"/>
  <c r="F57" i="4"/>
  <c r="F58" i="4"/>
  <c r="F61" i="4"/>
  <c r="F62" i="4"/>
  <c r="F65" i="4"/>
  <c r="F66" i="4"/>
  <c r="F69" i="4"/>
  <c r="F70" i="4"/>
  <c r="F73" i="4"/>
  <c r="F74" i="4"/>
  <c r="F77" i="4"/>
  <c r="F78" i="4"/>
  <c r="F81" i="4"/>
  <c r="F82" i="4"/>
  <c r="F85" i="4"/>
  <c r="F86" i="4"/>
  <c r="F89" i="4"/>
  <c r="F90" i="4"/>
  <c r="F93" i="4"/>
  <c r="F94" i="4"/>
  <c r="F97" i="4"/>
  <c r="F98" i="4"/>
  <c r="F101" i="4"/>
  <c r="F102" i="4"/>
  <c r="F105" i="4"/>
  <c r="F106" i="4"/>
  <c r="F109" i="4"/>
  <c r="F110" i="4"/>
  <c r="F113" i="4"/>
  <c r="F114" i="4"/>
  <c r="F117" i="4"/>
  <c r="F118" i="4"/>
  <c r="F121" i="4"/>
  <c r="F122" i="4"/>
  <c r="F125" i="4"/>
  <c r="F126" i="4"/>
  <c r="F129" i="4"/>
  <c r="F130" i="4"/>
  <c r="F133" i="4"/>
  <c r="F134" i="4"/>
  <c r="F137" i="4"/>
  <c r="F138" i="4"/>
  <c r="F141" i="4"/>
  <c r="F142" i="4"/>
  <c r="F145" i="4"/>
  <c r="F146" i="4"/>
  <c r="F149" i="4"/>
  <c r="F150" i="4"/>
  <c r="F153" i="4"/>
  <c r="F154" i="4"/>
  <c r="F157" i="4"/>
  <c r="F158" i="4"/>
  <c r="F161" i="4"/>
  <c r="F162" i="4"/>
  <c r="F165" i="4"/>
  <c r="F166" i="4"/>
  <c r="F169" i="4"/>
  <c r="F170" i="4"/>
  <c r="F173" i="4"/>
  <c r="F174" i="4"/>
  <c r="F177" i="4"/>
  <c r="F178" i="4"/>
  <c r="F181" i="4"/>
  <c r="F182" i="4"/>
  <c r="F185" i="4"/>
  <c r="F186" i="4"/>
  <c r="F189" i="4"/>
  <c r="F190" i="4"/>
  <c r="F193" i="4"/>
  <c r="F194" i="4"/>
  <c r="F197" i="4"/>
  <c r="F198" i="4"/>
  <c r="F201" i="4"/>
  <c r="F202" i="4"/>
  <c r="F205" i="4"/>
  <c r="F206" i="4"/>
  <c r="F209" i="4"/>
  <c r="F210" i="4"/>
  <c r="F213" i="4"/>
  <c r="F214" i="4"/>
  <c r="F217" i="4"/>
  <c r="F218" i="4"/>
  <c r="F221" i="4"/>
  <c r="F222" i="4"/>
  <c r="F225" i="4"/>
  <c r="F226" i="4"/>
  <c r="F229" i="4"/>
  <c r="F230" i="4"/>
  <c r="F233" i="4"/>
  <c r="F234" i="4"/>
  <c r="F237" i="4"/>
  <c r="F238" i="4"/>
  <c r="F241" i="4"/>
  <c r="F242" i="4"/>
  <c r="F245" i="4"/>
  <c r="F246" i="4"/>
  <c r="F249" i="4"/>
  <c r="F250" i="4"/>
  <c r="F253" i="4"/>
  <c r="F254" i="4"/>
  <c r="F257" i="4"/>
  <c r="F258" i="4"/>
  <c r="F261" i="4"/>
  <c r="F262" i="4"/>
  <c r="F265" i="4"/>
  <c r="F266" i="4"/>
  <c r="F269" i="4"/>
  <c r="F270" i="4"/>
  <c r="F273" i="4"/>
  <c r="F274" i="4"/>
  <c r="F277" i="4"/>
  <c r="F278" i="4"/>
  <c r="F281" i="4"/>
  <c r="F282" i="4"/>
  <c r="F285" i="4"/>
  <c r="F286" i="4"/>
  <c r="F289" i="4"/>
  <c r="F290" i="4"/>
  <c r="F293" i="4"/>
  <c r="F294" i="4"/>
  <c r="F297" i="4"/>
  <c r="F298" i="4"/>
  <c r="F301" i="4"/>
  <c r="F302" i="4"/>
  <c r="F305" i="4"/>
  <c r="F306" i="4"/>
  <c r="F309" i="4"/>
  <c r="F310" i="4"/>
  <c r="F313" i="4"/>
  <c r="F314" i="4"/>
  <c r="F317" i="4"/>
  <c r="F318" i="4"/>
  <c r="F321" i="4"/>
  <c r="F322" i="4"/>
  <c r="F325" i="4"/>
  <c r="F326" i="4"/>
  <c r="F329" i="4"/>
  <c r="F330" i="4"/>
  <c r="F333" i="4"/>
  <c r="F334" i="4"/>
  <c r="F337" i="4"/>
  <c r="F338" i="4"/>
  <c r="F341" i="4"/>
  <c r="F342" i="4"/>
  <c r="F345" i="4"/>
  <c r="F346" i="4"/>
  <c r="F349" i="4"/>
  <c r="F350" i="4"/>
  <c r="F353" i="4"/>
  <c r="F354" i="4"/>
  <c r="F357" i="4"/>
  <c r="F358" i="4"/>
  <c r="F361" i="4"/>
  <c r="F362" i="4"/>
  <c r="F365" i="4"/>
  <c r="F366" i="4"/>
  <c r="F369" i="4"/>
  <c r="F370" i="4"/>
  <c r="F373" i="4"/>
  <c r="F374" i="4"/>
  <c r="F377" i="4"/>
  <c r="F378" i="4"/>
  <c r="F381" i="4"/>
  <c r="F382" i="4"/>
  <c r="F385" i="4"/>
  <c r="F384" i="4"/>
  <c r="F386" i="4"/>
  <c r="F389" i="4"/>
  <c r="F390" i="4"/>
  <c r="F393" i="4"/>
  <c r="F394" i="4"/>
  <c r="F397" i="4"/>
  <c r="F398" i="4"/>
  <c r="F401" i="4"/>
  <c r="F402" i="4"/>
  <c r="F405" i="4"/>
  <c r="F406" i="4"/>
  <c r="F409" i="4"/>
  <c r="F410" i="4"/>
  <c r="F413" i="4"/>
  <c r="F414" i="4"/>
  <c r="F417" i="4"/>
  <c r="F418" i="4"/>
  <c r="F421" i="4"/>
  <c r="F422" i="4"/>
  <c r="F425" i="4"/>
  <c r="F426" i="4"/>
  <c r="F429" i="4"/>
  <c r="F430" i="4"/>
  <c r="F433" i="4"/>
  <c r="F434" i="4"/>
  <c r="F437" i="4"/>
  <c r="F438" i="4"/>
  <c r="F441" i="4"/>
  <c r="F442" i="4"/>
  <c r="F445" i="4"/>
  <c r="F446" i="4"/>
  <c r="F449" i="4"/>
  <c r="F450" i="4"/>
  <c r="F453" i="4"/>
  <c r="F454" i="4"/>
  <c r="F457" i="4"/>
  <c r="F458" i="4"/>
  <c r="F461" i="4"/>
  <c r="F462" i="4"/>
  <c r="F465" i="4"/>
  <c r="F466" i="4"/>
  <c r="F469" i="4"/>
  <c r="F470" i="4"/>
  <c r="F473" i="4"/>
  <c r="F474" i="4"/>
  <c r="F477" i="4"/>
  <c r="F478" i="4"/>
  <c r="F481" i="4"/>
  <c r="F482" i="4"/>
  <c r="F485" i="4"/>
  <c r="F486" i="4"/>
  <c r="F489" i="4"/>
  <c r="F490" i="4"/>
  <c r="F493" i="4"/>
  <c r="F494" i="4"/>
  <c r="F383" i="4"/>
  <c r="F387" i="4"/>
  <c r="F388" i="4"/>
  <c r="F391" i="4"/>
  <c r="F392" i="4"/>
  <c r="F395" i="4"/>
  <c r="F396" i="4"/>
  <c r="F399" i="4"/>
  <c r="F400" i="4"/>
  <c r="F403" i="4"/>
  <c r="F404" i="4"/>
  <c r="F407" i="4"/>
  <c r="F408" i="4"/>
  <c r="F411" i="4"/>
  <c r="F412" i="4"/>
  <c r="F415" i="4"/>
  <c r="F416" i="4"/>
  <c r="F419" i="4"/>
  <c r="F420" i="4"/>
  <c r="F423" i="4"/>
  <c r="F424" i="4"/>
  <c r="F427" i="4"/>
  <c r="F428" i="4"/>
  <c r="F431" i="4"/>
  <c r="F432" i="4"/>
  <c r="F435" i="4"/>
  <c r="F436" i="4"/>
  <c r="F439" i="4"/>
  <c r="F440" i="4"/>
  <c r="F443" i="4"/>
  <c r="F444" i="4"/>
  <c r="F447" i="4"/>
  <c r="F448" i="4"/>
  <c r="F451" i="4"/>
  <c r="F452" i="4"/>
  <c r="F455" i="4"/>
  <c r="F456" i="4"/>
  <c r="F459" i="4"/>
  <c r="F460" i="4"/>
  <c r="F463" i="4"/>
  <c r="F464" i="4"/>
  <c r="F467" i="4"/>
  <c r="F468" i="4"/>
  <c r="F471" i="4"/>
  <c r="F472" i="4"/>
  <c r="F475" i="4"/>
  <c r="F476" i="4"/>
  <c r="F479" i="4"/>
  <c r="F480" i="4"/>
  <c r="F483" i="4"/>
  <c r="F484" i="4"/>
  <c r="F487" i="4"/>
  <c r="F488" i="4"/>
  <c r="F491" i="4"/>
  <c r="F492" i="4"/>
  <c r="F495" i="4"/>
  <c r="F496" i="4"/>
  <c r="F31" i="4"/>
  <c r="F36" i="4"/>
  <c r="F23" i="4"/>
  <c r="F19" i="4"/>
  <c r="F51" i="4"/>
  <c r="F47" i="4"/>
  <c r="F43" i="4"/>
  <c r="F39" i="4"/>
  <c r="F33" i="4"/>
  <c r="F25" i="4"/>
  <c r="F18" i="4"/>
  <c r="F34" i="4"/>
  <c r="F30" i="4"/>
  <c r="F26" i="4"/>
  <c r="F22" i="4"/>
  <c r="F38" i="4"/>
  <c r="F40" i="4"/>
  <c r="F35" i="4"/>
  <c r="F27" i="4"/>
  <c r="F53" i="4"/>
  <c r="F49" i="4"/>
  <c r="F45" i="4"/>
  <c r="F41" i="4"/>
  <c r="F37" i="4"/>
  <c r="F29" i="4"/>
  <c r="F21" i="4"/>
  <c r="F32" i="4"/>
  <c r="F28" i="4"/>
  <c r="F24" i="4"/>
  <c r="F20" i="4"/>
  <c r="B17" i="4" l="1"/>
  <c r="E17" i="4"/>
  <c r="D17" i="4" s="1"/>
  <c r="C17" i="4" s="1"/>
  <c r="B18" i="4" s="1"/>
  <c r="O53" i="4"/>
  <c r="O57" i="4"/>
  <c r="O61" i="4"/>
  <c r="O65" i="4"/>
  <c r="O69" i="4"/>
  <c r="O73" i="4"/>
  <c r="O77" i="4"/>
  <c r="O81" i="4"/>
  <c r="O85" i="4"/>
  <c r="O89" i="4"/>
  <c r="O93" i="4"/>
  <c r="O97" i="4"/>
  <c r="O101" i="4"/>
  <c r="O105" i="4"/>
  <c r="O109" i="4"/>
  <c r="O113" i="4"/>
  <c r="O117" i="4"/>
  <c r="O121" i="4"/>
  <c r="O125" i="4"/>
  <c r="O129" i="4"/>
  <c r="O133" i="4"/>
  <c r="O137" i="4"/>
  <c r="O141" i="4"/>
  <c r="O145" i="4"/>
  <c r="O149" i="4"/>
  <c r="O153" i="4"/>
  <c r="O157" i="4"/>
  <c r="O161" i="4"/>
  <c r="O165" i="4"/>
  <c r="O169" i="4"/>
  <c r="O173" i="4"/>
  <c r="O177" i="4"/>
  <c r="O181" i="4"/>
  <c r="O185" i="4"/>
  <c r="O189" i="4"/>
  <c r="O193" i="4"/>
  <c r="O197" i="4"/>
  <c r="O201" i="4"/>
  <c r="O205" i="4"/>
  <c r="O209" i="4"/>
  <c r="O213" i="4"/>
  <c r="O217" i="4"/>
  <c r="O221" i="4"/>
  <c r="O225" i="4"/>
  <c r="O229" i="4"/>
  <c r="O233" i="4"/>
  <c r="O237" i="4"/>
  <c r="O241" i="4"/>
  <c r="O245" i="4"/>
  <c r="O249" i="4"/>
  <c r="O253" i="4"/>
  <c r="O257" i="4"/>
  <c r="O261" i="4"/>
  <c r="O265" i="4"/>
  <c r="O269" i="4"/>
  <c r="O273" i="4"/>
  <c r="O277" i="4"/>
  <c r="O281" i="4"/>
  <c r="O285" i="4"/>
  <c r="O289" i="4"/>
  <c r="O293" i="4"/>
  <c r="O297" i="4"/>
  <c r="O301" i="4"/>
  <c r="O305" i="4"/>
  <c r="O309" i="4"/>
  <c r="O313" i="4"/>
  <c r="O317" i="4"/>
  <c r="O321" i="4"/>
  <c r="O325" i="4"/>
  <c r="O329" i="4"/>
  <c r="O333" i="4"/>
  <c r="O337" i="4"/>
  <c r="O341" i="4"/>
  <c r="O345" i="4"/>
  <c r="O349" i="4"/>
  <c r="O353" i="4"/>
  <c r="O357" i="4"/>
  <c r="O361" i="4"/>
  <c r="O365" i="4"/>
  <c r="O369" i="4"/>
  <c r="O373" i="4"/>
  <c r="O377" i="4"/>
  <c r="O381" i="4"/>
  <c r="O35" i="4"/>
  <c r="O55" i="4"/>
  <c r="O59" i="4"/>
  <c r="O63" i="4"/>
  <c r="O67" i="4"/>
  <c r="O71" i="4"/>
  <c r="O75" i="4"/>
  <c r="O79" i="4"/>
  <c r="O83" i="4"/>
  <c r="O87" i="4"/>
  <c r="O91" i="4"/>
  <c r="O95" i="4"/>
  <c r="O99" i="4"/>
  <c r="O103" i="4"/>
  <c r="O107" i="4"/>
  <c r="O111" i="4"/>
  <c r="O115" i="4"/>
  <c r="O119" i="4"/>
  <c r="O123" i="4"/>
  <c r="O127" i="4"/>
  <c r="O131" i="4"/>
  <c r="O135" i="4"/>
  <c r="O139" i="4"/>
  <c r="O143" i="4"/>
  <c r="O147" i="4"/>
  <c r="O151" i="4"/>
  <c r="O155" i="4"/>
  <c r="O159" i="4"/>
  <c r="O163" i="4"/>
  <c r="O167" i="4"/>
  <c r="O171" i="4"/>
  <c r="O175" i="4"/>
  <c r="O179" i="4"/>
  <c r="O183" i="4"/>
  <c r="O187" i="4"/>
  <c r="O191" i="4"/>
  <c r="O195" i="4"/>
  <c r="O199" i="4"/>
  <c r="O203" i="4"/>
  <c r="O207" i="4"/>
  <c r="O211" i="4"/>
  <c r="O215" i="4"/>
  <c r="O219" i="4"/>
  <c r="O223" i="4"/>
  <c r="O227" i="4"/>
  <c r="O231" i="4"/>
  <c r="O235" i="4"/>
  <c r="O239" i="4"/>
  <c r="O243" i="4"/>
  <c r="O247" i="4"/>
  <c r="O251" i="4"/>
  <c r="O255" i="4"/>
  <c r="O259" i="4"/>
  <c r="O263" i="4"/>
  <c r="O267" i="4"/>
  <c r="O271" i="4"/>
  <c r="O275" i="4"/>
  <c r="O279" i="4"/>
  <c r="O283" i="4"/>
  <c r="O287" i="4"/>
  <c r="O291" i="4"/>
  <c r="O295" i="4"/>
  <c r="O299" i="4"/>
  <c r="O303" i="4"/>
  <c r="O307" i="4"/>
  <c r="O311" i="4"/>
  <c r="O315" i="4"/>
  <c r="O319" i="4"/>
  <c r="O323" i="4"/>
  <c r="O327" i="4"/>
  <c r="O331" i="4"/>
  <c r="O335" i="4"/>
  <c r="O339" i="4"/>
  <c r="O343" i="4"/>
  <c r="O347" i="4"/>
  <c r="O351" i="4"/>
  <c r="O355" i="4"/>
  <c r="O359" i="4"/>
  <c r="O363" i="4"/>
  <c r="O367" i="4"/>
  <c r="O371" i="4"/>
  <c r="O375" i="4"/>
  <c r="O379" i="4"/>
  <c r="O383" i="4"/>
  <c r="O387" i="4"/>
  <c r="O391" i="4"/>
  <c r="O395" i="4"/>
  <c r="O399" i="4"/>
  <c r="O403" i="4"/>
  <c r="O407" i="4"/>
  <c r="O411" i="4"/>
  <c r="O415" i="4"/>
  <c r="O419" i="4"/>
  <c r="O423" i="4"/>
  <c r="O427" i="4"/>
  <c r="O431" i="4"/>
  <c r="O435" i="4"/>
  <c r="O439" i="4"/>
  <c r="O443" i="4"/>
  <c r="O447" i="4"/>
  <c r="O451" i="4"/>
  <c r="O455" i="4"/>
  <c r="O459" i="4"/>
  <c r="O463" i="4"/>
  <c r="O467" i="4"/>
  <c r="O471" i="4"/>
  <c r="O475" i="4"/>
  <c r="O479" i="4"/>
  <c r="O483" i="4"/>
  <c r="O487" i="4"/>
  <c r="O491" i="4"/>
  <c r="O495" i="4"/>
  <c r="O385" i="4"/>
  <c r="O389" i="4"/>
  <c r="O393" i="4"/>
  <c r="O397" i="4"/>
  <c r="O401" i="4"/>
  <c r="O405" i="4"/>
  <c r="O409" i="4"/>
  <c r="O413" i="4"/>
  <c r="O417" i="4"/>
  <c r="O421" i="4"/>
  <c r="O425" i="4"/>
  <c r="O429" i="4"/>
  <c r="O433" i="4"/>
  <c r="O437" i="4"/>
  <c r="O441" i="4"/>
  <c r="O445" i="4"/>
  <c r="O449" i="4"/>
  <c r="O453" i="4"/>
  <c r="O457" i="4"/>
  <c r="O461" i="4"/>
  <c r="O465" i="4"/>
  <c r="O469" i="4"/>
  <c r="O473" i="4"/>
  <c r="O477" i="4"/>
  <c r="O481" i="4"/>
  <c r="O485" i="4"/>
  <c r="O489" i="4"/>
  <c r="O493" i="4"/>
  <c r="O20" i="4"/>
  <c r="O24" i="4"/>
  <c r="O28" i="4"/>
  <c r="O32" i="4"/>
  <c r="O36" i="4"/>
  <c r="O40" i="4"/>
  <c r="O44" i="4"/>
  <c r="O48" i="4"/>
  <c r="O52" i="4"/>
  <c r="O56" i="4"/>
  <c r="O60" i="4"/>
  <c r="O64" i="4"/>
  <c r="O68" i="4"/>
  <c r="O72" i="4"/>
  <c r="O76" i="4"/>
  <c r="O80" i="4"/>
  <c r="O84" i="4"/>
  <c r="O88" i="4"/>
  <c r="O92" i="4"/>
  <c r="O96" i="4"/>
  <c r="O100" i="4"/>
  <c r="O104" i="4"/>
  <c r="O108" i="4"/>
  <c r="O112" i="4"/>
  <c r="O116" i="4"/>
  <c r="O120" i="4"/>
  <c r="O124" i="4"/>
  <c r="O128" i="4"/>
  <c r="O132" i="4"/>
  <c r="O136" i="4"/>
  <c r="O140" i="4"/>
  <c r="O144" i="4"/>
  <c r="O148" i="4"/>
  <c r="O152" i="4"/>
  <c r="O156" i="4"/>
  <c r="O160" i="4"/>
  <c r="O164" i="4"/>
  <c r="O168" i="4"/>
  <c r="O172" i="4"/>
  <c r="O176" i="4"/>
  <c r="O180" i="4"/>
  <c r="O184" i="4"/>
  <c r="O188" i="4"/>
  <c r="O192" i="4"/>
  <c r="O196" i="4"/>
  <c r="O200" i="4"/>
  <c r="O204" i="4"/>
  <c r="O208" i="4"/>
  <c r="O212" i="4"/>
  <c r="O216" i="4"/>
  <c r="O220" i="4"/>
  <c r="O224" i="4"/>
  <c r="O228" i="4"/>
  <c r="O232" i="4"/>
  <c r="O236" i="4"/>
  <c r="O240" i="4"/>
  <c r="O244" i="4"/>
  <c r="O248" i="4"/>
  <c r="O252" i="4"/>
  <c r="O256" i="4"/>
  <c r="O260" i="4"/>
  <c r="O264" i="4"/>
  <c r="O268" i="4"/>
  <c r="O272" i="4"/>
  <c r="O276" i="4"/>
  <c r="O280" i="4"/>
  <c r="O284" i="4"/>
  <c r="O288" i="4"/>
  <c r="O292" i="4"/>
  <c r="O296" i="4"/>
  <c r="O300" i="4"/>
  <c r="O304" i="4"/>
  <c r="O308" i="4"/>
  <c r="O312" i="4"/>
  <c r="O316" i="4"/>
  <c r="O320" i="4"/>
  <c r="O324" i="4"/>
  <c r="O328" i="4"/>
  <c r="O332" i="4"/>
  <c r="O336" i="4"/>
  <c r="O340" i="4"/>
  <c r="O344" i="4"/>
  <c r="O348" i="4"/>
  <c r="O352" i="4"/>
  <c r="O356" i="4"/>
  <c r="O360" i="4"/>
  <c r="O364" i="4"/>
  <c r="O368" i="4"/>
  <c r="O372" i="4"/>
  <c r="O376" i="4"/>
  <c r="O380" i="4"/>
  <c r="O384" i="4"/>
  <c r="O388" i="4"/>
  <c r="O392" i="4"/>
  <c r="O396" i="4"/>
  <c r="O400" i="4"/>
  <c r="O404" i="4"/>
  <c r="O408" i="4"/>
  <c r="O412" i="4"/>
  <c r="O416" i="4"/>
  <c r="O420" i="4"/>
  <c r="O424" i="4"/>
  <c r="O428" i="4"/>
  <c r="O432" i="4"/>
  <c r="O436" i="4"/>
  <c r="O440" i="4"/>
  <c r="O444" i="4"/>
  <c r="O448" i="4"/>
  <c r="O452" i="4"/>
  <c r="O456" i="4"/>
  <c r="O460" i="4"/>
  <c r="O464" i="4"/>
  <c r="O468" i="4"/>
  <c r="O472" i="4"/>
  <c r="O476" i="4"/>
  <c r="O480" i="4"/>
  <c r="O484" i="4"/>
  <c r="O488" i="4"/>
  <c r="O492" i="4"/>
  <c r="O496" i="4"/>
  <c r="O21" i="4"/>
  <c r="O25" i="4"/>
  <c r="O29" i="4"/>
  <c r="O33" i="4"/>
  <c r="O39" i="4"/>
  <c r="O43" i="4"/>
  <c r="O47" i="4"/>
  <c r="O51" i="4"/>
  <c r="P17" i="4"/>
  <c r="O18" i="4"/>
  <c r="O22" i="4"/>
  <c r="O26" i="4"/>
  <c r="O30" i="4"/>
  <c r="O34" i="4"/>
  <c r="O38" i="4"/>
  <c r="O42" i="4"/>
  <c r="O46" i="4"/>
  <c r="O50" i="4"/>
  <c r="O54" i="4"/>
  <c r="O58" i="4"/>
  <c r="O62" i="4"/>
  <c r="O66" i="4"/>
  <c r="O70" i="4"/>
  <c r="O74" i="4"/>
  <c r="O78" i="4"/>
  <c r="O82" i="4"/>
  <c r="O86" i="4"/>
  <c r="O90" i="4"/>
  <c r="O94" i="4"/>
  <c r="O98" i="4"/>
  <c r="O102" i="4"/>
  <c r="O106" i="4"/>
  <c r="O110" i="4"/>
  <c r="O114" i="4"/>
  <c r="O118" i="4"/>
  <c r="O122" i="4"/>
  <c r="O126" i="4"/>
  <c r="O130" i="4"/>
  <c r="O134" i="4"/>
  <c r="O138" i="4"/>
  <c r="O142" i="4"/>
  <c r="O146" i="4"/>
  <c r="O150" i="4"/>
  <c r="O154" i="4"/>
  <c r="O158" i="4"/>
  <c r="O162" i="4"/>
  <c r="O166" i="4"/>
  <c r="O170" i="4"/>
  <c r="O174" i="4"/>
  <c r="O178" i="4"/>
  <c r="O182" i="4"/>
  <c r="O186" i="4"/>
  <c r="O190" i="4"/>
  <c r="O194" i="4"/>
  <c r="O198" i="4"/>
  <c r="O202" i="4"/>
  <c r="O206" i="4"/>
  <c r="O210" i="4"/>
  <c r="O214" i="4"/>
  <c r="O218" i="4"/>
  <c r="O222" i="4"/>
  <c r="O226" i="4"/>
  <c r="O230" i="4"/>
  <c r="O234" i="4"/>
  <c r="O238" i="4"/>
  <c r="O242" i="4"/>
  <c r="O246" i="4"/>
  <c r="O250" i="4"/>
  <c r="O254" i="4"/>
  <c r="O258" i="4"/>
  <c r="O262" i="4"/>
  <c r="O266" i="4"/>
  <c r="O270" i="4"/>
  <c r="O274" i="4"/>
  <c r="O278" i="4"/>
  <c r="O282" i="4"/>
  <c r="O286" i="4"/>
  <c r="O290" i="4"/>
  <c r="O294" i="4"/>
  <c r="O298" i="4"/>
  <c r="O302" i="4"/>
  <c r="O306" i="4"/>
  <c r="O310" i="4"/>
  <c r="O314" i="4"/>
  <c r="O318" i="4"/>
  <c r="O322" i="4"/>
  <c r="O326" i="4"/>
  <c r="O330" i="4"/>
  <c r="O334" i="4"/>
  <c r="O338" i="4"/>
  <c r="O342" i="4"/>
  <c r="O346" i="4"/>
  <c r="O350" i="4"/>
  <c r="O354" i="4"/>
  <c r="O358" i="4"/>
  <c r="O362" i="4"/>
  <c r="O366" i="4"/>
  <c r="O370" i="4"/>
  <c r="O374" i="4"/>
  <c r="O378" i="4"/>
  <c r="O382" i="4"/>
  <c r="O386" i="4"/>
  <c r="O390" i="4"/>
  <c r="O394" i="4"/>
  <c r="O398" i="4"/>
  <c r="O402" i="4"/>
  <c r="O406" i="4"/>
  <c r="O410" i="4"/>
  <c r="O414" i="4"/>
  <c r="O418" i="4"/>
  <c r="O422" i="4"/>
  <c r="O426" i="4"/>
  <c r="O430" i="4"/>
  <c r="O434" i="4"/>
  <c r="O438" i="4"/>
  <c r="O442" i="4"/>
  <c r="O446" i="4"/>
  <c r="O450" i="4"/>
  <c r="O454" i="4"/>
  <c r="O458" i="4"/>
  <c r="O462" i="4"/>
  <c r="O466" i="4"/>
  <c r="O470" i="4"/>
  <c r="O474" i="4"/>
  <c r="O478" i="4"/>
  <c r="O482" i="4"/>
  <c r="O486" i="4"/>
  <c r="O490" i="4"/>
  <c r="O494" i="4"/>
  <c r="O19" i="4"/>
  <c r="O23" i="4"/>
  <c r="O27" i="4"/>
  <c r="O31" i="4"/>
  <c r="O37" i="4"/>
  <c r="O41" i="4"/>
  <c r="O45" i="4"/>
  <c r="O49" i="4"/>
  <c r="O17" i="4"/>
  <c r="N17" i="4" s="1"/>
  <c r="Q17" i="4" l="1"/>
  <c r="M17" i="4" s="1"/>
  <c r="E18" i="4"/>
  <c r="D18" i="4" s="1"/>
  <c r="C18" i="4" s="1"/>
  <c r="B19" i="4" s="1"/>
  <c r="N18" i="4"/>
  <c r="P18" i="4"/>
  <c r="Q18" i="4" s="1"/>
  <c r="M18" i="4" s="1"/>
  <c r="P19" i="4" l="1"/>
  <c r="Q19" i="4" s="1"/>
  <c r="M19" i="4" s="1"/>
  <c r="N19" i="4"/>
  <c r="E19" i="4"/>
  <c r="D19" i="4" s="1"/>
  <c r="C19" i="4" s="1"/>
  <c r="B20" i="4" s="1"/>
  <c r="P20" i="4" l="1"/>
  <c r="Q20" i="4" s="1"/>
  <c r="M20" i="4" s="1"/>
  <c r="N20" i="4"/>
  <c r="E20" i="4"/>
  <c r="D20" i="4" s="1"/>
  <c r="C20" i="4" s="1"/>
  <c r="B21" i="4" s="1"/>
  <c r="E21" i="4" l="1"/>
  <c r="D21" i="4" s="1"/>
  <c r="C21" i="4" s="1"/>
  <c r="B22" i="4" s="1"/>
  <c r="N21" i="4"/>
  <c r="P21" i="4"/>
  <c r="Q21" i="4" s="1"/>
  <c r="M21" i="4" s="1"/>
  <c r="N22" i="4" l="1"/>
  <c r="P22" i="4"/>
  <c r="Q22" i="4" s="1"/>
  <c r="M22" i="4" s="1"/>
  <c r="E22" i="4"/>
  <c r="D22" i="4" s="1"/>
  <c r="C22" i="4" s="1"/>
  <c r="B23" i="4" s="1"/>
  <c r="N23" i="4" l="1"/>
  <c r="P23" i="4"/>
  <c r="Q23" i="4" s="1"/>
  <c r="M23" i="4" s="1"/>
  <c r="E23" i="4"/>
  <c r="D23" i="4" s="1"/>
  <c r="C23" i="4" s="1"/>
  <c r="B24" i="4" s="1"/>
  <c r="E24" i="4" l="1"/>
  <c r="D24" i="4" s="1"/>
  <c r="C24" i="4" s="1"/>
  <c r="B25" i="4" s="1"/>
  <c r="N24" i="4"/>
  <c r="P24" i="4"/>
  <c r="Q24" i="4" s="1"/>
  <c r="M24" i="4" s="1"/>
  <c r="E25" i="4" l="1"/>
  <c r="D25" i="4" s="1"/>
  <c r="C25" i="4" s="1"/>
  <c r="B26" i="4" s="1"/>
  <c r="N25" i="4"/>
  <c r="P25" i="4"/>
  <c r="Q25" i="4" s="1"/>
  <c r="M25" i="4" s="1"/>
  <c r="N26" i="4" l="1"/>
  <c r="P26" i="4"/>
  <c r="Q26" i="4" s="1"/>
  <c r="M26" i="4" s="1"/>
  <c r="E26" i="4"/>
  <c r="D26" i="4" s="1"/>
  <c r="C26" i="4" s="1"/>
  <c r="B27" i="4" s="1"/>
  <c r="N27" i="4" l="1"/>
  <c r="P27" i="4"/>
  <c r="Q27" i="4" s="1"/>
  <c r="M27" i="4" s="1"/>
  <c r="E27" i="4"/>
  <c r="D27" i="4" s="1"/>
  <c r="C27" i="4" s="1"/>
  <c r="B28" i="4" s="1"/>
  <c r="E28" i="4" l="1"/>
  <c r="D28" i="4" s="1"/>
  <c r="C28" i="4" s="1"/>
  <c r="B29" i="4" s="1"/>
  <c r="N28" i="4"/>
  <c r="P28" i="4"/>
  <c r="Q28" i="4" s="1"/>
  <c r="M28" i="4" s="1"/>
  <c r="E29" i="4" l="1"/>
  <c r="D29" i="4" s="1"/>
  <c r="C29" i="4" s="1"/>
  <c r="B30" i="4" s="1"/>
  <c r="N29" i="4"/>
  <c r="P29" i="4"/>
  <c r="Q29" i="4" s="1"/>
  <c r="M29" i="4" s="1"/>
  <c r="N30" i="4" l="1"/>
  <c r="P30" i="4"/>
  <c r="Q30" i="4" s="1"/>
  <c r="M30" i="4" s="1"/>
  <c r="E30" i="4"/>
  <c r="D30" i="4" s="1"/>
  <c r="C30" i="4" s="1"/>
  <c r="B31" i="4" s="1"/>
  <c r="N31" i="4" l="1"/>
  <c r="P31" i="4"/>
  <c r="Q31" i="4" s="1"/>
  <c r="M31" i="4" s="1"/>
  <c r="E31" i="4"/>
  <c r="D31" i="4" s="1"/>
  <c r="C31" i="4" s="1"/>
  <c r="B32" i="4" s="1"/>
  <c r="E32" i="4" l="1"/>
  <c r="D32" i="4" s="1"/>
  <c r="C32" i="4" s="1"/>
  <c r="B33" i="4" s="1"/>
  <c r="N32" i="4"/>
  <c r="P32" i="4"/>
  <c r="Q32" i="4" s="1"/>
  <c r="M32" i="4" s="1"/>
  <c r="E33" i="4" l="1"/>
  <c r="D33" i="4" s="1"/>
  <c r="C33" i="4" s="1"/>
  <c r="B34" i="4" s="1"/>
  <c r="N33" i="4"/>
  <c r="P33" i="4"/>
  <c r="Q33" i="4" s="1"/>
  <c r="M33" i="4" s="1"/>
  <c r="N34" i="4" l="1"/>
  <c r="P34" i="4"/>
  <c r="Q34" i="4" s="1"/>
  <c r="M34" i="4" s="1"/>
  <c r="E34" i="4"/>
  <c r="D34" i="4" s="1"/>
  <c r="C34" i="4" s="1"/>
  <c r="B35" i="4" s="1"/>
  <c r="N35" i="4" l="1"/>
  <c r="P35" i="4"/>
  <c r="Q35" i="4" s="1"/>
  <c r="M35" i="4" s="1"/>
  <c r="E35" i="4"/>
  <c r="D35" i="4" s="1"/>
  <c r="C35" i="4" s="1"/>
  <c r="B36" i="4" s="1"/>
  <c r="N36" i="4" l="1"/>
  <c r="P36" i="4"/>
  <c r="Q36" i="4" s="1"/>
  <c r="M36" i="4" s="1"/>
  <c r="E36" i="4"/>
  <c r="D36" i="4" s="1"/>
  <c r="C36" i="4" s="1"/>
  <c r="B37" i="4" s="1"/>
  <c r="N37" i="4" l="1"/>
  <c r="P37" i="4"/>
  <c r="Q37" i="4" s="1"/>
  <c r="M37" i="4" s="1"/>
  <c r="E37" i="4"/>
  <c r="D37" i="4" s="1"/>
  <c r="C37" i="4" s="1"/>
  <c r="B38" i="4" s="1"/>
  <c r="E38" i="4" l="1"/>
  <c r="D38" i="4" s="1"/>
  <c r="C38" i="4" s="1"/>
  <c r="B39" i="4" s="1"/>
  <c r="N38" i="4"/>
  <c r="P38" i="4"/>
  <c r="Q38" i="4" s="1"/>
  <c r="M38" i="4" s="1"/>
  <c r="E39" i="4" l="1"/>
  <c r="D39" i="4" s="1"/>
  <c r="C39" i="4" s="1"/>
  <c r="B40" i="4" s="1"/>
  <c r="N39" i="4"/>
  <c r="P39" i="4"/>
  <c r="Q39" i="4" s="1"/>
  <c r="M39" i="4" s="1"/>
  <c r="N40" i="4" l="1"/>
  <c r="P40" i="4"/>
  <c r="Q40" i="4" s="1"/>
  <c r="M40" i="4" s="1"/>
  <c r="E40" i="4"/>
  <c r="D40" i="4" s="1"/>
  <c r="C40" i="4" s="1"/>
  <c r="G41" i="4" l="1"/>
  <c r="B41" i="4"/>
  <c r="P41" i="4"/>
  <c r="Q41" i="4" s="1"/>
  <c r="M41" i="4" s="1"/>
  <c r="N41" i="4"/>
  <c r="E41" i="4"/>
  <c r="D41" i="4" s="1"/>
  <c r="C41" i="4" s="1"/>
  <c r="G42" i="4" l="1"/>
  <c r="B42" i="4"/>
  <c r="E42" i="4"/>
  <c r="D42" i="4" s="1"/>
  <c r="C42" i="4" s="1"/>
  <c r="N42" i="4"/>
  <c r="P42" i="4"/>
  <c r="Q42" i="4" s="1"/>
  <c r="M42" i="4" s="1"/>
  <c r="G43" i="4" l="1"/>
  <c r="B43" i="4"/>
  <c r="N43" i="4"/>
  <c r="P43" i="4"/>
  <c r="Q43" i="4" s="1"/>
  <c r="M43" i="4" s="1"/>
  <c r="E43" i="4"/>
  <c r="D43" i="4" s="1"/>
  <c r="C43" i="4" s="1"/>
  <c r="G44" i="4" l="1"/>
  <c r="B44" i="4" s="1"/>
  <c r="E44" i="4"/>
  <c r="D44" i="4" s="1"/>
  <c r="C44" i="4" s="1"/>
  <c r="P44" i="4"/>
  <c r="Q44" i="4" s="1"/>
  <c r="M44" i="4" s="1"/>
  <c r="N44" i="4"/>
  <c r="G45" i="4" l="1"/>
  <c r="B45" i="4"/>
  <c r="N45" i="4"/>
  <c r="P45" i="4"/>
  <c r="Q45" i="4" s="1"/>
  <c r="M45" i="4" s="1"/>
  <c r="E45" i="4"/>
  <c r="D45" i="4" s="1"/>
  <c r="C45" i="4" s="1"/>
  <c r="G46" i="4" l="1"/>
  <c r="B46" i="4" s="1"/>
  <c r="E46" i="4"/>
  <c r="D46" i="4" s="1"/>
  <c r="C46" i="4" s="1"/>
  <c r="N46" i="4"/>
  <c r="P46" i="4"/>
  <c r="Q46" i="4" s="1"/>
  <c r="M46" i="4" s="1"/>
  <c r="G47" i="4" l="1"/>
  <c r="B47" i="4"/>
  <c r="N47" i="4"/>
  <c r="P47" i="4"/>
  <c r="Q47" i="4" s="1"/>
  <c r="M47" i="4" s="1"/>
  <c r="E47" i="4"/>
  <c r="D47" i="4" s="1"/>
  <c r="C47" i="4" s="1"/>
  <c r="G48" i="4" l="1"/>
  <c r="B48" i="4" s="1"/>
  <c r="E48" i="4"/>
  <c r="D48" i="4" s="1"/>
  <c r="C48" i="4" s="1"/>
  <c r="N48" i="4"/>
  <c r="P48" i="4"/>
  <c r="Q48" i="4" s="1"/>
  <c r="M48" i="4" s="1"/>
  <c r="G49" i="4" l="1"/>
  <c r="B49" i="4" s="1"/>
  <c r="N49" i="4"/>
  <c r="P49" i="4"/>
  <c r="Q49" i="4" s="1"/>
  <c r="M49" i="4" s="1"/>
  <c r="E49" i="4"/>
  <c r="D49" i="4" s="1"/>
  <c r="C49" i="4" s="1"/>
  <c r="G50" i="4" l="1"/>
  <c r="B50" i="4" s="1"/>
  <c r="E50" i="4"/>
  <c r="D50" i="4" s="1"/>
  <c r="C50" i="4" s="1"/>
  <c r="P50" i="4"/>
  <c r="Q50" i="4" s="1"/>
  <c r="M50" i="4" s="1"/>
  <c r="N50" i="4"/>
  <c r="G51" i="4" l="1"/>
  <c r="B51" i="4" s="1"/>
  <c r="E51" i="4"/>
  <c r="D51" i="4" s="1"/>
  <c r="C51" i="4" s="1"/>
  <c r="N51" i="4"/>
  <c r="P51" i="4"/>
  <c r="Q51" i="4" s="1"/>
  <c r="M51" i="4" s="1"/>
  <c r="G52" i="4" l="1"/>
  <c r="B52" i="4"/>
  <c r="N52" i="4"/>
  <c r="P52" i="4"/>
  <c r="Q52" i="4" s="1"/>
  <c r="M52" i="4" s="1"/>
  <c r="E52" i="4"/>
  <c r="D52" i="4" s="1"/>
  <c r="C52" i="4" s="1"/>
  <c r="G53" i="4" l="1"/>
  <c r="B53" i="4"/>
  <c r="E53" i="4"/>
  <c r="D53" i="4" s="1"/>
  <c r="C53" i="4" s="1"/>
  <c r="N53" i="4"/>
  <c r="P53" i="4"/>
  <c r="Q53" i="4" s="1"/>
  <c r="M53" i="4" s="1"/>
  <c r="G54" i="4" l="1"/>
  <c r="B54" i="4"/>
  <c r="P54" i="4"/>
  <c r="Q54" i="4" s="1"/>
  <c r="M54" i="4" s="1"/>
  <c r="N54" i="4"/>
  <c r="E54" i="4"/>
  <c r="D54" i="4" s="1"/>
  <c r="C54" i="4" s="1"/>
  <c r="G55" i="4" l="1"/>
  <c r="B55" i="4"/>
  <c r="N55" i="4"/>
  <c r="P55" i="4"/>
  <c r="Q55" i="4" s="1"/>
  <c r="M55" i="4" s="1"/>
  <c r="E55" i="4"/>
  <c r="D55" i="4" s="1"/>
  <c r="C55" i="4" s="1"/>
  <c r="G56" i="4" l="1"/>
  <c r="B56" i="4" s="1"/>
  <c r="E56" i="4"/>
  <c r="D56" i="4" s="1"/>
  <c r="C56" i="4" s="1"/>
  <c r="N56" i="4"/>
  <c r="P56" i="4"/>
  <c r="Q56" i="4" s="1"/>
  <c r="M56" i="4" s="1"/>
  <c r="G57" i="4" l="1"/>
  <c r="B57" i="4" s="1"/>
  <c r="N57" i="4"/>
  <c r="P57" i="4"/>
  <c r="Q57" i="4" s="1"/>
  <c r="M57" i="4" s="1"/>
  <c r="E57" i="4"/>
  <c r="D57" i="4" s="1"/>
  <c r="C57" i="4" s="1"/>
  <c r="G58" i="4" l="1"/>
  <c r="B58" i="4"/>
  <c r="E58" i="4"/>
  <c r="D58" i="4" s="1"/>
  <c r="C58" i="4" s="1"/>
  <c r="N58" i="4"/>
  <c r="P58" i="4"/>
  <c r="Q58" i="4" s="1"/>
  <c r="M58" i="4" s="1"/>
  <c r="G59" i="4" l="1"/>
  <c r="B59" i="4"/>
  <c r="P59" i="4"/>
  <c r="Q59" i="4" s="1"/>
  <c r="M59" i="4" s="1"/>
  <c r="N59" i="4"/>
  <c r="E59" i="4"/>
  <c r="D59" i="4" s="1"/>
  <c r="C59" i="4" s="1"/>
  <c r="G60" i="4" l="1"/>
  <c r="B60" i="4"/>
  <c r="E60" i="4"/>
  <c r="D60" i="4" s="1"/>
  <c r="C60" i="4" s="1"/>
  <c r="N60" i="4"/>
  <c r="P60" i="4"/>
  <c r="Q60" i="4" s="1"/>
  <c r="M60" i="4" s="1"/>
  <c r="G61" i="4" l="1"/>
  <c r="B61" i="4"/>
  <c r="N61" i="4"/>
  <c r="P61" i="4"/>
  <c r="Q61" i="4" s="1"/>
  <c r="M61" i="4" s="1"/>
  <c r="E61" i="4"/>
  <c r="D61" i="4" s="1"/>
  <c r="C61" i="4" s="1"/>
  <c r="G62" i="4" l="1"/>
  <c r="B62" i="4" s="1"/>
  <c r="E62" i="4"/>
  <c r="D62" i="4" s="1"/>
  <c r="C62" i="4" s="1"/>
  <c r="N62" i="4"/>
  <c r="P62" i="4"/>
  <c r="Q62" i="4" s="1"/>
  <c r="M62" i="4" s="1"/>
  <c r="G63" i="4" l="1"/>
  <c r="B63" i="4"/>
  <c r="N63" i="4"/>
  <c r="P63" i="4"/>
  <c r="Q63" i="4" s="1"/>
  <c r="M63" i="4" s="1"/>
  <c r="E63" i="4"/>
  <c r="D63" i="4" s="1"/>
  <c r="C63" i="4" s="1"/>
  <c r="G64" i="4" l="1"/>
  <c r="B64" i="4" s="1"/>
  <c r="E64" i="4"/>
  <c r="D64" i="4" s="1"/>
  <c r="C64" i="4" s="1"/>
  <c r="N64" i="4"/>
  <c r="P64" i="4"/>
  <c r="Q64" i="4" s="1"/>
  <c r="M64" i="4" s="1"/>
  <c r="G65" i="4" l="1"/>
  <c r="B65" i="4" s="1"/>
  <c r="N65" i="4"/>
  <c r="P65" i="4"/>
  <c r="Q65" i="4" s="1"/>
  <c r="M65" i="4" s="1"/>
  <c r="E65" i="4"/>
  <c r="D65" i="4" s="1"/>
  <c r="C65" i="4" s="1"/>
  <c r="G66" i="4" l="1"/>
  <c r="B66" i="4"/>
  <c r="E66" i="4"/>
  <c r="D66" i="4" s="1"/>
  <c r="C66" i="4" s="1"/>
  <c r="N66" i="4"/>
  <c r="P66" i="4"/>
  <c r="Q66" i="4" s="1"/>
  <c r="M66" i="4" s="1"/>
  <c r="G67" i="4" l="1"/>
  <c r="B67" i="4"/>
  <c r="N67" i="4"/>
  <c r="P67" i="4"/>
  <c r="Q67" i="4" s="1"/>
  <c r="M67" i="4" s="1"/>
  <c r="E67" i="4"/>
  <c r="D67" i="4" s="1"/>
  <c r="C67" i="4" s="1"/>
  <c r="G68" i="4" l="1"/>
  <c r="B68" i="4"/>
  <c r="E68" i="4"/>
  <c r="D68" i="4" s="1"/>
  <c r="C68" i="4" s="1"/>
  <c r="N68" i="4"/>
  <c r="P68" i="4"/>
  <c r="Q68" i="4" s="1"/>
  <c r="M68" i="4" s="1"/>
  <c r="G69" i="4" l="1"/>
  <c r="B69" i="4"/>
  <c r="E69" i="4"/>
  <c r="D69" i="4" s="1"/>
  <c r="C69" i="4" s="1"/>
  <c r="N69" i="4"/>
  <c r="P69" i="4"/>
  <c r="Q69" i="4" s="1"/>
  <c r="M69" i="4" s="1"/>
  <c r="G70" i="4" l="1"/>
  <c r="B70" i="4"/>
  <c r="N70" i="4"/>
  <c r="P70" i="4"/>
  <c r="Q70" i="4" s="1"/>
  <c r="M70" i="4" s="1"/>
  <c r="E70" i="4"/>
  <c r="D70" i="4" s="1"/>
  <c r="C70" i="4" s="1"/>
  <c r="G71" i="4" l="1"/>
  <c r="B71" i="4"/>
  <c r="E71" i="4"/>
  <c r="D71" i="4" s="1"/>
  <c r="C71" i="4" s="1"/>
  <c r="N71" i="4"/>
  <c r="P71" i="4"/>
  <c r="Q71" i="4" s="1"/>
  <c r="M71" i="4" s="1"/>
  <c r="G72" i="4" l="1"/>
  <c r="B72" i="4" s="1"/>
  <c r="N72" i="4"/>
  <c r="P72" i="4"/>
  <c r="Q72" i="4" s="1"/>
  <c r="M72" i="4" s="1"/>
  <c r="E72" i="4"/>
  <c r="D72" i="4" s="1"/>
  <c r="C72" i="4" s="1"/>
  <c r="G73" i="4" l="1"/>
  <c r="B73" i="4" s="1"/>
  <c r="E73" i="4"/>
  <c r="D73" i="4" s="1"/>
  <c r="C73" i="4" s="1"/>
  <c r="N73" i="4"/>
  <c r="P73" i="4"/>
  <c r="Q73" i="4" s="1"/>
  <c r="M73" i="4" s="1"/>
  <c r="G74" i="4" l="1"/>
  <c r="B74" i="4" s="1"/>
  <c r="N74" i="4"/>
  <c r="P74" i="4"/>
  <c r="Q74" i="4" s="1"/>
  <c r="M74" i="4" s="1"/>
  <c r="E74" i="4"/>
  <c r="D74" i="4" s="1"/>
  <c r="C74" i="4" s="1"/>
  <c r="G75" i="4" l="1"/>
  <c r="B75" i="4"/>
  <c r="E75" i="4"/>
  <c r="D75" i="4" s="1"/>
  <c r="C75" i="4" s="1"/>
  <c r="N75" i="4"/>
  <c r="P75" i="4"/>
  <c r="Q75" i="4" s="1"/>
  <c r="M75" i="4" s="1"/>
  <c r="G76" i="4" l="1"/>
  <c r="B76" i="4"/>
  <c r="N76" i="4"/>
  <c r="P76" i="4"/>
  <c r="Q76" i="4" s="1"/>
  <c r="M76" i="4" s="1"/>
  <c r="E76" i="4"/>
  <c r="D76" i="4" s="1"/>
  <c r="C76" i="4" s="1"/>
  <c r="G77" i="4" l="1"/>
  <c r="B77" i="4"/>
  <c r="E77" i="4"/>
  <c r="D77" i="4" s="1"/>
  <c r="C77" i="4" s="1"/>
  <c r="N77" i="4"/>
  <c r="P77" i="4"/>
  <c r="Q77" i="4" s="1"/>
  <c r="M77" i="4" s="1"/>
  <c r="G78" i="4" l="1"/>
  <c r="B78" i="4"/>
  <c r="N78" i="4"/>
  <c r="P78" i="4"/>
  <c r="Q78" i="4" s="1"/>
  <c r="M78" i="4" s="1"/>
  <c r="E78" i="4"/>
  <c r="D78" i="4" s="1"/>
  <c r="C78" i="4" s="1"/>
  <c r="G79" i="4" l="1"/>
  <c r="B79" i="4"/>
  <c r="E79" i="4"/>
  <c r="D79" i="4" s="1"/>
  <c r="C79" i="4" s="1"/>
  <c r="N79" i="4"/>
  <c r="P79" i="4"/>
  <c r="Q79" i="4" s="1"/>
  <c r="M79" i="4" s="1"/>
  <c r="G80" i="4" l="1"/>
  <c r="B80" i="4" s="1"/>
  <c r="E80" i="4"/>
  <c r="D80" i="4" s="1"/>
  <c r="C80" i="4" s="1"/>
  <c r="N80" i="4"/>
  <c r="P80" i="4"/>
  <c r="Q80" i="4" s="1"/>
  <c r="M80" i="4" s="1"/>
  <c r="G81" i="4" l="1"/>
  <c r="B81" i="4" s="1"/>
  <c r="N81" i="4"/>
  <c r="P81" i="4"/>
  <c r="Q81" i="4" s="1"/>
  <c r="M81" i="4" s="1"/>
  <c r="E81" i="4"/>
  <c r="D81" i="4" s="1"/>
  <c r="C81" i="4" s="1"/>
  <c r="G82" i="4" l="1"/>
  <c r="B82" i="4"/>
  <c r="E82" i="4"/>
  <c r="D82" i="4" s="1"/>
  <c r="C82" i="4" s="1"/>
  <c r="N82" i="4"/>
  <c r="P82" i="4"/>
  <c r="Q82" i="4" s="1"/>
  <c r="M82" i="4" s="1"/>
  <c r="G83" i="4" l="1"/>
  <c r="B83" i="4"/>
  <c r="N83" i="4"/>
  <c r="P83" i="4"/>
  <c r="Q83" i="4" s="1"/>
  <c r="M83" i="4" s="1"/>
  <c r="E83" i="4"/>
  <c r="D83" i="4" s="1"/>
  <c r="C83" i="4" s="1"/>
  <c r="G84" i="4" l="1"/>
  <c r="B84" i="4"/>
  <c r="E84" i="4"/>
  <c r="D84" i="4" s="1"/>
  <c r="C84" i="4" s="1"/>
  <c r="P84" i="4"/>
  <c r="Q84" i="4" s="1"/>
  <c r="M84" i="4" s="1"/>
  <c r="N84" i="4"/>
  <c r="G85" i="4" l="1"/>
  <c r="B85" i="4"/>
  <c r="P85" i="4"/>
  <c r="Q85" i="4" s="1"/>
  <c r="M85" i="4" s="1"/>
  <c r="N85" i="4"/>
  <c r="E85" i="4"/>
  <c r="D85" i="4" s="1"/>
  <c r="C85" i="4" s="1"/>
  <c r="G86" i="4" l="1"/>
  <c r="B86" i="4"/>
  <c r="N86" i="4"/>
  <c r="P86" i="4"/>
  <c r="Q86" i="4" s="1"/>
  <c r="M86" i="4" s="1"/>
  <c r="E86" i="4"/>
  <c r="D86" i="4" s="1"/>
  <c r="C86" i="4" s="1"/>
  <c r="G87" i="4" l="1"/>
  <c r="B87" i="4"/>
  <c r="E87" i="4"/>
  <c r="D87" i="4" s="1"/>
  <c r="C87" i="4" s="1"/>
  <c r="N87" i="4"/>
  <c r="P87" i="4"/>
  <c r="Q87" i="4" s="1"/>
  <c r="M87" i="4" s="1"/>
  <c r="G88" i="4" l="1"/>
  <c r="B88" i="4" s="1"/>
  <c r="E88" i="4"/>
  <c r="D88" i="4" s="1"/>
  <c r="C88" i="4" s="1"/>
  <c r="N88" i="4"/>
  <c r="P88" i="4"/>
  <c r="Q88" i="4" s="1"/>
  <c r="M88" i="4" s="1"/>
  <c r="G89" i="4" l="1"/>
  <c r="B89" i="4" s="1"/>
  <c r="N89" i="4"/>
  <c r="P89" i="4"/>
  <c r="Q89" i="4" s="1"/>
  <c r="M89" i="4" s="1"/>
  <c r="E89" i="4"/>
  <c r="D89" i="4" s="1"/>
  <c r="C89" i="4" s="1"/>
  <c r="G90" i="4" l="1"/>
  <c r="B90" i="4"/>
  <c r="E90" i="4"/>
  <c r="D90" i="4" s="1"/>
  <c r="C90" i="4" s="1"/>
  <c r="N90" i="4"/>
  <c r="P90" i="4"/>
  <c r="Q90" i="4" s="1"/>
  <c r="M90" i="4" s="1"/>
  <c r="G91" i="4" l="1"/>
  <c r="B91" i="4"/>
  <c r="N91" i="4"/>
  <c r="P91" i="4"/>
  <c r="Q91" i="4" s="1"/>
  <c r="M91" i="4" s="1"/>
  <c r="E91" i="4"/>
  <c r="D91" i="4" s="1"/>
  <c r="C91" i="4" s="1"/>
  <c r="G92" i="4" l="1"/>
  <c r="B92" i="4"/>
  <c r="E92" i="4"/>
  <c r="D92" i="4" s="1"/>
  <c r="C92" i="4" s="1"/>
  <c r="N92" i="4"/>
  <c r="P92" i="4"/>
  <c r="Q92" i="4" s="1"/>
  <c r="M92" i="4" s="1"/>
  <c r="G93" i="4" l="1"/>
  <c r="B93" i="4"/>
  <c r="N93" i="4"/>
  <c r="P93" i="4"/>
  <c r="Q93" i="4" s="1"/>
  <c r="M93" i="4" s="1"/>
  <c r="E93" i="4"/>
  <c r="D93" i="4" s="1"/>
  <c r="C93" i="4" s="1"/>
  <c r="G94" i="4" l="1"/>
  <c r="B94" i="4"/>
  <c r="E94" i="4"/>
  <c r="D94" i="4" s="1"/>
  <c r="C94" i="4" s="1"/>
  <c r="N94" i="4"/>
  <c r="P94" i="4"/>
  <c r="Q94" i="4" s="1"/>
  <c r="M94" i="4" s="1"/>
  <c r="G95" i="4" l="1"/>
  <c r="B95" i="4"/>
  <c r="N95" i="4"/>
  <c r="P95" i="4"/>
  <c r="Q95" i="4" s="1"/>
  <c r="M95" i="4" s="1"/>
  <c r="E95" i="4"/>
  <c r="D95" i="4" s="1"/>
  <c r="C95" i="4" s="1"/>
  <c r="G96" i="4" l="1"/>
  <c r="B96" i="4" s="1"/>
  <c r="E96" i="4"/>
  <c r="D96" i="4" s="1"/>
  <c r="C96" i="4" s="1"/>
  <c r="N96" i="4"/>
  <c r="P96" i="4"/>
  <c r="Q96" i="4" s="1"/>
  <c r="M96" i="4" s="1"/>
  <c r="G97" i="4" l="1"/>
  <c r="B97" i="4" s="1"/>
  <c r="N97" i="4"/>
  <c r="P97" i="4"/>
  <c r="Q97" i="4" s="1"/>
  <c r="M97" i="4" s="1"/>
  <c r="E97" i="4"/>
  <c r="D97" i="4" s="1"/>
  <c r="C97" i="4" s="1"/>
  <c r="G98" i="4" l="1"/>
  <c r="B98" i="4"/>
  <c r="E98" i="4"/>
  <c r="D98" i="4" s="1"/>
  <c r="C98" i="4" s="1"/>
  <c r="N98" i="4"/>
  <c r="P98" i="4"/>
  <c r="Q98" i="4" s="1"/>
  <c r="M98" i="4" s="1"/>
  <c r="G99" i="4" l="1"/>
  <c r="B99" i="4"/>
  <c r="N99" i="4"/>
  <c r="P99" i="4"/>
  <c r="Q99" i="4" s="1"/>
  <c r="M99" i="4" s="1"/>
  <c r="E99" i="4"/>
  <c r="D99" i="4" s="1"/>
  <c r="C99" i="4" s="1"/>
  <c r="G100" i="4" l="1"/>
  <c r="B100" i="4"/>
  <c r="E100" i="4"/>
  <c r="D100" i="4" s="1"/>
  <c r="C100" i="4" s="1"/>
  <c r="N100" i="4"/>
  <c r="P100" i="4"/>
  <c r="Q100" i="4" s="1"/>
  <c r="M100" i="4" s="1"/>
  <c r="G101" i="4" l="1"/>
  <c r="B101" i="4"/>
  <c r="N101" i="4"/>
  <c r="P101" i="4"/>
  <c r="Q101" i="4" s="1"/>
  <c r="M101" i="4" s="1"/>
  <c r="E101" i="4"/>
  <c r="D101" i="4" s="1"/>
  <c r="C101" i="4" s="1"/>
  <c r="G102" i="4" l="1"/>
  <c r="B102" i="4"/>
  <c r="E102" i="4"/>
  <c r="D102" i="4" s="1"/>
  <c r="C102" i="4" s="1"/>
  <c r="N102" i="4"/>
  <c r="P102" i="4"/>
  <c r="Q102" i="4" s="1"/>
  <c r="M102" i="4" s="1"/>
  <c r="G103" i="4" l="1"/>
  <c r="B103" i="4"/>
  <c r="N103" i="4"/>
  <c r="P103" i="4"/>
  <c r="Q103" i="4" s="1"/>
  <c r="M103" i="4" s="1"/>
  <c r="E103" i="4"/>
  <c r="D103" i="4" s="1"/>
  <c r="C103" i="4" s="1"/>
  <c r="G104" i="4" l="1"/>
  <c r="B104" i="4" s="1"/>
  <c r="E104" i="4"/>
  <c r="D104" i="4" s="1"/>
  <c r="C104" i="4" s="1"/>
  <c r="N104" i="4"/>
  <c r="P104" i="4"/>
  <c r="Q104" i="4" s="1"/>
  <c r="M104" i="4" s="1"/>
  <c r="G105" i="4" l="1"/>
  <c r="B105" i="4" s="1"/>
  <c r="N105" i="4"/>
  <c r="P105" i="4"/>
  <c r="Q105" i="4" s="1"/>
  <c r="M105" i="4" s="1"/>
  <c r="E105" i="4"/>
  <c r="D105" i="4" s="1"/>
  <c r="C105" i="4" s="1"/>
  <c r="G106" i="4" l="1"/>
  <c r="B106" i="4" s="1"/>
  <c r="E106" i="4"/>
  <c r="D106" i="4" s="1"/>
  <c r="C106" i="4" s="1"/>
  <c r="N106" i="4"/>
  <c r="P106" i="4"/>
  <c r="Q106" i="4" s="1"/>
  <c r="M106" i="4" s="1"/>
  <c r="G107" i="4" l="1"/>
  <c r="B107" i="4"/>
  <c r="N107" i="4"/>
  <c r="P107" i="4"/>
  <c r="Q107" i="4" s="1"/>
  <c r="M107" i="4" s="1"/>
  <c r="E107" i="4"/>
  <c r="D107" i="4" s="1"/>
  <c r="C107" i="4" s="1"/>
  <c r="G108" i="4" l="1"/>
  <c r="B108" i="4"/>
  <c r="E108" i="4"/>
  <c r="D108" i="4" s="1"/>
  <c r="C108" i="4" s="1"/>
  <c r="N108" i="4"/>
  <c r="P108" i="4"/>
  <c r="Q108" i="4" s="1"/>
  <c r="M108" i="4" s="1"/>
  <c r="G109" i="4" l="1"/>
  <c r="B109" i="4"/>
  <c r="N109" i="4"/>
  <c r="P109" i="4"/>
  <c r="Q109" i="4" s="1"/>
  <c r="M109" i="4" s="1"/>
  <c r="E109" i="4"/>
  <c r="D109" i="4" s="1"/>
  <c r="C109" i="4" s="1"/>
  <c r="G110" i="4" l="1"/>
  <c r="B110" i="4"/>
  <c r="E110" i="4"/>
  <c r="D110" i="4" s="1"/>
  <c r="C110" i="4" s="1"/>
  <c r="N110" i="4"/>
  <c r="P110" i="4"/>
  <c r="Q110" i="4" s="1"/>
  <c r="M110" i="4" s="1"/>
  <c r="G111" i="4" l="1"/>
  <c r="B111" i="4"/>
  <c r="E111" i="4"/>
  <c r="D111" i="4" s="1"/>
  <c r="C111" i="4" s="1"/>
  <c r="N111" i="4"/>
  <c r="P111" i="4"/>
  <c r="Q111" i="4" s="1"/>
  <c r="M111" i="4" s="1"/>
  <c r="G112" i="4" l="1"/>
  <c r="B112" i="4" s="1"/>
  <c r="P112" i="4"/>
  <c r="Q112" i="4" s="1"/>
  <c r="M112" i="4" s="1"/>
  <c r="N112" i="4"/>
  <c r="E112" i="4"/>
  <c r="D112" i="4" s="1"/>
  <c r="C112" i="4" s="1"/>
  <c r="G113" i="4" l="1"/>
  <c r="B113" i="4" s="1"/>
  <c r="N113" i="4"/>
  <c r="P113" i="4"/>
  <c r="Q113" i="4" s="1"/>
  <c r="M113" i="4" s="1"/>
  <c r="E113" i="4"/>
  <c r="D113" i="4" s="1"/>
  <c r="C113" i="4" s="1"/>
  <c r="G114" i="4" l="1"/>
  <c r="B114" i="4"/>
  <c r="E114" i="4"/>
  <c r="D114" i="4" s="1"/>
  <c r="C114" i="4" s="1"/>
  <c r="N114" i="4"/>
  <c r="P114" i="4"/>
  <c r="Q114" i="4" s="1"/>
  <c r="M114" i="4" s="1"/>
  <c r="G115" i="4" l="1"/>
  <c r="B115" i="4" s="1"/>
  <c r="N115" i="4"/>
  <c r="P115" i="4"/>
  <c r="Q115" i="4" s="1"/>
  <c r="M115" i="4" s="1"/>
  <c r="E115" i="4"/>
  <c r="D115" i="4" s="1"/>
  <c r="C115" i="4" s="1"/>
  <c r="G116" i="4" l="1"/>
  <c r="B116" i="4"/>
  <c r="E116" i="4"/>
  <c r="D116" i="4" s="1"/>
  <c r="C116" i="4" s="1"/>
  <c r="N116" i="4"/>
  <c r="P116" i="4"/>
  <c r="Q116" i="4" s="1"/>
  <c r="M116" i="4" s="1"/>
  <c r="G117" i="4" l="1"/>
  <c r="B117" i="4"/>
  <c r="N117" i="4"/>
  <c r="P117" i="4"/>
  <c r="Q117" i="4" s="1"/>
  <c r="M117" i="4" s="1"/>
  <c r="E117" i="4"/>
  <c r="D117" i="4" s="1"/>
  <c r="C117" i="4" s="1"/>
  <c r="G118" i="4" l="1"/>
  <c r="B118" i="4"/>
  <c r="E118" i="4"/>
  <c r="D118" i="4" s="1"/>
  <c r="C118" i="4" s="1"/>
  <c r="N118" i="4"/>
  <c r="P118" i="4"/>
  <c r="Q118" i="4" s="1"/>
  <c r="M118" i="4" s="1"/>
  <c r="G119" i="4" l="1"/>
  <c r="B119" i="4"/>
  <c r="N119" i="4"/>
  <c r="P119" i="4"/>
  <c r="Q119" i="4" s="1"/>
  <c r="M119" i="4" s="1"/>
  <c r="E119" i="4"/>
  <c r="D119" i="4" s="1"/>
  <c r="C119" i="4" s="1"/>
  <c r="G120" i="4" l="1"/>
  <c r="B120" i="4" s="1"/>
  <c r="E120" i="4"/>
  <c r="D120" i="4" s="1"/>
  <c r="C120" i="4" s="1"/>
  <c r="N120" i="4"/>
  <c r="P120" i="4"/>
  <c r="Q120" i="4" s="1"/>
  <c r="M120" i="4" s="1"/>
  <c r="G121" i="4" l="1"/>
  <c r="B121" i="4" s="1"/>
  <c r="N121" i="4"/>
  <c r="P121" i="4"/>
  <c r="Q121" i="4" s="1"/>
  <c r="M121" i="4" s="1"/>
  <c r="E121" i="4"/>
  <c r="D121" i="4" s="1"/>
  <c r="C121" i="4" s="1"/>
  <c r="G122" i="4" l="1"/>
  <c r="B122" i="4"/>
  <c r="E122" i="4"/>
  <c r="D122" i="4" s="1"/>
  <c r="C122" i="4" s="1"/>
  <c r="N122" i="4"/>
  <c r="P122" i="4"/>
  <c r="Q122" i="4" s="1"/>
  <c r="M122" i="4" s="1"/>
  <c r="G123" i="4" l="1"/>
  <c r="B123" i="4"/>
  <c r="N123" i="4"/>
  <c r="P123" i="4"/>
  <c r="Q123" i="4" s="1"/>
  <c r="M123" i="4" s="1"/>
  <c r="E123" i="4"/>
  <c r="D123" i="4" s="1"/>
  <c r="C123" i="4" s="1"/>
  <c r="G124" i="4" l="1"/>
  <c r="B124" i="4"/>
  <c r="E124" i="4"/>
  <c r="D124" i="4" s="1"/>
  <c r="C124" i="4" s="1"/>
  <c r="N124" i="4"/>
  <c r="P124" i="4"/>
  <c r="Q124" i="4" s="1"/>
  <c r="M124" i="4" s="1"/>
  <c r="G125" i="4" l="1"/>
  <c r="B125" i="4"/>
  <c r="N125" i="4"/>
  <c r="P125" i="4"/>
  <c r="Q125" i="4" s="1"/>
  <c r="M125" i="4" s="1"/>
  <c r="E125" i="4"/>
  <c r="D125" i="4" s="1"/>
  <c r="C125" i="4" s="1"/>
  <c r="G126" i="4" l="1"/>
  <c r="B126" i="4"/>
  <c r="E126" i="4"/>
  <c r="D126" i="4" s="1"/>
  <c r="C126" i="4" s="1"/>
  <c r="N126" i="4"/>
  <c r="P126" i="4"/>
  <c r="Q126" i="4" s="1"/>
  <c r="M126" i="4" s="1"/>
  <c r="G127" i="4" l="1"/>
  <c r="B127" i="4"/>
  <c r="N127" i="4"/>
  <c r="P127" i="4"/>
  <c r="Q127" i="4" s="1"/>
  <c r="M127" i="4" s="1"/>
  <c r="E127" i="4"/>
  <c r="D127" i="4" s="1"/>
  <c r="C127" i="4" s="1"/>
  <c r="G128" i="4" l="1"/>
  <c r="B128" i="4" s="1"/>
  <c r="E128" i="4"/>
  <c r="D128" i="4" s="1"/>
  <c r="C128" i="4" s="1"/>
  <c r="N128" i="4"/>
  <c r="P128" i="4"/>
  <c r="Q128" i="4" s="1"/>
  <c r="M128" i="4" s="1"/>
  <c r="G129" i="4" l="1"/>
  <c r="B129" i="4" s="1"/>
  <c r="E129" i="4"/>
  <c r="D129" i="4" s="1"/>
  <c r="C129" i="4" s="1"/>
  <c r="N129" i="4"/>
  <c r="P129" i="4"/>
  <c r="Q129" i="4" s="1"/>
  <c r="M129" i="4" s="1"/>
  <c r="G130" i="4" l="1"/>
  <c r="B130" i="4"/>
  <c r="N130" i="4"/>
  <c r="P130" i="4"/>
  <c r="Q130" i="4" s="1"/>
  <c r="M130" i="4" s="1"/>
  <c r="E130" i="4"/>
  <c r="D130" i="4" s="1"/>
  <c r="C130" i="4" s="1"/>
  <c r="G131" i="4" l="1"/>
  <c r="B131" i="4"/>
  <c r="E131" i="4"/>
  <c r="D131" i="4" s="1"/>
  <c r="C131" i="4" s="1"/>
  <c r="N131" i="4"/>
  <c r="P131" i="4"/>
  <c r="Q131" i="4" s="1"/>
  <c r="M131" i="4" s="1"/>
  <c r="G132" i="4" l="1"/>
  <c r="B132" i="4"/>
  <c r="N132" i="4"/>
  <c r="P132" i="4"/>
  <c r="Q132" i="4" s="1"/>
  <c r="M132" i="4" s="1"/>
  <c r="E132" i="4"/>
  <c r="D132" i="4" s="1"/>
  <c r="C132" i="4" s="1"/>
  <c r="G133" i="4" l="1"/>
  <c r="B133" i="4" s="1"/>
  <c r="E133" i="4"/>
  <c r="D133" i="4" s="1"/>
  <c r="C133" i="4" s="1"/>
  <c r="N133" i="4"/>
  <c r="P133" i="4"/>
  <c r="Q133" i="4" s="1"/>
  <c r="M133" i="4" s="1"/>
  <c r="G134" i="4" l="1"/>
  <c r="B134" i="4"/>
  <c r="N134" i="4"/>
  <c r="P134" i="4"/>
  <c r="Q134" i="4" s="1"/>
  <c r="M134" i="4" s="1"/>
  <c r="E134" i="4"/>
  <c r="D134" i="4" s="1"/>
  <c r="C134" i="4" s="1"/>
  <c r="G135" i="4" l="1"/>
  <c r="B135" i="4"/>
  <c r="E135" i="4"/>
  <c r="D135" i="4" s="1"/>
  <c r="C135" i="4" s="1"/>
  <c r="N135" i="4"/>
  <c r="P135" i="4"/>
  <c r="Q135" i="4" s="1"/>
  <c r="M135" i="4" s="1"/>
  <c r="G136" i="4" l="1"/>
  <c r="B136" i="4" s="1"/>
  <c r="N136" i="4"/>
  <c r="P136" i="4"/>
  <c r="Q136" i="4" s="1"/>
  <c r="M136" i="4" s="1"/>
  <c r="E136" i="4"/>
  <c r="D136" i="4" s="1"/>
  <c r="C136" i="4" s="1"/>
  <c r="G137" i="4" l="1"/>
  <c r="B137" i="4" s="1"/>
  <c r="E137" i="4"/>
  <c r="D137" i="4" s="1"/>
  <c r="C137" i="4" s="1"/>
  <c r="N137" i="4"/>
  <c r="P137" i="4"/>
  <c r="Q137" i="4" s="1"/>
  <c r="M137" i="4" s="1"/>
  <c r="G138" i="4" l="1"/>
  <c r="B138" i="4"/>
  <c r="P138" i="4"/>
  <c r="Q138" i="4" s="1"/>
  <c r="M138" i="4" s="1"/>
  <c r="N138" i="4"/>
  <c r="E138" i="4"/>
  <c r="D138" i="4" s="1"/>
  <c r="C138" i="4" s="1"/>
  <c r="G139" i="4" l="1"/>
  <c r="B139" i="4"/>
  <c r="N139" i="4"/>
  <c r="P139" i="4"/>
  <c r="Q139" i="4" s="1"/>
  <c r="M139" i="4" s="1"/>
  <c r="E139" i="4"/>
  <c r="D139" i="4" s="1"/>
  <c r="C139" i="4" s="1"/>
  <c r="G140" i="4" l="1"/>
  <c r="B140" i="4"/>
  <c r="E140" i="4"/>
  <c r="D140" i="4" s="1"/>
  <c r="C140" i="4" s="1"/>
  <c r="N140" i="4"/>
  <c r="P140" i="4"/>
  <c r="Q140" i="4" s="1"/>
  <c r="M140" i="4" s="1"/>
  <c r="G141" i="4" l="1"/>
  <c r="B141" i="4"/>
  <c r="N141" i="4"/>
  <c r="P141" i="4"/>
  <c r="Q141" i="4" s="1"/>
  <c r="M141" i="4" s="1"/>
  <c r="E141" i="4"/>
  <c r="D141" i="4" s="1"/>
  <c r="C141" i="4" s="1"/>
  <c r="G142" i="4" l="1"/>
  <c r="B142" i="4" s="1"/>
  <c r="E142" i="4"/>
  <c r="D142" i="4" s="1"/>
  <c r="C142" i="4" s="1"/>
  <c r="N142" i="4"/>
  <c r="P142" i="4"/>
  <c r="Q142" i="4" s="1"/>
  <c r="M142" i="4" s="1"/>
  <c r="G143" i="4" l="1"/>
  <c r="B143" i="4"/>
  <c r="E143" i="4"/>
  <c r="D143" i="4" s="1"/>
  <c r="C143" i="4" s="1"/>
  <c r="N143" i="4"/>
  <c r="P143" i="4"/>
  <c r="Q143" i="4" s="1"/>
  <c r="M143" i="4" s="1"/>
  <c r="G144" i="4" l="1"/>
  <c r="B144" i="4" s="1"/>
  <c r="N144" i="4"/>
  <c r="P144" i="4"/>
  <c r="Q144" i="4" s="1"/>
  <c r="M144" i="4" s="1"/>
  <c r="E144" i="4"/>
  <c r="D144" i="4" s="1"/>
  <c r="C144" i="4" s="1"/>
  <c r="G145" i="4" l="1"/>
  <c r="B145" i="4" s="1"/>
  <c r="E145" i="4"/>
  <c r="D145" i="4" s="1"/>
  <c r="C145" i="4" s="1"/>
  <c r="N145" i="4"/>
  <c r="P145" i="4"/>
  <c r="Q145" i="4" s="1"/>
  <c r="M145" i="4" s="1"/>
  <c r="G146" i="4" l="1"/>
  <c r="B146" i="4"/>
  <c r="N146" i="4"/>
  <c r="P146" i="4"/>
  <c r="Q146" i="4" s="1"/>
  <c r="M146" i="4" s="1"/>
  <c r="E146" i="4"/>
  <c r="D146" i="4" s="1"/>
  <c r="C146" i="4" s="1"/>
  <c r="G147" i="4" l="1"/>
  <c r="B147" i="4"/>
  <c r="E147" i="4"/>
  <c r="D147" i="4" s="1"/>
  <c r="C147" i="4" s="1"/>
  <c r="N147" i="4"/>
  <c r="P147" i="4"/>
  <c r="Q147" i="4" s="1"/>
  <c r="M147" i="4" s="1"/>
  <c r="G148" i="4" l="1"/>
  <c r="B148" i="4"/>
  <c r="N148" i="4"/>
  <c r="P148" i="4"/>
  <c r="Q148" i="4" s="1"/>
  <c r="M148" i="4" s="1"/>
  <c r="E148" i="4"/>
  <c r="D148" i="4" s="1"/>
  <c r="C148" i="4" s="1"/>
  <c r="G149" i="4" l="1"/>
  <c r="B149" i="4"/>
  <c r="E149" i="4"/>
  <c r="D149" i="4" s="1"/>
  <c r="C149" i="4" s="1"/>
  <c r="P149" i="4"/>
  <c r="Q149" i="4" s="1"/>
  <c r="M149" i="4" s="1"/>
  <c r="N149" i="4"/>
  <c r="G150" i="4" l="1"/>
  <c r="B150" i="4" s="1"/>
  <c r="P150" i="4"/>
  <c r="Q150" i="4" s="1"/>
  <c r="M150" i="4" s="1"/>
  <c r="N150" i="4"/>
  <c r="E150" i="4"/>
  <c r="D150" i="4" s="1"/>
  <c r="C150" i="4" s="1"/>
  <c r="G151" i="4" l="1"/>
  <c r="B151" i="4"/>
  <c r="E151" i="4"/>
  <c r="D151" i="4" s="1"/>
  <c r="C151" i="4" s="1"/>
  <c r="P151" i="4"/>
  <c r="Q151" i="4" s="1"/>
  <c r="M151" i="4" s="1"/>
  <c r="N151" i="4"/>
  <c r="G152" i="4" l="1"/>
  <c r="B152" i="4" s="1"/>
  <c r="P152" i="4"/>
  <c r="Q152" i="4" s="1"/>
  <c r="M152" i="4" s="1"/>
  <c r="N152" i="4"/>
  <c r="E152" i="4"/>
  <c r="D152" i="4" s="1"/>
  <c r="C152" i="4" s="1"/>
  <c r="G153" i="4" l="1"/>
  <c r="B153" i="4" s="1"/>
  <c r="E153" i="4"/>
  <c r="D153" i="4" s="1"/>
  <c r="C153" i="4" s="1"/>
  <c r="P153" i="4"/>
  <c r="Q153" i="4" s="1"/>
  <c r="M153" i="4" s="1"/>
  <c r="N153" i="4"/>
  <c r="G154" i="4" l="1"/>
  <c r="B154" i="4"/>
  <c r="P154" i="4"/>
  <c r="Q154" i="4" s="1"/>
  <c r="M154" i="4" s="1"/>
  <c r="N154" i="4"/>
  <c r="E154" i="4"/>
  <c r="D154" i="4" s="1"/>
  <c r="C154" i="4" s="1"/>
  <c r="G155" i="4" l="1"/>
  <c r="B155" i="4" s="1"/>
  <c r="P155" i="4"/>
  <c r="Q155" i="4" s="1"/>
  <c r="M155" i="4" s="1"/>
  <c r="N155" i="4"/>
  <c r="E155" i="4"/>
  <c r="D155" i="4" s="1"/>
  <c r="C155" i="4" s="1"/>
  <c r="G156" i="4" l="1"/>
  <c r="B156" i="4"/>
  <c r="E156" i="4"/>
  <c r="D156" i="4" s="1"/>
  <c r="C156" i="4" s="1"/>
  <c r="P156" i="4"/>
  <c r="Q156" i="4" s="1"/>
  <c r="M156" i="4" s="1"/>
  <c r="N156" i="4"/>
  <c r="G157" i="4" l="1"/>
  <c r="B157" i="4"/>
  <c r="E157" i="4"/>
  <c r="D157" i="4" s="1"/>
  <c r="C157" i="4" s="1"/>
  <c r="P157" i="4"/>
  <c r="Q157" i="4" s="1"/>
  <c r="M157" i="4" s="1"/>
  <c r="N157" i="4"/>
  <c r="G158" i="4" l="1"/>
  <c r="B158" i="4"/>
  <c r="P158" i="4"/>
  <c r="Q158" i="4" s="1"/>
  <c r="M158" i="4" s="1"/>
  <c r="N158" i="4"/>
  <c r="E158" i="4"/>
  <c r="D158" i="4" s="1"/>
  <c r="C158" i="4" s="1"/>
  <c r="G159" i="4" l="1"/>
  <c r="B159" i="4" s="1"/>
  <c r="E159" i="4"/>
  <c r="D159" i="4" s="1"/>
  <c r="C159" i="4" s="1"/>
  <c r="P159" i="4"/>
  <c r="Q159" i="4" s="1"/>
  <c r="M159" i="4" s="1"/>
  <c r="N159" i="4"/>
  <c r="G160" i="4" l="1"/>
  <c r="B160" i="4" s="1"/>
  <c r="P160" i="4"/>
  <c r="Q160" i="4" s="1"/>
  <c r="M160" i="4" s="1"/>
  <c r="N160" i="4"/>
  <c r="E160" i="4"/>
  <c r="D160" i="4" s="1"/>
  <c r="C160" i="4" s="1"/>
  <c r="G161" i="4" l="1"/>
  <c r="B161" i="4" s="1"/>
  <c r="E161" i="4"/>
  <c r="D161" i="4" s="1"/>
  <c r="C161" i="4" s="1"/>
  <c r="P161" i="4"/>
  <c r="Q161" i="4" s="1"/>
  <c r="M161" i="4" s="1"/>
  <c r="N161" i="4"/>
  <c r="G162" i="4" l="1"/>
  <c r="B162" i="4"/>
  <c r="P162" i="4"/>
  <c r="Q162" i="4" s="1"/>
  <c r="M162" i="4" s="1"/>
  <c r="N162" i="4"/>
  <c r="E162" i="4"/>
  <c r="D162" i="4" s="1"/>
  <c r="C162" i="4" s="1"/>
  <c r="G163" i="4" l="1"/>
  <c r="B163" i="4"/>
  <c r="E163" i="4"/>
  <c r="D163" i="4" s="1"/>
  <c r="C163" i="4" s="1"/>
  <c r="P163" i="4"/>
  <c r="Q163" i="4" s="1"/>
  <c r="M163" i="4" s="1"/>
  <c r="N163" i="4"/>
  <c r="G164" i="4" l="1"/>
  <c r="B164" i="4"/>
  <c r="P164" i="4"/>
  <c r="Q164" i="4" s="1"/>
  <c r="M164" i="4" s="1"/>
  <c r="N164" i="4"/>
  <c r="E164" i="4"/>
  <c r="D164" i="4" s="1"/>
  <c r="C164" i="4" s="1"/>
  <c r="G165" i="4" l="1"/>
  <c r="B165" i="4"/>
  <c r="E165" i="4"/>
  <c r="D165" i="4" s="1"/>
  <c r="C165" i="4" s="1"/>
  <c r="P165" i="4"/>
  <c r="Q165" i="4" s="1"/>
  <c r="M165" i="4" s="1"/>
  <c r="N165" i="4"/>
  <c r="G166" i="4" l="1"/>
  <c r="B166" i="4"/>
  <c r="E166" i="4"/>
  <c r="D166" i="4" s="1"/>
  <c r="C166" i="4" s="1"/>
  <c r="P166" i="4"/>
  <c r="Q166" i="4" s="1"/>
  <c r="M166" i="4" s="1"/>
  <c r="N166" i="4"/>
  <c r="G167" i="4" l="1"/>
  <c r="B167" i="4" s="1"/>
  <c r="E167" i="4"/>
  <c r="D167" i="4" s="1"/>
  <c r="C167" i="4" s="1"/>
  <c r="P167" i="4"/>
  <c r="Q167" i="4" s="1"/>
  <c r="M167" i="4" s="1"/>
  <c r="N167" i="4"/>
  <c r="G168" i="4" l="1"/>
  <c r="B168" i="4" s="1"/>
  <c r="P168" i="4"/>
  <c r="Q168" i="4" s="1"/>
  <c r="M168" i="4" s="1"/>
  <c r="N168" i="4"/>
  <c r="E168" i="4"/>
  <c r="D168" i="4" s="1"/>
  <c r="C168" i="4" s="1"/>
  <c r="G169" i="4" l="1"/>
  <c r="B169" i="4" s="1"/>
  <c r="P169" i="4"/>
  <c r="Q169" i="4" s="1"/>
  <c r="M169" i="4" s="1"/>
  <c r="N169" i="4"/>
  <c r="E169" i="4"/>
  <c r="D169" i="4" s="1"/>
  <c r="C169" i="4" s="1"/>
  <c r="G170" i="4" l="1"/>
  <c r="B170" i="4" s="1"/>
  <c r="E170" i="4"/>
  <c r="D170" i="4" s="1"/>
  <c r="C170" i="4" s="1"/>
  <c r="P170" i="4"/>
  <c r="Q170" i="4" s="1"/>
  <c r="M170" i="4" s="1"/>
  <c r="N170" i="4"/>
  <c r="G171" i="4" l="1"/>
  <c r="B171" i="4" s="1"/>
  <c r="E171" i="4"/>
  <c r="D171" i="4" s="1"/>
  <c r="C171" i="4" s="1"/>
  <c r="P171" i="4"/>
  <c r="Q171" i="4" s="1"/>
  <c r="M171" i="4" s="1"/>
  <c r="N171" i="4"/>
  <c r="G172" i="4" l="1"/>
  <c r="B172" i="4" s="1"/>
  <c r="E172" i="4"/>
  <c r="D172" i="4" s="1"/>
  <c r="C172" i="4" s="1"/>
  <c r="P172" i="4"/>
  <c r="Q172" i="4" s="1"/>
  <c r="M172" i="4" s="1"/>
  <c r="N172" i="4"/>
  <c r="G173" i="4" l="1"/>
  <c r="B173" i="4"/>
  <c r="E173" i="4"/>
  <c r="D173" i="4" s="1"/>
  <c r="C173" i="4" s="1"/>
  <c r="P173" i="4"/>
  <c r="Q173" i="4" s="1"/>
  <c r="M173" i="4" s="1"/>
  <c r="N173" i="4"/>
  <c r="G174" i="4" l="1"/>
  <c r="B174" i="4" s="1"/>
  <c r="E174" i="4"/>
  <c r="D174" i="4" s="1"/>
  <c r="C174" i="4" s="1"/>
  <c r="N174" i="4"/>
  <c r="P174" i="4"/>
  <c r="Q174" i="4" s="1"/>
  <c r="M174" i="4" s="1"/>
  <c r="G175" i="4" l="1"/>
  <c r="B175" i="4"/>
  <c r="E175" i="4"/>
  <c r="D175" i="4" s="1"/>
  <c r="C175" i="4" s="1"/>
  <c r="P175" i="4"/>
  <c r="Q175" i="4" s="1"/>
  <c r="M175" i="4" s="1"/>
  <c r="N175" i="4"/>
  <c r="G176" i="4" l="1"/>
  <c r="B176" i="4"/>
  <c r="E176" i="4"/>
  <c r="D176" i="4" s="1"/>
  <c r="C176" i="4" s="1"/>
  <c r="P176" i="4"/>
  <c r="Q176" i="4" s="1"/>
  <c r="M176" i="4" s="1"/>
  <c r="N176" i="4"/>
  <c r="G177" i="4" l="1"/>
  <c r="B177" i="4"/>
  <c r="E177" i="4"/>
  <c r="D177" i="4" s="1"/>
  <c r="C177" i="4" s="1"/>
  <c r="P177" i="4"/>
  <c r="Q177" i="4" s="1"/>
  <c r="M177" i="4" s="1"/>
  <c r="N177" i="4"/>
  <c r="G178" i="4" l="1"/>
  <c r="B178" i="4"/>
  <c r="P178" i="4"/>
  <c r="Q178" i="4" s="1"/>
  <c r="M178" i="4" s="1"/>
  <c r="N178" i="4"/>
  <c r="E178" i="4"/>
  <c r="D178" i="4" s="1"/>
  <c r="C178" i="4" s="1"/>
  <c r="G179" i="4" l="1"/>
  <c r="B179" i="4"/>
  <c r="P179" i="4"/>
  <c r="Q179" i="4" s="1"/>
  <c r="M179" i="4" s="1"/>
  <c r="N179" i="4"/>
  <c r="E179" i="4"/>
  <c r="D179" i="4" s="1"/>
  <c r="C179" i="4" s="1"/>
  <c r="G180" i="4" l="1"/>
  <c r="B180" i="4"/>
  <c r="P180" i="4"/>
  <c r="Q180" i="4" s="1"/>
  <c r="M180" i="4" s="1"/>
  <c r="N180" i="4"/>
  <c r="E180" i="4"/>
  <c r="D180" i="4" s="1"/>
  <c r="C180" i="4" s="1"/>
  <c r="G181" i="4" l="1"/>
  <c r="B181" i="4"/>
  <c r="P181" i="4"/>
  <c r="Q181" i="4" s="1"/>
  <c r="M181" i="4" s="1"/>
  <c r="N181" i="4"/>
  <c r="E181" i="4"/>
  <c r="D181" i="4" s="1"/>
  <c r="C181" i="4" s="1"/>
  <c r="G182" i="4" l="1"/>
  <c r="B182" i="4"/>
  <c r="P182" i="4"/>
  <c r="Q182" i="4" s="1"/>
  <c r="M182" i="4" s="1"/>
  <c r="N182" i="4"/>
  <c r="E182" i="4"/>
  <c r="D182" i="4" s="1"/>
  <c r="C182" i="4" s="1"/>
  <c r="G183" i="4" l="1"/>
  <c r="B183" i="4"/>
  <c r="P183" i="4"/>
  <c r="Q183" i="4" s="1"/>
  <c r="M183" i="4" s="1"/>
  <c r="N183" i="4"/>
  <c r="E183" i="4"/>
  <c r="D183" i="4" s="1"/>
  <c r="C183" i="4" s="1"/>
  <c r="G184" i="4" l="1"/>
  <c r="B184" i="4" s="1"/>
  <c r="P184" i="4"/>
  <c r="Q184" i="4" s="1"/>
  <c r="M184" i="4" s="1"/>
  <c r="N184" i="4"/>
  <c r="E184" i="4"/>
  <c r="D184" i="4" s="1"/>
  <c r="C184" i="4" s="1"/>
  <c r="G185" i="4" l="1"/>
  <c r="B185" i="4" s="1"/>
  <c r="E185" i="4"/>
  <c r="D185" i="4" s="1"/>
  <c r="C185" i="4" s="1"/>
  <c r="P185" i="4"/>
  <c r="Q185" i="4" s="1"/>
  <c r="M185" i="4" s="1"/>
  <c r="N185" i="4"/>
  <c r="G186" i="4" l="1"/>
  <c r="B186" i="4"/>
  <c r="P186" i="4"/>
  <c r="Q186" i="4" s="1"/>
  <c r="M186" i="4" s="1"/>
  <c r="N186" i="4"/>
  <c r="E186" i="4"/>
  <c r="D186" i="4" s="1"/>
  <c r="C186" i="4" s="1"/>
  <c r="G187" i="4" l="1"/>
  <c r="B187" i="4"/>
  <c r="P187" i="4"/>
  <c r="Q187" i="4" s="1"/>
  <c r="M187" i="4" s="1"/>
  <c r="N187" i="4"/>
  <c r="E187" i="4"/>
  <c r="D187" i="4" s="1"/>
  <c r="C187" i="4" s="1"/>
  <c r="G188" i="4" l="1"/>
  <c r="B188" i="4"/>
  <c r="P188" i="4"/>
  <c r="Q188" i="4" s="1"/>
  <c r="M188" i="4" s="1"/>
  <c r="N188" i="4"/>
  <c r="E188" i="4"/>
  <c r="D188" i="4" s="1"/>
  <c r="C188" i="4" s="1"/>
  <c r="G189" i="4" l="1"/>
  <c r="B189" i="4" s="1"/>
  <c r="E189" i="4"/>
  <c r="D189" i="4" s="1"/>
  <c r="C189" i="4" s="1"/>
  <c r="P189" i="4"/>
  <c r="Q189" i="4" s="1"/>
  <c r="M189" i="4" s="1"/>
  <c r="N189" i="4"/>
  <c r="G190" i="4" l="1"/>
  <c r="B190" i="4"/>
  <c r="P190" i="4"/>
  <c r="Q190" i="4" s="1"/>
  <c r="M190" i="4" s="1"/>
  <c r="N190" i="4"/>
  <c r="E190" i="4"/>
  <c r="D190" i="4" s="1"/>
  <c r="C190" i="4" s="1"/>
  <c r="G191" i="4" l="1"/>
  <c r="B191" i="4"/>
  <c r="N191" i="4"/>
  <c r="P191" i="4"/>
  <c r="Q191" i="4" s="1"/>
  <c r="M191" i="4" s="1"/>
  <c r="E191" i="4"/>
  <c r="D191" i="4" s="1"/>
  <c r="C191" i="4" s="1"/>
  <c r="G192" i="4" l="1"/>
  <c r="B192" i="4" s="1"/>
  <c r="E192" i="4"/>
  <c r="D192" i="4" s="1"/>
  <c r="C192" i="4" s="1"/>
  <c r="N192" i="4"/>
  <c r="P192" i="4"/>
  <c r="Q192" i="4" s="1"/>
  <c r="M192" i="4" s="1"/>
  <c r="G193" i="4" l="1"/>
  <c r="B193" i="4"/>
  <c r="E193" i="4"/>
  <c r="D193" i="4" s="1"/>
  <c r="C193" i="4" s="1"/>
  <c r="N193" i="4"/>
  <c r="P193" i="4"/>
  <c r="Q193" i="4" s="1"/>
  <c r="M193" i="4" s="1"/>
  <c r="G194" i="4" l="1"/>
  <c r="B194" i="4"/>
  <c r="E194" i="4"/>
  <c r="D194" i="4" s="1"/>
  <c r="C194" i="4" s="1"/>
  <c r="P194" i="4"/>
  <c r="Q194" i="4" s="1"/>
  <c r="M194" i="4" s="1"/>
  <c r="N194" i="4"/>
  <c r="G195" i="4" l="1"/>
  <c r="B195" i="4"/>
  <c r="E195" i="4"/>
  <c r="D195" i="4" s="1"/>
  <c r="C195" i="4" s="1"/>
  <c r="P195" i="4"/>
  <c r="Q195" i="4" s="1"/>
  <c r="M195" i="4" s="1"/>
  <c r="N195" i="4"/>
  <c r="G196" i="4" l="1"/>
  <c r="B196" i="4"/>
  <c r="P196" i="4"/>
  <c r="Q196" i="4" s="1"/>
  <c r="M196" i="4" s="1"/>
  <c r="N196" i="4"/>
  <c r="E196" i="4"/>
  <c r="D196" i="4" s="1"/>
  <c r="C196" i="4" s="1"/>
  <c r="G197" i="4" l="1"/>
  <c r="B197" i="4"/>
  <c r="P197" i="4"/>
  <c r="Q197" i="4" s="1"/>
  <c r="M197" i="4" s="1"/>
  <c r="N197" i="4"/>
  <c r="E197" i="4"/>
  <c r="D197" i="4" s="1"/>
  <c r="C197" i="4" s="1"/>
  <c r="G198" i="4" l="1"/>
  <c r="B198" i="4"/>
  <c r="P198" i="4"/>
  <c r="Q198" i="4" s="1"/>
  <c r="M198" i="4" s="1"/>
  <c r="N198" i="4"/>
  <c r="E198" i="4"/>
  <c r="D198" i="4" s="1"/>
  <c r="C198" i="4" s="1"/>
  <c r="G199" i="4" l="1"/>
  <c r="B199" i="4"/>
  <c r="P199" i="4"/>
  <c r="Q199" i="4" s="1"/>
  <c r="M199" i="4" s="1"/>
  <c r="N199" i="4"/>
  <c r="E199" i="4"/>
  <c r="D199" i="4" s="1"/>
  <c r="C199" i="4" s="1"/>
  <c r="G200" i="4" l="1"/>
  <c r="B200" i="4" s="1"/>
  <c r="P200" i="4"/>
  <c r="Q200" i="4" s="1"/>
  <c r="M200" i="4" s="1"/>
  <c r="N200" i="4"/>
  <c r="E200" i="4"/>
  <c r="D200" i="4" s="1"/>
  <c r="C200" i="4" s="1"/>
  <c r="G201" i="4" l="1"/>
  <c r="B201" i="4" s="1"/>
  <c r="P201" i="4"/>
  <c r="Q201" i="4" s="1"/>
  <c r="M201" i="4" s="1"/>
  <c r="N201" i="4"/>
  <c r="E201" i="4"/>
  <c r="D201" i="4" s="1"/>
  <c r="C201" i="4" s="1"/>
  <c r="G202" i="4" l="1"/>
  <c r="B202" i="4" s="1"/>
  <c r="P202" i="4"/>
  <c r="Q202" i="4" s="1"/>
  <c r="M202" i="4" s="1"/>
  <c r="N202" i="4"/>
  <c r="E202" i="4"/>
  <c r="D202" i="4" s="1"/>
  <c r="C202" i="4" s="1"/>
  <c r="G203" i="4" l="1"/>
  <c r="B203" i="4"/>
  <c r="E203" i="4"/>
  <c r="D203" i="4" s="1"/>
  <c r="C203" i="4" s="1"/>
  <c r="P203" i="4"/>
  <c r="Q203" i="4" s="1"/>
  <c r="M203" i="4" s="1"/>
  <c r="N203" i="4"/>
  <c r="G204" i="4" l="1"/>
  <c r="B204" i="4"/>
  <c r="P204" i="4"/>
  <c r="Q204" i="4" s="1"/>
  <c r="M204" i="4" s="1"/>
  <c r="N204" i="4"/>
  <c r="E204" i="4"/>
  <c r="D204" i="4" s="1"/>
  <c r="C204" i="4" s="1"/>
  <c r="G205" i="4" l="1"/>
  <c r="B205" i="4" s="1"/>
  <c r="E205" i="4"/>
  <c r="D205" i="4" s="1"/>
  <c r="C205" i="4" s="1"/>
  <c r="P205" i="4"/>
  <c r="Q205" i="4" s="1"/>
  <c r="M205" i="4" s="1"/>
  <c r="N205" i="4"/>
  <c r="G206" i="4" l="1"/>
  <c r="B206" i="4"/>
  <c r="P206" i="4"/>
  <c r="Q206" i="4" s="1"/>
  <c r="M206" i="4" s="1"/>
  <c r="N206" i="4"/>
  <c r="E206" i="4"/>
  <c r="D206" i="4" s="1"/>
  <c r="C206" i="4" s="1"/>
  <c r="G207" i="4" l="1"/>
  <c r="B207" i="4" s="1"/>
  <c r="E207" i="4"/>
  <c r="D207" i="4" s="1"/>
  <c r="C207" i="4" s="1"/>
  <c r="P207" i="4"/>
  <c r="Q207" i="4" s="1"/>
  <c r="M207" i="4" s="1"/>
  <c r="N207" i="4"/>
  <c r="G208" i="4" l="1"/>
  <c r="B208" i="4"/>
  <c r="E208" i="4"/>
  <c r="D208" i="4" s="1"/>
  <c r="C208" i="4" s="1"/>
  <c r="P208" i="4"/>
  <c r="Q208" i="4" s="1"/>
  <c r="M208" i="4" s="1"/>
  <c r="N208" i="4"/>
  <c r="G209" i="4" l="1"/>
  <c r="B209" i="4"/>
  <c r="E209" i="4"/>
  <c r="D209" i="4" s="1"/>
  <c r="C209" i="4" s="1"/>
  <c r="N209" i="4"/>
  <c r="P209" i="4"/>
  <c r="Q209" i="4" s="1"/>
  <c r="M209" i="4" s="1"/>
  <c r="G210" i="4" l="1"/>
  <c r="B210" i="4"/>
  <c r="E210" i="4"/>
  <c r="D210" i="4" s="1"/>
  <c r="C210" i="4" s="1"/>
  <c r="N210" i="4"/>
  <c r="P210" i="4"/>
  <c r="Q210" i="4" s="1"/>
  <c r="M210" i="4" s="1"/>
  <c r="G211" i="4" l="1"/>
  <c r="B211" i="4"/>
  <c r="E211" i="4"/>
  <c r="D211" i="4" s="1"/>
  <c r="C211" i="4" s="1"/>
  <c r="P211" i="4"/>
  <c r="Q211" i="4" s="1"/>
  <c r="M211" i="4" s="1"/>
  <c r="N211" i="4"/>
  <c r="G212" i="4" l="1"/>
  <c r="B212" i="4"/>
  <c r="E212" i="4"/>
  <c r="D212" i="4" s="1"/>
  <c r="C212" i="4" s="1"/>
  <c r="P212" i="4"/>
  <c r="Q212" i="4" s="1"/>
  <c r="M212" i="4" s="1"/>
  <c r="N212" i="4"/>
  <c r="G213" i="4" l="1"/>
  <c r="B213" i="4"/>
  <c r="E213" i="4"/>
  <c r="D213" i="4" s="1"/>
  <c r="C213" i="4" s="1"/>
  <c r="P213" i="4"/>
  <c r="Q213" i="4" s="1"/>
  <c r="M213" i="4" s="1"/>
  <c r="N213" i="4"/>
  <c r="G214" i="4" l="1"/>
  <c r="B214" i="4" s="1"/>
  <c r="E214" i="4"/>
  <c r="D214" i="4" s="1"/>
  <c r="C214" i="4" s="1"/>
  <c r="P214" i="4"/>
  <c r="Q214" i="4" s="1"/>
  <c r="M214" i="4" s="1"/>
  <c r="N214" i="4"/>
  <c r="G215" i="4" l="1"/>
  <c r="B215" i="4"/>
  <c r="E215" i="4"/>
  <c r="D215" i="4" s="1"/>
  <c r="C215" i="4" s="1"/>
  <c r="P215" i="4"/>
  <c r="Q215" i="4" s="1"/>
  <c r="M215" i="4" s="1"/>
  <c r="N215" i="4"/>
  <c r="G216" i="4" l="1"/>
  <c r="B216" i="4" s="1"/>
  <c r="E216" i="4"/>
  <c r="D216" i="4" s="1"/>
  <c r="C216" i="4" s="1"/>
  <c r="P216" i="4"/>
  <c r="Q216" i="4" s="1"/>
  <c r="M216" i="4" s="1"/>
  <c r="N216" i="4"/>
  <c r="G217" i="4" l="1"/>
  <c r="B217" i="4" s="1"/>
  <c r="E217" i="4"/>
  <c r="D217" i="4" s="1"/>
  <c r="C217" i="4" s="1"/>
  <c r="P217" i="4"/>
  <c r="Q217" i="4" s="1"/>
  <c r="M217" i="4" s="1"/>
  <c r="N217" i="4"/>
  <c r="G218" i="4" l="1"/>
  <c r="B218" i="4" s="1"/>
  <c r="E218" i="4"/>
  <c r="D218" i="4" s="1"/>
  <c r="C218" i="4" s="1"/>
  <c r="P218" i="4"/>
  <c r="Q218" i="4" s="1"/>
  <c r="M218" i="4" s="1"/>
  <c r="N218" i="4"/>
  <c r="G219" i="4" l="1"/>
  <c r="B219" i="4"/>
  <c r="P219" i="4"/>
  <c r="Q219" i="4" s="1"/>
  <c r="M219" i="4" s="1"/>
  <c r="N219" i="4"/>
  <c r="E219" i="4"/>
  <c r="D219" i="4" s="1"/>
  <c r="C219" i="4" s="1"/>
  <c r="G220" i="4" l="1"/>
  <c r="B220" i="4"/>
  <c r="P220" i="4"/>
  <c r="Q220" i="4" s="1"/>
  <c r="M220" i="4" s="1"/>
  <c r="N220" i="4"/>
  <c r="E220" i="4"/>
  <c r="D220" i="4" s="1"/>
  <c r="C220" i="4" s="1"/>
  <c r="G221" i="4" l="1"/>
  <c r="B221" i="4"/>
  <c r="P221" i="4"/>
  <c r="Q221" i="4" s="1"/>
  <c r="M221" i="4" s="1"/>
  <c r="N221" i="4"/>
  <c r="E221" i="4"/>
  <c r="D221" i="4" s="1"/>
  <c r="C221" i="4" s="1"/>
  <c r="G222" i="4" l="1"/>
  <c r="B222" i="4"/>
  <c r="P222" i="4"/>
  <c r="Q222" i="4" s="1"/>
  <c r="M222" i="4" s="1"/>
  <c r="N222" i="4"/>
  <c r="E222" i="4"/>
  <c r="D222" i="4" s="1"/>
  <c r="C222" i="4" s="1"/>
  <c r="G223" i="4" l="1"/>
  <c r="B223" i="4"/>
  <c r="P223" i="4"/>
  <c r="Q223" i="4" s="1"/>
  <c r="M223" i="4" s="1"/>
  <c r="N223" i="4"/>
  <c r="E223" i="4"/>
  <c r="D223" i="4" s="1"/>
  <c r="C223" i="4" s="1"/>
  <c r="G224" i="4" l="1"/>
  <c r="B224" i="4" s="1"/>
  <c r="P224" i="4"/>
  <c r="Q224" i="4" s="1"/>
  <c r="M224" i="4" s="1"/>
  <c r="N224" i="4"/>
  <c r="E224" i="4"/>
  <c r="D224" i="4" s="1"/>
  <c r="C224" i="4" s="1"/>
  <c r="G225" i="4" l="1"/>
  <c r="B225" i="4"/>
  <c r="P225" i="4"/>
  <c r="Q225" i="4" s="1"/>
  <c r="M225" i="4" s="1"/>
  <c r="N225" i="4"/>
  <c r="E225" i="4"/>
  <c r="D225" i="4" s="1"/>
  <c r="C225" i="4" s="1"/>
  <c r="G226" i="4" l="1"/>
  <c r="B226" i="4"/>
  <c r="P226" i="4"/>
  <c r="Q226" i="4" s="1"/>
  <c r="M226" i="4" s="1"/>
  <c r="N226" i="4"/>
  <c r="E226" i="4"/>
  <c r="D226" i="4" s="1"/>
  <c r="C226" i="4" s="1"/>
  <c r="G227" i="4" l="1"/>
  <c r="B227" i="4"/>
  <c r="P227" i="4"/>
  <c r="Q227" i="4" s="1"/>
  <c r="M227" i="4" s="1"/>
  <c r="N227" i="4"/>
  <c r="E227" i="4"/>
  <c r="D227" i="4" s="1"/>
  <c r="C227" i="4" s="1"/>
  <c r="G228" i="4" l="1"/>
  <c r="B228" i="4"/>
  <c r="P228" i="4"/>
  <c r="Q228" i="4" s="1"/>
  <c r="M228" i="4" s="1"/>
  <c r="N228" i="4"/>
  <c r="E228" i="4"/>
  <c r="D228" i="4" s="1"/>
  <c r="C228" i="4" s="1"/>
  <c r="G229" i="4" l="1"/>
  <c r="B229" i="4" s="1"/>
  <c r="E229" i="4"/>
  <c r="D229" i="4" s="1"/>
  <c r="C229" i="4" s="1"/>
  <c r="P229" i="4"/>
  <c r="Q229" i="4" s="1"/>
  <c r="M229" i="4" s="1"/>
  <c r="N229" i="4"/>
  <c r="G230" i="4" l="1"/>
  <c r="B230" i="4"/>
  <c r="E230" i="4"/>
  <c r="D230" i="4" s="1"/>
  <c r="C230" i="4" s="1"/>
  <c r="P230" i="4"/>
  <c r="Q230" i="4" s="1"/>
  <c r="M230" i="4" s="1"/>
  <c r="N230" i="4"/>
  <c r="G231" i="4" l="1"/>
  <c r="B231" i="4"/>
  <c r="E231" i="4"/>
  <c r="D231" i="4" s="1"/>
  <c r="C231" i="4" s="1"/>
  <c r="P231" i="4"/>
  <c r="Q231" i="4" s="1"/>
  <c r="M231" i="4" s="1"/>
  <c r="N231" i="4"/>
  <c r="G232" i="4" l="1"/>
  <c r="B232" i="4" s="1"/>
  <c r="E232" i="4"/>
  <c r="D232" i="4" s="1"/>
  <c r="C232" i="4" s="1"/>
  <c r="P232" i="4"/>
  <c r="Q232" i="4" s="1"/>
  <c r="M232" i="4" s="1"/>
  <c r="N232" i="4"/>
  <c r="G233" i="4" l="1"/>
  <c r="B233" i="4" s="1"/>
  <c r="E233" i="4"/>
  <c r="D233" i="4" s="1"/>
  <c r="C233" i="4" s="1"/>
  <c r="P233" i="4"/>
  <c r="Q233" i="4" s="1"/>
  <c r="M233" i="4" s="1"/>
  <c r="N233" i="4"/>
  <c r="G234" i="4" l="1"/>
  <c r="B234" i="4"/>
  <c r="E234" i="4"/>
  <c r="D234" i="4" s="1"/>
  <c r="C234" i="4" s="1"/>
  <c r="N234" i="4"/>
  <c r="P234" i="4"/>
  <c r="Q234" i="4" s="1"/>
  <c r="M234" i="4" s="1"/>
  <c r="G235" i="4" l="1"/>
  <c r="B235" i="4"/>
  <c r="E235" i="4"/>
  <c r="D235" i="4" s="1"/>
  <c r="C235" i="4" s="1"/>
  <c r="P235" i="4"/>
  <c r="Q235" i="4" s="1"/>
  <c r="M235" i="4" s="1"/>
  <c r="N235" i="4"/>
  <c r="G236" i="4" l="1"/>
  <c r="B236" i="4"/>
  <c r="P236" i="4"/>
  <c r="Q236" i="4" s="1"/>
  <c r="M236" i="4" s="1"/>
  <c r="N236" i="4"/>
  <c r="E236" i="4"/>
  <c r="D236" i="4" s="1"/>
  <c r="C236" i="4" s="1"/>
  <c r="G237" i="4" l="1"/>
  <c r="B237" i="4"/>
  <c r="P237" i="4"/>
  <c r="Q237" i="4" s="1"/>
  <c r="M237" i="4" s="1"/>
  <c r="N237" i="4"/>
  <c r="E237" i="4"/>
  <c r="D237" i="4" s="1"/>
  <c r="C237" i="4" s="1"/>
  <c r="G238" i="4" l="1"/>
  <c r="B238" i="4"/>
  <c r="P238" i="4"/>
  <c r="Q238" i="4" s="1"/>
  <c r="M238" i="4" s="1"/>
  <c r="N238" i="4"/>
  <c r="E238" i="4"/>
  <c r="D238" i="4" s="1"/>
  <c r="C238" i="4" s="1"/>
  <c r="G239" i="4" l="1"/>
  <c r="B239" i="4"/>
  <c r="P239" i="4"/>
  <c r="Q239" i="4" s="1"/>
  <c r="M239" i="4" s="1"/>
  <c r="N239" i="4"/>
  <c r="E239" i="4"/>
  <c r="D239" i="4" s="1"/>
  <c r="C239" i="4" s="1"/>
  <c r="G240" i="4" l="1"/>
  <c r="B240" i="4" s="1"/>
  <c r="P240" i="4"/>
  <c r="Q240" i="4" s="1"/>
  <c r="M240" i="4" s="1"/>
  <c r="N240" i="4"/>
  <c r="E240" i="4"/>
  <c r="D240" i="4" s="1"/>
  <c r="C240" i="4" s="1"/>
  <c r="G241" i="4" l="1"/>
  <c r="B241" i="4"/>
  <c r="P241" i="4"/>
  <c r="Q241" i="4" s="1"/>
  <c r="M241" i="4" s="1"/>
  <c r="N241" i="4"/>
  <c r="E241" i="4"/>
  <c r="D241" i="4" s="1"/>
  <c r="C241" i="4" s="1"/>
  <c r="G242" i="4" l="1"/>
  <c r="B242" i="4"/>
  <c r="E242" i="4"/>
  <c r="D242" i="4" s="1"/>
  <c r="C242" i="4" s="1"/>
  <c r="P242" i="4"/>
  <c r="Q242" i="4" s="1"/>
  <c r="M242" i="4" s="1"/>
  <c r="N242" i="4"/>
  <c r="G243" i="4" l="1"/>
  <c r="B243" i="4"/>
  <c r="P243" i="4"/>
  <c r="Q243" i="4" s="1"/>
  <c r="M243" i="4" s="1"/>
  <c r="N243" i="4"/>
  <c r="E243" i="4"/>
  <c r="D243" i="4" s="1"/>
  <c r="C243" i="4" s="1"/>
  <c r="G244" i="4" l="1"/>
  <c r="B244" i="4" s="1"/>
  <c r="E244" i="4"/>
  <c r="D244" i="4" s="1"/>
  <c r="C244" i="4" s="1"/>
  <c r="P244" i="4"/>
  <c r="Q244" i="4" s="1"/>
  <c r="M244" i="4" s="1"/>
  <c r="N244" i="4"/>
  <c r="G245" i="4" l="1"/>
  <c r="B245" i="4" s="1"/>
  <c r="E245" i="4"/>
  <c r="D245" i="4" s="1"/>
  <c r="C245" i="4" s="1"/>
  <c r="P245" i="4"/>
  <c r="Q245" i="4" s="1"/>
  <c r="M245" i="4" s="1"/>
  <c r="N245" i="4"/>
  <c r="G246" i="4" l="1"/>
  <c r="B246" i="4"/>
  <c r="E246" i="4"/>
  <c r="D246" i="4" s="1"/>
  <c r="C246" i="4" s="1"/>
  <c r="P246" i="4"/>
  <c r="Q246" i="4" s="1"/>
  <c r="M246" i="4" s="1"/>
  <c r="N246" i="4"/>
  <c r="G247" i="4" l="1"/>
  <c r="B247" i="4"/>
  <c r="E247" i="4"/>
  <c r="D247" i="4" s="1"/>
  <c r="C247" i="4" s="1"/>
  <c r="P247" i="4"/>
  <c r="Q247" i="4" s="1"/>
  <c r="M247" i="4" s="1"/>
  <c r="N247" i="4"/>
  <c r="G248" i="4" l="1"/>
  <c r="B248" i="4" s="1"/>
  <c r="E248" i="4"/>
  <c r="D248" i="4" s="1"/>
  <c r="C248" i="4" s="1"/>
  <c r="P248" i="4"/>
  <c r="Q248" i="4" s="1"/>
  <c r="M248" i="4" s="1"/>
  <c r="N248" i="4"/>
  <c r="G249" i="4" l="1"/>
  <c r="B249" i="4" s="1"/>
  <c r="E249" i="4"/>
  <c r="D249" i="4" s="1"/>
  <c r="C249" i="4" s="1"/>
  <c r="P249" i="4"/>
  <c r="Q249" i="4" s="1"/>
  <c r="M249" i="4" s="1"/>
  <c r="N249" i="4"/>
  <c r="G250" i="4" l="1"/>
  <c r="B250" i="4"/>
  <c r="P250" i="4"/>
  <c r="Q250" i="4" s="1"/>
  <c r="M250" i="4" s="1"/>
  <c r="N250" i="4"/>
  <c r="E250" i="4"/>
  <c r="D250" i="4" s="1"/>
  <c r="C250" i="4" s="1"/>
  <c r="G251" i="4" l="1"/>
  <c r="B251" i="4"/>
  <c r="P251" i="4"/>
  <c r="Q251" i="4" s="1"/>
  <c r="M251" i="4" s="1"/>
  <c r="N251" i="4"/>
  <c r="E251" i="4"/>
  <c r="D251" i="4" s="1"/>
  <c r="C251" i="4" s="1"/>
  <c r="G252" i="4" l="1"/>
  <c r="B252" i="4"/>
  <c r="N252" i="4"/>
  <c r="P252" i="4"/>
  <c r="Q252" i="4" s="1"/>
  <c r="M252" i="4" s="1"/>
  <c r="E252" i="4"/>
  <c r="D252" i="4" s="1"/>
  <c r="C252" i="4" s="1"/>
  <c r="G253" i="4" l="1"/>
  <c r="B253" i="4" s="1"/>
  <c r="E253" i="4"/>
  <c r="D253" i="4" s="1"/>
  <c r="C253" i="4" s="1"/>
  <c r="P253" i="4"/>
  <c r="Q253" i="4" s="1"/>
  <c r="M253" i="4" s="1"/>
  <c r="N253" i="4"/>
  <c r="G254" i="4" l="1"/>
  <c r="B254" i="4" s="1"/>
  <c r="E254" i="4"/>
  <c r="D254" i="4" s="1"/>
  <c r="C254" i="4" s="1"/>
  <c r="P254" i="4"/>
  <c r="Q254" i="4" s="1"/>
  <c r="M254" i="4" s="1"/>
  <c r="N254" i="4"/>
  <c r="G255" i="4" l="1"/>
  <c r="B255" i="4"/>
  <c r="E255" i="4"/>
  <c r="D255" i="4" s="1"/>
  <c r="C255" i="4" s="1"/>
  <c r="P255" i="4"/>
  <c r="Q255" i="4" s="1"/>
  <c r="M255" i="4" s="1"/>
  <c r="N255" i="4"/>
  <c r="G256" i="4" l="1"/>
  <c r="B256" i="4" s="1"/>
  <c r="E256" i="4"/>
  <c r="D256" i="4" s="1"/>
  <c r="C256" i="4" s="1"/>
  <c r="P256" i="4"/>
  <c r="Q256" i="4" s="1"/>
  <c r="M256" i="4" s="1"/>
  <c r="N256" i="4"/>
  <c r="G257" i="4" l="1"/>
  <c r="B257" i="4"/>
  <c r="P257" i="4"/>
  <c r="Q257" i="4" s="1"/>
  <c r="M257" i="4" s="1"/>
  <c r="N257" i="4"/>
  <c r="E257" i="4"/>
  <c r="D257" i="4" s="1"/>
  <c r="C257" i="4" s="1"/>
  <c r="G258" i="4" l="1"/>
  <c r="B258" i="4"/>
  <c r="P258" i="4"/>
  <c r="Q258" i="4" s="1"/>
  <c r="M258" i="4" s="1"/>
  <c r="N258" i="4"/>
  <c r="E258" i="4"/>
  <c r="D258" i="4" s="1"/>
  <c r="C258" i="4" s="1"/>
  <c r="G259" i="4" l="1"/>
  <c r="B259" i="4"/>
  <c r="P259" i="4"/>
  <c r="Q259" i="4" s="1"/>
  <c r="M259" i="4" s="1"/>
  <c r="N259" i="4"/>
  <c r="E259" i="4"/>
  <c r="D259" i="4" s="1"/>
  <c r="C259" i="4" s="1"/>
  <c r="G260" i="4" l="1"/>
  <c r="B260" i="4"/>
  <c r="P260" i="4"/>
  <c r="Q260" i="4" s="1"/>
  <c r="M260" i="4" s="1"/>
  <c r="N260" i="4"/>
  <c r="E260" i="4"/>
  <c r="D260" i="4" s="1"/>
  <c r="C260" i="4" s="1"/>
  <c r="G261" i="4" l="1"/>
  <c r="B261" i="4"/>
  <c r="P261" i="4"/>
  <c r="Q261" i="4" s="1"/>
  <c r="M261" i="4" s="1"/>
  <c r="N261" i="4"/>
  <c r="E261" i="4"/>
  <c r="D261" i="4" s="1"/>
  <c r="C261" i="4" s="1"/>
  <c r="G262" i="4" l="1"/>
  <c r="B262" i="4" s="1"/>
  <c r="E262" i="4"/>
  <c r="D262" i="4" s="1"/>
  <c r="C262" i="4" s="1"/>
  <c r="P262" i="4"/>
  <c r="Q262" i="4" s="1"/>
  <c r="M262" i="4" s="1"/>
  <c r="N262" i="4"/>
  <c r="G263" i="4" l="1"/>
  <c r="B263" i="4"/>
  <c r="P263" i="4"/>
  <c r="Q263" i="4" s="1"/>
  <c r="M263" i="4" s="1"/>
  <c r="N263" i="4"/>
  <c r="E263" i="4"/>
  <c r="D263" i="4" s="1"/>
  <c r="C263" i="4" s="1"/>
  <c r="G264" i="4" l="1"/>
  <c r="B264" i="4" s="1"/>
  <c r="E264" i="4"/>
  <c r="D264" i="4" s="1"/>
  <c r="C264" i="4" s="1"/>
  <c r="P264" i="4"/>
  <c r="Q264" i="4" s="1"/>
  <c r="M264" i="4" s="1"/>
  <c r="N264" i="4"/>
  <c r="G265" i="4" l="1"/>
  <c r="B265" i="4" s="1"/>
  <c r="P265" i="4"/>
  <c r="Q265" i="4" s="1"/>
  <c r="M265" i="4" s="1"/>
  <c r="N265" i="4"/>
  <c r="E265" i="4"/>
  <c r="D265" i="4" s="1"/>
  <c r="C265" i="4" s="1"/>
  <c r="G266" i="4" l="1"/>
  <c r="B266" i="4"/>
  <c r="P266" i="4"/>
  <c r="Q266" i="4" s="1"/>
  <c r="M266" i="4" s="1"/>
  <c r="N266" i="4"/>
  <c r="E266" i="4"/>
  <c r="D266" i="4" s="1"/>
  <c r="C266" i="4" s="1"/>
  <c r="G267" i="4" l="1"/>
  <c r="B267" i="4"/>
  <c r="E267" i="4"/>
  <c r="D267" i="4" s="1"/>
  <c r="C267" i="4" s="1"/>
  <c r="P267" i="4"/>
  <c r="Q267" i="4" s="1"/>
  <c r="M267" i="4" s="1"/>
  <c r="N267" i="4"/>
  <c r="G268" i="4" l="1"/>
  <c r="B268" i="4"/>
  <c r="P268" i="4"/>
  <c r="Q268" i="4" s="1"/>
  <c r="M268" i="4" s="1"/>
  <c r="N268" i="4"/>
  <c r="E268" i="4"/>
  <c r="D268" i="4" s="1"/>
  <c r="C268" i="4" s="1"/>
  <c r="G269" i="4" l="1"/>
  <c r="B269" i="4" s="1"/>
  <c r="E269" i="4"/>
  <c r="D269" i="4" s="1"/>
  <c r="C269" i="4" s="1"/>
  <c r="P269" i="4"/>
  <c r="Q269" i="4" s="1"/>
  <c r="M269" i="4" s="1"/>
  <c r="N269" i="4"/>
  <c r="G270" i="4" l="1"/>
  <c r="B270" i="4"/>
  <c r="P270" i="4"/>
  <c r="Q270" i="4" s="1"/>
  <c r="M270" i="4" s="1"/>
  <c r="N270" i="4"/>
  <c r="E270" i="4"/>
  <c r="D270" i="4" s="1"/>
  <c r="C270" i="4" s="1"/>
  <c r="G271" i="4" l="1"/>
  <c r="B271" i="4"/>
  <c r="P271" i="4"/>
  <c r="Q271" i="4" s="1"/>
  <c r="M271" i="4" s="1"/>
  <c r="N271" i="4"/>
  <c r="E271" i="4"/>
  <c r="D271" i="4" s="1"/>
  <c r="C271" i="4" s="1"/>
  <c r="G272" i="4" l="1"/>
  <c r="B272" i="4" s="1"/>
  <c r="P272" i="4"/>
  <c r="Q272" i="4" s="1"/>
  <c r="M272" i="4" s="1"/>
  <c r="N272" i="4"/>
  <c r="E272" i="4"/>
  <c r="D272" i="4" s="1"/>
  <c r="C272" i="4" s="1"/>
  <c r="G273" i="4" l="1"/>
  <c r="B273" i="4"/>
  <c r="P273" i="4"/>
  <c r="Q273" i="4" s="1"/>
  <c r="M273" i="4" s="1"/>
  <c r="N273" i="4"/>
  <c r="E273" i="4"/>
  <c r="D273" i="4" s="1"/>
  <c r="C273" i="4" s="1"/>
  <c r="G274" i="4" l="1"/>
  <c r="B274" i="4"/>
  <c r="P274" i="4"/>
  <c r="Q274" i="4" s="1"/>
  <c r="M274" i="4" s="1"/>
  <c r="N274" i="4"/>
  <c r="E274" i="4"/>
  <c r="D274" i="4" s="1"/>
  <c r="C274" i="4" s="1"/>
  <c r="G275" i="4" l="1"/>
  <c r="B275" i="4"/>
  <c r="P275" i="4"/>
  <c r="Q275" i="4" s="1"/>
  <c r="M275" i="4" s="1"/>
  <c r="N275" i="4"/>
  <c r="E275" i="4"/>
  <c r="D275" i="4" s="1"/>
  <c r="C275" i="4" s="1"/>
  <c r="G276" i="4" l="1"/>
  <c r="B276" i="4"/>
  <c r="P276" i="4"/>
  <c r="Q276" i="4" s="1"/>
  <c r="M276" i="4" s="1"/>
  <c r="N276" i="4"/>
  <c r="E276" i="4"/>
  <c r="D276" i="4" s="1"/>
  <c r="C276" i="4" s="1"/>
  <c r="G277" i="4" l="1"/>
  <c r="B277" i="4"/>
  <c r="P277" i="4"/>
  <c r="Q277" i="4" s="1"/>
  <c r="M277" i="4" s="1"/>
  <c r="N277" i="4"/>
  <c r="E277" i="4"/>
  <c r="D277" i="4" s="1"/>
  <c r="C277" i="4" s="1"/>
  <c r="G278" i="4" l="1"/>
  <c r="B278" i="4"/>
  <c r="P278" i="4"/>
  <c r="Q278" i="4" s="1"/>
  <c r="M278" i="4" s="1"/>
  <c r="N278" i="4"/>
  <c r="E278" i="4"/>
  <c r="D278" i="4" s="1"/>
  <c r="C278" i="4" s="1"/>
  <c r="G279" i="4" l="1"/>
  <c r="B279" i="4"/>
  <c r="P279" i="4"/>
  <c r="Q279" i="4" s="1"/>
  <c r="M279" i="4" s="1"/>
  <c r="N279" i="4"/>
  <c r="E279" i="4"/>
  <c r="D279" i="4" s="1"/>
  <c r="C279" i="4" s="1"/>
  <c r="G280" i="4" l="1"/>
  <c r="B280" i="4" s="1"/>
  <c r="P280" i="4"/>
  <c r="Q280" i="4" s="1"/>
  <c r="M280" i="4" s="1"/>
  <c r="N280" i="4"/>
  <c r="E280" i="4"/>
  <c r="D280" i="4" s="1"/>
  <c r="C280" i="4" s="1"/>
  <c r="G281" i="4" l="1"/>
  <c r="B281" i="4"/>
  <c r="P281" i="4"/>
  <c r="Q281" i="4" s="1"/>
  <c r="M281" i="4" s="1"/>
  <c r="N281" i="4"/>
  <c r="E281" i="4"/>
  <c r="D281" i="4" s="1"/>
  <c r="C281" i="4" s="1"/>
  <c r="G282" i="4" l="1"/>
  <c r="B282" i="4"/>
  <c r="P282" i="4"/>
  <c r="Q282" i="4" s="1"/>
  <c r="M282" i="4" s="1"/>
  <c r="N282" i="4"/>
  <c r="E282" i="4"/>
  <c r="D282" i="4" s="1"/>
  <c r="C282" i="4" s="1"/>
  <c r="G283" i="4" l="1"/>
  <c r="B283" i="4"/>
  <c r="E283" i="4"/>
  <c r="D283" i="4" s="1"/>
  <c r="C283" i="4" s="1"/>
  <c r="P283" i="4"/>
  <c r="Q283" i="4" s="1"/>
  <c r="M283" i="4" s="1"/>
  <c r="N283" i="4"/>
  <c r="G284" i="4" l="1"/>
  <c r="B284" i="4"/>
  <c r="P284" i="4"/>
  <c r="Q284" i="4" s="1"/>
  <c r="M284" i="4" s="1"/>
  <c r="N284" i="4"/>
  <c r="E284" i="4"/>
  <c r="D284" i="4" s="1"/>
  <c r="C284" i="4" s="1"/>
  <c r="G285" i="4" l="1"/>
  <c r="B285" i="4"/>
  <c r="E285" i="4"/>
  <c r="D285" i="4" s="1"/>
  <c r="C285" i="4" s="1"/>
  <c r="P285" i="4"/>
  <c r="Q285" i="4" s="1"/>
  <c r="M285" i="4" s="1"/>
  <c r="N285" i="4"/>
  <c r="G286" i="4" l="1"/>
  <c r="B286" i="4"/>
  <c r="P286" i="4"/>
  <c r="Q286" i="4" s="1"/>
  <c r="M286" i="4" s="1"/>
  <c r="N286" i="4"/>
  <c r="E286" i="4"/>
  <c r="D286" i="4" s="1"/>
  <c r="C286" i="4" s="1"/>
  <c r="G287" i="4" l="1"/>
  <c r="B287" i="4"/>
  <c r="P287" i="4"/>
  <c r="Q287" i="4" s="1"/>
  <c r="M287" i="4" s="1"/>
  <c r="N287" i="4"/>
  <c r="E287" i="4"/>
  <c r="D287" i="4" s="1"/>
  <c r="C287" i="4" s="1"/>
  <c r="G288" i="4" l="1"/>
  <c r="B288" i="4" s="1"/>
  <c r="P288" i="4"/>
  <c r="Q288" i="4" s="1"/>
  <c r="M288" i="4" s="1"/>
  <c r="N288" i="4"/>
  <c r="E288" i="4"/>
  <c r="D288" i="4" s="1"/>
  <c r="C288" i="4" s="1"/>
  <c r="G289" i="4" l="1"/>
  <c r="B289" i="4"/>
  <c r="P289" i="4"/>
  <c r="Q289" i="4" s="1"/>
  <c r="M289" i="4" s="1"/>
  <c r="N289" i="4"/>
  <c r="E289" i="4"/>
  <c r="D289" i="4" s="1"/>
  <c r="C289" i="4" s="1"/>
  <c r="G290" i="4" l="1"/>
  <c r="B290" i="4"/>
  <c r="P290" i="4"/>
  <c r="Q290" i="4" s="1"/>
  <c r="M290" i="4" s="1"/>
  <c r="N290" i="4"/>
  <c r="E290" i="4"/>
  <c r="D290" i="4" s="1"/>
  <c r="C290" i="4" s="1"/>
  <c r="G291" i="4" l="1"/>
  <c r="B291" i="4"/>
  <c r="P291" i="4"/>
  <c r="Q291" i="4" s="1"/>
  <c r="M291" i="4" s="1"/>
  <c r="N291" i="4"/>
  <c r="E291" i="4"/>
  <c r="D291" i="4" s="1"/>
  <c r="C291" i="4" s="1"/>
  <c r="G292" i="4" l="1"/>
  <c r="B292" i="4"/>
  <c r="P292" i="4"/>
  <c r="Q292" i="4" s="1"/>
  <c r="M292" i="4" s="1"/>
  <c r="N292" i="4"/>
  <c r="E292" i="4"/>
  <c r="D292" i="4" s="1"/>
  <c r="C292" i="4" s="1"/>
  <c r="G293" i="4" l="1"/>
  <c r="B293" i="4"/>
  <c r="P293" i="4"/>
  <c r="Q293" i="4" s="1"/>
  <c r="M293" i="4" s="1"/>
  <c r="N293" i="4"/>
  <c r="E293" i="4"/>
  <c r="D293" i="4" s="1"/>
  <c r="C293" i="4" s="1"/>
  <c r="G294" i="4" l="1"/>
  <c r="B294" i="4"/>
  <c r="E294" i="4"/>
  <c r="D294" i="4" s="1"/>
  <c r="C294" i="4" s="1"/>
  <c r="P294" i="4"/>
  <c r="Q294" i="4" s="1"/>
  <c r="M294" i="4" s="1"/>
  <c r="N294" i="4"/>
  <c r="G295" i="4" l="1"/>
  <c r="B295" i="4"/>
  <c r="E295" i="4"/>
  <c r="D295" i="4" s="1"/>
  <c r="C295" i="4" s="1"/>
  <c r="P295" i="4"/>
  <c r="Q295" i="4" s="1"/>
  <c r="M295" i="4" s="1"/>
  <c r="N295" i="4"/>
  <c r="G296" i="4" l="1"/>
  <c r="B296" i="4" s="1"/>
  <c r="E296" i="4"/>
  <c r="D296" i="4" s="1"/>
  <c r="C296" i="4" s="1"/>
  <c r="P296" i="4"/>
  <c r="Q296" i="4" s="1"/>
  <c r="M296" i="4" s="1"/>
  <c r="N296" i="4"/>
  <c r="G297" i="4" l="1"/>
  <c r="B297" i="4" s="1"/>
  <c r="P297" i="4"/>
  <c r="Q297" i="4" s="1"/>
  <c r="M297" i="4" s="1"/>
  <c r="N297" i="4"/>
  <c r="E297" i="4"/>
  <c r="D297" i="4" s="1"/>
  <c r="C297" i="4" s="1"/>
  <c r="G298" i="4" l="1"/>
  <c r="B298" i="4"/>
  <c r="E298" i="4"/>
  <c r="D298" i="4" s="1"/>
  <c r="C298" i="4" s="1"/>
  <c r="P298" i="4"/>
  <c r="Q298" i="4" s="1"/>
  <c r="M298" i="4" s="1"/>
  <c r="N298" i="4"/>
  <c r="G299" i="4" l="1"/>
  <c r="B299" i="4"/>
  <c r="P299" i="4"/>
  <c r="Q299" i="4" s="1"/>
  <c r="M299" i="4" s="1"/>
  <c r="N299" i="4"/>
  <c r="E299" i="4"/>
  <c r="D299" i="4" s="1"/>
  <c r="C299" i="4" s="1"/>
  <c r="G300" i="4" l="1"/>
  <c r="B300" i="4"/>
  <c r="P300" i="4"/>
  <c r="Q300" i="4" s="1"/>
  <c r="M300" i="4" s="1"/>
  <c r="N300" i="4"/>
  <c r="E300" i="4"/>
  <c r="D300" i="4" s="1"/>
  <c r="C300" i="4" s="1"/>
  <c r="G301" i="4" l="1"/>
  <c r="B301" i="4" s="1"/>
  <c r="E301" i="4"/>
  <c r="D301" i="4" s="1"/>
  <c r="C301" i="4" s="1"/>
  <c r="P301" i="4"/>
  <c r="Q301" i="4" s="1"/>
  <c r="M301" i="4" s="1"/>
  <c r="N301" i="4"/>
  <c r="G302" i="4" l="1"/>
  <c r="B302" i="4" s="1"/>
  <c r="E302" i="4"/>
  <c r="D302" i="4" s="1"/>
  <c r="C302" i="4" s="1"/>
  <c r="P302" i="4"/>
  <c r="Q302" i="4" s="1"/>
  <c r="M302" i="4" s="1"/>
  <c r="N302" i="4"/>
  <c r="G303" i="4" l="1"/>
  <c r="B303" i="4"/>
  <c r="P303" i="4"/>
  <c r="Q303" i="4" s="1"/>
  <c r="M303" i="4" s="1"/>
  <c r="N303" i="4"/>
  <c r="E303" i="4"/>
  <c r="D303" i="4" s="1"/>
  <c r="C303" i="4" s="1"/>
  <c r="G304" i="4" l="1"/>
  <c r="B304" i="4"/>
  <c r="P304" i="4"/>
  <c r="Q304" i="4" s="1"/>
  <c r="M304" i="4" s="1"/>
  <c r="N304" i="4"/>
  <c r="E304" i="4"/>
  <c r="D304" i="4" s="1"/>
  <c r="C304" i="4" s="1"/>
  <c r="G305" i="4" l="1"/>
  <c r="B305" i="4"/>
  <c r="P305" i="4"/>
  <c r="Q305" i="4" s="1"/>
  <c r="M305" i="4" s="1"/>
  <c r="N305" i="4"/>
  <c r="E305" i="4"/>
  <c r="D305" i="4" s="1"/>
  <c r="C305" i="4" s="1"/>
  <c r="G306" i="4" l="1"/>
  <c r="B306" i="4" s="1"/>
  <c r="E306" i="4"/>
  <c r="D306" i="4" s="1"/>
  <c r="C306" i="4" s="1"/>
  <c r="P306" i="4"/>
  <c r="Q306" i="4" s="1"/>
  <c r="M306" i="4" s="1"/>
  <c r="N306" i="4"/>
  <c r="G307" i="4" l="1"/>
  <c r="B307" i="4"/>
  <c r="P307" i="4"/>
  <c r="Q307" i="4" s="1"/>
  <c r="M307" i="4" s="1"/>
  <c r="N307" i="4"/>
  <c r="E307" i="4"/>
  <c r="D307" i="4" s="1"/>
  <c r="C307" i="4" s="1"/>
  <c r="G308" i="4" l="1"/>
  <c r="B308" i="4"/>
  <c r="P308" i="4"/>
  <c r="Q308" i="4" s="1"/>
  <c r="M308" i="4" s="1"/>
  <c r="N308" i="4"/>
  <c r="E308" i="4"/>
  <c r="D308" i="4" s="1"/>
  <c r="C308" i="4" s="1"/>
  <c r="G309" i="4" l="1"/>
  <c r="B309" i="4"/>
  <c r="P309" i="4"/>
  <c r="Q309" i="4" s="1"/>
  <c r="M309" i="4" s="1"/>
  <c r="N309" i="4"/>
  <c r="E309" i="4"/>
  <c r="D309" i="4" s="1"/>
  <c r="C309" i="4" s="1"/>
  <c r="G310" i="4" l="1"/>
  <c r="B310" i="4"/>
  <c r="P310" i="4"/>
  <c r="Q310" i="4" s="1"/>
  <c r="M310" i="4" s="1"/>
  <c r="N310" i="4"/>
  <c r="E310" i="4"/>
  <c r="D310" i="4" s="1"/>
  <c r="C310" i="4" s="1"/>
  <c r="G311" i="4" l="1"/>
  <c r="B311" i="4"/>
  <c r="P311" i="4"/>
  <c r="Q311" i="4" s="1"/>
  <c r="M311" i="4" s="1"/>
  <c r="N311" i="4"/>
  <c r="E311" i="4"/>
  <c r="D311" i="4" s="1"/>
  <c r="C311" i="4" s="1"/>
  <c r="G312" i="4" l="1"/>
  <c r="B312" i="4" s="1"/>
  <c r="P312" i="4"/>
  <c r="Q312" i="4" s="1"/>
  <c r="M312" i="4" s="1"/>
  <c r="N312" i="4"/>
  <c r="E312" i="4"/>
  <c r="D312" i="4" s="1"/>
  <c r="C312" i="4" s="1"/>
  <c r="G313" i="4" l="1"/>
  <c r="B313" i="4"/>
  <c r="P313" i="4"/>
  <c r="Q313" i="4" s="1"/>
  <c r="M313" i="4" s="1"/>
  <c r="N313" i="4"/>
  <c r="E313" i="4"/>
  <c r="D313" i="4" s="1"/>
  <c r="C313" i="4" s="1"/>
  <c r="G314" i="4" l="1"/>
  <c r="B314" i="4"/>
  <c r="E314" i="4"/>
  <c r="D314" i="4" s="1"/>
  <c r="C314" i="4" s="1"/>
  <c r="P314" i="4"/>
  <c r="Q314" i="4" s="1"/>
  <c r="M314" i="4" s="1"/>
  <c r="N314" i="4"/>
  <c r="G315" i="4" l="1"/>
  <c r="B315" i="4"/>
  <c r="P315" i="4"/>
  <c r="Q315" i="4" s="1"/>
  <c r="M315" i="4" s="1"/>
  <c r="N315" i="4"/>
  <c r="E315" i="4"/>
  <c r="D315" i="4" s="1"/>
  <c r="C315" i="4" s="1"/>
  <c r="G316" i="4" l="1"/>
  <c r="B316" i="4" s="1"/>
  <c r="E316" i="4"/>
  <c r="D316" i="4" s="1"/>
  <c r="C316" i="4" s="1"/>
  <c r="P316" i="4"/>
  <c r="Q316" i="4" s="1"/>
  <c r="M316" i="4" s="1"/>
  <c r="N316" i="4"/>
  <c r="G317" i="4" l="1"/>
  <c r="B317" i="4"/>
  <c r="P317" i="4"/>
  <c r="Q317" i="4" s="1"/>
  <c r="M317" i="4" s="1"/>
  <c r="N317" i="4"/>
  <c r="E317" i="4"/>
  <c r="D317" i="4" s="1"/>
  <c r="C317" i="4" s="1"/>
  <c r="G318" i="4" l="1"/>
  <c r="B318" i="4"/>
  <c r="E318" i="4"/>
  <c r="D318" i="4" s="1"/>
  <c r="C318" i="4" s="1"/>
  <c r="P318" i="4"/>
  <c r="Q318" i="4" s="1"/>
  <c r="M318" i="4" s="1"/>
  <c r="N318" i="4"/>
  <c r="G319" i="4" l="1"/>
  <c r="B319" i="4"/>
  <c r="P319" i="4"/>
  <c r="Q319" i="4" s="1"/>
  <c r="M319" i="4" s="1"/>
  <c r="N319" i="4"/>
  <c r="E319" i="4"/>
  <c r="D319" i="4" s="1"/>
  <c r="C319" i="4" s="1"/>
  <c r="G320" i="4" l="1"/>
  <c r="B320" i="4" s="1"/>
  <c r="E320" i="4"/>
  <c r="D320" i="4" s="1"/>
  <c r="C320" i="4" s="1"/>
  <c r="N320" i="4"/>
  <c r="P320" i="4"/>
  <c r="Q320" i="4" s="1"/>
  <c r="M320" i="4" s="1"/>
  <c r="G321" i="4" l="1"/>
  <c r="B321" i="4"/>
  <c r="N321" i="4"/>
  <c r="P321" i="4"/>
  <c r="Q321" i="4" s="1"/>
  <c r="M321" i="4" s="1"/>
  <c r="E321" i="4"/>
  <c r="D321" i="4" s="1"/>
  <c r="C321" i="4" s="1"/>
  <c r="G322" i="4" l="1"/>
  <c r="B322" i="4"/>
  <c r="E322" i="4"/>
  <c r="D322" i="4" s="1"/>
  <c r="C322" i="4" s="1"/>
  <c r="N322" i="4"/>
  <c r="P322" i="4"/>
  <c r="Q322" i="4" s="1"/>
  <c r="M322" i="4" s="1"/>
  <c r="G323" i="4" l="1"/>
  <c r="B323" i="4"/>
  <c r="N323" i="4"/>
  <c r="P323" i="4"/>
  <c r="Q323" i="4" s="1"/>
  <c r="M323" i="4" s="1"/>
  <c r="E323" i="4"/>
  <c r="D323" i="4" s="1"/>
  <c r="C323" i="4" s="1"/>
  <c r="G324" i="4" l="1"/>
  <c r="B324" i="4"/>
  <c r="E324" i="4"/>
  <c r="D324" i="4" s="1"/>
  <c r="C324" i="4" s="1"/>
  <c r="N324" i="4"/>
  <c r="P324" i="4"/>
  <c r="Q324" i="4" s="1"/>
  <c r="M324" i="4" s="1"/>
  <c r="G325" i="4" l="1"/>
  <c r="B325" i="4"/>
  <c r="N325" i="4"/>
  <c r="P325" i="4"/>
  <c r="Q325" i="4" s="1"/>
  <c r="M325" i="4" s="1"/>
  <c r="E325" i="4"/>
  <c r="D325" i="4" s="1"/>
  <c r="C325" i="4" s="1"/>
  <c r="G326" i="4" l="1"/>
  <c r="B326" i="4"/>
  <c r="E326" i="4"/>
  <c r="D326" i="4" s="1"/>
  <c r="C326" i="4" s="1"/>
  <c r="N326" i="4"/>
  <c r="P326" i="4"/>
  <c r="Q326" i="4" s="1"/>
  <c r="M326" i="4" s="1"/>
  <c r="G327" i="4" l="1"/>
  <c r="B327" i="4"/>
  <c r="N327" i="4"/>
  <c r="P327" i="4"/>
  <c r="Q327" i="4" s="1"/>
  <c r="M327" i="4" s="1"/>
  <c r="E327" i="4"/>
  <c r="D327" i="4" s="1"/>
  <c r="C327" i="4" s="1"/>
  <c r="G328" i="4" l="1"/>
  <c r="B328" i="4" s="1"/>
  <c r="E328" i="4"/>
  <c r="D328" i="4" s="1"/>
  <c r="C328" i="4" s="1"/>
  <c r="N328" i="4"/>
  <c r="P328" i="4"/>
  <c r="Q328" i="4" s="1"/>
  <c r="M328" i="4" s="1"/>
  <c r="G329" i="4" l="1"/>
  <c r="B329" i="4" s="1"/>
  <c r="N329" i="4"/>
  <c r="P329" i="4"/>
  <c r="Q329" i="4" s="1"/>
  <c r="M329" i="4" s="1"/>
  <c r="E329" i="4"/>
  <c r="D329" i="4" s="1"/>
  <c r="C329" i="4" s="1"/>
  <c r="G330" i="4" l="1"/>
  <c r="B330" i="4" s="1"/>
  <c r="E330" i="4"/>
  <c r="D330" i="4" s="1"/>
  <c r="C330" i="4" s="1"/>
  <c r="N330" i="4"/>
  <c r="P330" i="4"/>
  <c r="Q330" i="4" s="1"/>
  <c r="M330" i="4" s="1"/>
  <c r="G331" i="4" l="1"/>
  <c r="B331" i="4"/>
  <c r="E331" i="4"/>
  <c r="D331" i="4" s="1"/>
  <c r="C331" i="4" s="1"/>
  <c r="N331" i="4"/>
  <c r="P331" i="4"/>
  <c r="Q331" i="4" s="1"/>
  <c r="M331" i="4" s="1"/>
  <c r="G332" i="4" l="1"/>
  <c r="B332" i="4"/>
  <c r="N332" i="4"/>
  <c r="P332" i="4"/>
  <c r="Q332" i="4" s="1"/>
  <c r="M332" i="4" s="1"/>
  <c r="E332" i="4"/>
  <c r="D332" i="4" s="1"/>
  <c r="C332" i="4" s="1"/>
  <c r="G333" i="4" l="1"/>
  <c r="B333" i="4"/>
  <c r="E333" i="4"/>
  <c r="D333" i="4" s="1"/>
  <c r="C333" i="4" s="1"/>
  <c r="N333" i="4"/>
  <c r="P333" i="4"/>
  <c r="Q333" i="4" s="1"/>
  <c r="M333" i="4" s="1"/>
  <c r="G334" i="4" l="1"/>
  <c r="B334" i="4"/>
  <c r="N334" i="4"/>
  <c r="P334" i="4"/>
  <c r="Q334" i="4" s="1"/>
  <c r="M334" i="4" s="1"/>
  <c r="E334" i="4"/>
  <c r="D334" i="4" s="1"/>
  <c r="C334" i="4" s="1"/>
  <c r="G335" i="4" l="1"/>
  <c r="B335" i="4"/>
  <c r="E335" i="4"/>
  <c r="D335" i="4" s="1"/>
  <c r="C335" i="4" s="1"/>
  <c r="N335" i="4"/>
  <c r="P335" i="4"/>
  <c r="Q335" i="4" s="1"/>
  <c r="M335" i="4" s="1"/>
  <c r="G336" i="4" l="1"/>
  <c r="B336" i="4"/>
  <c r="E336" i="4"/>
  <c r="D336" i="4" s="1"/>
  <c r="C336" i="4" s="1"/>
  <c r="N336" i="4"/>
  <c r="P336" i="4"/>
  <c r="Q336" i="4" s="1"/>
  <c r="M336" i="4" s="1"/>
  <c r="G337" i="4" l="1"/>
  <c r="B337" i="4"/>
  <c r="N337" i="4"/>
  <c r="P337" i="4"/>
  <c r="Q337" i="4" s="1"/>
  <c r="M337" i="4" s="1"/>
  <c r="E337" i="4"/>
  <c r="D337" i="4" s="1"/>
  <c r="C337" i="4" s="1"/>
  <c r="G338" i="4" l="1"/>
  <c r="B338" i="4"/>
  <c r="E338" i="4"/>
  <c r="D338" i="4" s="1"/>
  <c r="C338" i="4" s="1"/>
  <c r="N338" i="4"/>
  <c r="P338" i="4"/>
  <c r="Q338" i="4" s="1"/>
  <c r="M338" i="4" s="1"/>
  <c r="G339" i="4" l="1"/>
  <c r="B339" i="4"/>
  <c r="N339" i="4"/>
  <c r="P339" i="4"/>
  <c r="Q339" i="4" s="1"/>
  <c r="M339" i="4" s="1"/>
  <c r="E339" i="4"/>
  <c r="D339" i="4" s="1"/>
  <c r="C339" i="4" s="1"/>
  <c r="G340" i="4" l="1"/>
  <c r="B340" i="4" s="1"/>
  <c r="E340" i="4"/>
  <c r="D340" i="4" s="1"/>
  <c r="C340" i="4" s="1"/>
  <c r="N340" i="4"/>
  <c r="P340" i="4"/>
  <c r="Q340" i="4" s="1"/>
  <c r="M340" i="4" s="1"/>
  <c r="G341" i="4" l="1"/>
  <c r="B341" i="4" s="1"/>
  <c r="P341" i="4"/>
  <c r="Q341" i="4" s="1"/>
  <c r="M341" i="4" s="1"/>
  <c r="N341" i="4"/>
  <c r="E341" i="4"/>
  <c r="D341" i="4" s="1"/>
  <c r="C341" i="4" s="1"/>
  <c r="G342" i="4" l="1"/>
  <c r="B342" i="4" s="1"/>
  <c r="N342" i="4"/>
  <c r="P342" i="4"/>
  <c r="Q342" i="4" s="1"/>
  <c r="M342" i="4" s="1"/>
  <c r="E342" i="4"/>
  <c r="D342" i="4" s="1"/>
  <c r="C342" i="4" s="1"/>
  <c r="G343" i="4" l="1"/>
  <c r="B343" i="4"/>
  <c r="E343" i="4"/>
  <c r="D343" i="4" s="1"/>
  <c r="C343" i="4" s="1"/>
  <c r="N343" i="4"/>
  <c r="P343" i="4"/>
  <c r="Q343" i="4" s="1"/>
  <c r="M343" i="4" s="1"/>
  <c r="G344" i="4" l="1"/>
  <c r="B344" i="4" s="1"/>
  <c r="N344" i="4"/>
  <c r="P344" i="4"/>
  <c r="Q344" i="4" s="1"/>
  <c r="M344" i="4" s="1"/>
  <c r="E344" i="4"/>
  <c r="D344" i="4" s="1"/>
  <c r="C344" i="4" s="1"/>
  <c r="G345" i="4" l="1"/>
  <c r="B345" i="4"/>
  <c r="E345" i="4"/>
  <c r="D345" i="4" s="1"/>
  <c r="C345" i="4" s="1"/>
  <c r="N345" i="4"/>
  <c r="P345" i="4"/>
  <c r="Q345" i="4" s="1"/>
  <c r="M345" i="4" s="1"/>
  <c r="G346" i="4" l="1"/>
  <c r="B346" i="4"/>
  <c r="N346" i="4"/>
  <c r="P346" i="4"/>
  <c r="Q346" i="4" s="1"/>
  <c r="M346" i="4" s="1"/>
  <c r="E346" i="4"/>
  <c r="D346" i="4" s="1"/>
  <c r="C346" i="4" s="1"/>
  <c r="G347" i="4" l="1"/>
  <c r="B347" i="4"/>
  <c r="E347" i="4"/>
  <c r="D347" i="4" s="1"/>
  <c r="C347" i="4" s="1"/>
  <c r="N347" i="4"/>
  <c r="P347" i="4"/>
  <c r="Q347" i="4" s="1"/>
  <c r="M347" i="4" s="1"/>
  <c r="G348" i="4" l="1"/>
  <c r="B348" i="4"/>
  <c r="N348" i="4"/>
  <c r="P348" i="4"/>
  <c r="Q348" i="4" s="1"/>
  <c r="M348" i="4" s="1"/>
  <c r="E348" i="4"/>
  <c r="D348" i="4" s="1"/>
  <c r="C348" i="4" s="1"/>
  <c r="G349" i="4" l="1"/>
  <c r="B349" i="4"/>
  <c r="E349" i="4"/>
  <c r="D349" i="4" s="1"/>
  <c r="C349" i="4" s="1"/>
  <c r="N349" i="4"/>
  <c r="P349" i="4"/>
  <c r="Q349" i="4" s="1"/>
  <c r="M349" i="4" s="1"/>
  <c r="G350" i="4" l="1"/>
  <c r="B350" i="4"/>
  <c r="N350" i="4"/>
  <c r="P350" i="4"/>
  <c r="Q350" i="4" s="1"/>
  <c r="M350" i="4" s="1"/>
  <c r="E350" i="4"/>
  <c r="D350" i="4" s="1"/>
  <c r="C350" i="4" s="1"/>
  <c r="G351" i="4" l="1"/>
  <c r="B351" i="4"/>
  <c r="E351" i="4"/>
  <c r="D351" i="4" s="1"/>
  <c r="C351" i="4" s="1"/>
  <c r="N351" i="4"/>
  <c r="P351" i="4"/>
  <c r="Q351" i="4" s="1"/>
  <c r="M351" i="4" s="1"/>
  <c r="G352" i="4" l="1"/>
  <c r="B352" i="4" s="1"/>
  <c r="N352" i="4"/>
  <c r="P352" i="4"/>
  <c r="Q352" i="4" s="1"/>
  <c r="M352" i="4" s="1"/>
  <c r="E352" i="4"/>
  <c r="D352" i="4" s="1"/>
  <c r="C352" i="4" s="1"/>
  <c r="G353" i="4" l="1"/>
  <c r="B353" i="4"/>
  <c r="E353" i="4"/>
  <c r="D353" i="4" s="1"/>
  <c r="C353" i="4" s="1"/>
  <c r="N353" i="4"/>
  <c r="P353" i="4"/>
  <c r="Q353" i="4" s="1"/>
  <c r="M353" i="4" s="1"/>
  <c r="G354" i="4" l="1"/>
  <c r="B354" i="4"/>
  <c r="P354" i="4"/>
  <c r="Q354" i="4" s="1"/>
  <c r="M354" i="4" s="1"/>
  <c r="N354" i="4"/>
  <c r="E354" i="4"/>
  <c r="D354" i="4" s="1"/>
  <c r="C354" i="4" s="1"/>
  <c r="G355" i="4" l="1"/>
  <c r="B355" i="4"/>
  <c r="N355" i="4"/>
  <c r="P355" i="4"/>
  <c r="Q355" i="4" s="1"/>
  <c r="M355" i="4" s="1"/>
  <c r="E355" i="4"/>
  <c r="D355" i="4" s="1"/>
  <c r="C355" i="4" s="1"/>
  <c r="G356" i="4" l="1"/>
  <c r="B356" i="4"/>
  <c r="E356" i="4"/>
  <c r="D356" i="4" s="1"/>
  <c r="C356" i="4" s="1"/>
  <c r="N356" i="4"/>
  <c r="P356" i="4"/>
  <c r="Q356" i="4" s="1"/>
  <c r="M356" i="4" s="1"/>
  <c r="G357" i="4" l="1"/>
  <c r="B357" i="4"/>
  <c r="P357" i="4"/>
  <c r="Q357" i="4" s="1"/>
  <c r="M357" i="4" s="1"/>
  <c r="N357" i="4"/>
  <c r="E357" i="4"/>
  <c r="D357" i="4" s="1"/>
  <c r="C357" i="4" s="1"/>
  <c r="G358" i="4" l="1"/>
  <c r="B358" i="4"/>
  <c r="N358" i="4"/>
  <c r="P358" i="4"/>
  <c r="Q358" i="4" s="1"/>
  <c r="M358" i="4" s="1"/>
  <c r="E358" i="4"/>
  <c r="D358" i="4" s="1"/>
  <c r="C358" i="4" s="1"/>
  <c r="G359" i="4" l="1"/>
  <c r="B359" i="4"/>
  <c r="E359" i="4"/>
  <c r="D359" i="4" s="1"/>
  <c r="C359" i="4" s="1"/>
  <c r="N359" i="4"/>
  <c r="P359" i="4"/>
  <c r="Q359" i="4" s="1"/>
  <c r="M359" i="4" s="1"/>
  <c r="G360" i="4" l="1"/>
  <c r="B360" i="4" s="1"/>
  <c r="N360" i="4"/>
  <c r="P360" i="4"/>
  <c r="Q360" i="4" s="1"/>
  <c r="M360" i="4" s="1"/>
  <c r="E360" i="4"/>
  <c r="D360" i="4" s="1"/>
  <c r="C360" i="4" s="1"/>
  <c r="G361" i="4" l="1"/>
  <c r="B361" i="4"/>
  <c r="E361" i="4"/>
  <c r="D361" i="4" s="1"/>
  <c r="C361" i="4" s="1"/>
  <c r="N361" i="4"/>
  <c r="P361" i="4"/>
  <c r="Q361" i="4" s="1"/>
  <c r="M361" i="4" s="1"/>
  <c r="G362" i="4" l="1"/>
  <c r="B362" i="4"/>
  <c r="N362" i="4"/>
  <c r="P362" i="4"/>
  <c r="Q362" i="4" s="1"/>
  <c r="M362" i="4" s="1"/>
  <c r="E362" i="4"/>
  <c r="D362" i="4" s="1"/>
  <c r="C362" i="4" s="1"/>
  <c r="G363" i="4" l="1"/>
  <c r="B363" i="4"/>
  <c r="E363" i="4"/>
  <c r="D363" i="4" s="1"/>
  <c r="C363" i="4" s="1"/>
  <c r="N363" i="4"/>
  <c r="P363" i="4"/>
  <c r="Q363" i="4" s="1"/>
  <c r="M363" i="4" s="1"/>
  <c r="G364" i="4" l="1"/>
  <c r="B364" i="4"/>
  <c r="N364" i="4"/>
  <c r="P364" i="4"/>
  <c r="Q364" i="4" s="1"/>
  <c r="M364" i="4" s="1"/>
  <c r="E364" i="4"/>
  <c r="D364" i="4" s="1"/>
  <c r="C364" i="4" s="1"/>
  <c r="G365" i="4" l="1"/>
  <c r="B365" i="4"/>
  <c r="E365" i="4"/>
  <c r="D365" i="4" s="1"/>
  <c r="C365" i="4" s="1"/>
  <c r="N365" i="4"/>
  <c r="P365" i="4"/>
  <c r="Q365" i="4" s="1"/>
  <c r="M365" i="4" s="1"/>
  <c r="G366" i="4" l="1"/>
  <c r="B366" i="4"/>
  <c r="N366" i="4"/>
  <c r="P366" i="4"/>
  <c r="Q366" i="4" s="1"/>
  <c r="M366" i="4" s="1"/>
  <c r="E366" i="4"/>
  <c r="D366" i="4" s="1"/>
  <c r="C366" i="4" s="1"/>
  <c r="G367" i="4" l="1"/>
  <c r="B367" i="4" s="1"/>
  <c r="E367" i="4"/>
  <c r="D367" i="4" s="1"/>
  <c r="C367" i="4" s="1"/>
  <c r="N367" i="4"/>
  <c r="P367" i="4"/>
  <c r="Q367" i="4" s="1"/>
  <c r="M367" i="4" s="1"/>
  <c r="G368" i="4" l="1"/>
  <c r="B368" i="4" s="1"/>
  <c r="P368" i="4"/>
  <c r="Q368" i="4" s="1"/>
  <c r="M368" i="4" s="1"/>
  <c r="N368" i="4"/>
  <c r="E368" i="4"/>
  <c r="D368" i="4" s="1"/>
  <c r="C368" i="4" s="1"/>
  <c r="G369" i="4" l="1"/>
  <c r="B369" i="4"/>
  <c r="N369" i="4"/>
  <c r="P369" i="4"/>
  <c r="Q369" i="4" s="1"/>
  <c r="M369" i="4" s="1"/>
  <c r="E369" i="4"/>
  <c r="D369" i="4" s="1"/>
  <c r="C369" i="4" s="1"/>
  <c r="G370" i="4" l="1"/>
  <c r="B370" i="4"/>
  <c r="E370" i="4"/>
  <c r="D370" i="4" s="1"/>
  <c r="C370" i="4" s="1"/>
  <c r="P370" i="4"/>
  <c r="Q370" i="4" s="1"/>
  <c r="M370" i="4" s="1"/>
  <c r="N370" i="4"/>
  <c r="G371" i="4" l="1"/>
  <c r="B371" i="4"/>
  <c r="E371" i="4"/>
  <c r="D371" i="4" s="1"/>
  <c r="C371" i="4" s="1"/>
  <c r="N371" i="4"/>
  <c r="P371" i="4"/>
  <c r="Q371" i="4" s="1"/>
  <c r="M371" i="4" s="1"/>
  <c r="G372" i="4" l="1"/>
  <c r="B372" i="4"/>
  <c r="P372" i="4"/>
  <c r="Q372" i="4" s="1"/>
  <c r="M372" i="4" s="1"/>
  <c r="N372" i="4"/>
  <c r="E372" i="4"/>
  <c r="D372" i="4" s="1"/>
  <c r="C372" i="4" s="1"/>
  <c r="G373" i="4" l="1"/>
  <c r="B373" i="4"/>
  <c r="N373" i="4"/>
  <c r="P373" i="4"/>
  <c r="Q373" i="4" s="1"/>
  <c r="M373" i="4" s="1"/>
  <c r="E373" i="4"/>
  <c r="D373" i="4" s="1"/>
  <c r="C373" i="4" s="1"/>
  <c r="G374" i="4" l="1"/>
  <c r="B374" i="4" s="1"/>
  <c r="E374" i="4"/>
  <c r="D374" i="4" s="1"/>
  <c r="C374" i="4" s="1"/>
  <c r="P374" i="4"/>
  <c r="Q374" i="4" s="1"/>
  <c r="M374" i="4" s="1"/>
  <c r="N374" i="4"/>
  <c r="G375" i="4" l="1"/>
  <c r="B375" i="4"/>
  <c r="N375" i="4"/>
  <c r="P375" i="4"/>
  <c r="Q375" i="4" s="1"/>
  <c r="M375" i="4" s="1"/>
  <c r="E375" i="4"/>
  <c r="D375" i="4" s="1"/>
  <c r="C375" i="4" s="1"/>
  <c r="G376" i="4" l="1"/>
  <c r="B376" i="4" s="1"/>
  <c r="E376" i="4"/>
  <c r="D376" i="4" s="1"/>
  <c r="C376" i="4" s="1"/>
  <c r="N376" i="4"/>
  <c r="P376" i="4"/>
  <c r="Q376" i="4" s="1"/>
  <c r="M376" i="4" s="1"/>
  <c r="G377" i="4" l="1"/>
  <c r="B377" i="4"/>
  <c r="N377" i="4"/>
  <c r="P377" i="4"/>
  <c r="Q377" i="4" s="1"/>
  <c r="M377" i="4" s="1"/>
  <c r="E377" i="4"/>
  <c r="D377" i="4" s="1"/>
  <c r="C377" i="4" s="1"/>
  <c r="G378" i="4" l="1"/>
  <c r="B378" i="4" s="1"/>
  <c r="E378" i="4"/>
  <c r="D378" i="4" s="1"/>
  <c r="C378" i="4" s="1"/>
  <c r="N378" i="4"/>
  <c r="P378" i="4"/>
  <c r="Q378" i="4" s="1"/>
  <c r="M378" i="4" s="1"/>
  <c r="G379" i="4" l="1"/>
  <c r="B379" i="4"/>
  <c r="N379" i="4"/>
  <c r="P379" i="4"/>
  <c r="Q379" i="4" s="1"/>
  <c r="M379" i="4" s="1"/>
  <c r="E379" i="4"/>
  <c r="D379" i="4" s="1"/>
  <c r="C379" i="4" s="1"/>
  <c r="G380" i="4" l="1"/>
  <c r="B380" i="4"/>
  <c r="E380" i="4"/>
  <c r="D380" i="4" s="1"/>
  <c r="C380" i="4" s="1"/>
  <c r="P380" i="4"/>
  <c r="Q380" i="4" s="1"/>
  <c r="M380" i="4" s="1"/>
  <c r="N380" i="4"/>
  <c r="G381" i="4" l="1"/>
  <c r="B381" i="4"/>
  <c r="N381" i="4"/>
  <c r="P381" i="4"/>
  <c r="Q381" i="4" s="1"/>
  <c r="M381" i="4" s="1"/>
  <c r="E381" i="4"/>
  <c r="D381" i="4" s="1"/>
  <c r="C381" i="4" s="1"/>
  <c r="G382" i="4" l="1"/>
  <c r="B382" i="4"/>
  <c r="E382" i="4"/>
  <c r="D382" i="4" s="1"/>
  <c r="C382" i="4" s="1"/>
  <c r="N382" i="4"/>
  <c r="P382" i="4"/>
  <c r="Q382" i="4" s="1"/>
  <c r="M382" i="4" s="1"/>
  <c r="G383" i="4" l="1"/>
  <c r="B383" i="4"/>
  <c r="N383" i="4"/>
  <c r="P383" i="4"/>
  <c r="Q383" i="4" s="1"/>
  <c r="M383" i="4" s="1"/>
  <c r="E383" i="4"/>
  <c r="D383" i="4" s="1"/>
  <c r="C383" i="4" s="1"/>
  <c r="G384" i="4" l="1"/>
  <c r="B384" i="4" s="1"/>
  <c r="E384" i="4"/>
  <c r="D384" i="4" s="1"/>
  <c r="C384" i="4" s="1"/>
  <c r="N384" i="4"/>
  <c r="P384" i="4"/>
  <c r="Q384" i="4" s="1"/>
  <c r="M384" i="4" s="1"/>
  <c r="G385" i="4" l="1"/>
  <c r="B385" i="4"/>
  <c r="P385" i="4"/>
  <c r="Q385" i="4" s="1"/>
  <c r="M385" i="4" s="1"/>
  <c r="N385" i="4"/>
  <c r="E385" i="4"/>
  <c r="D385" i="4" s="1"/>
  <c r="C385" i="4" s="1"/>
  <c r="G386" i="4" l="1"/>
  <c r="B386" i="4"/>
  <c r="N386" i="4"/>
  <c r="P386" i="4"/>
  <c r="Q386" i="4" s="1"/>
  <c r="M386" i="4" s="1"/>
  <c r="E386" i="4"/>
  <c r="D386" i="4" s="1"/>
  <c r="C386" i="4" s="1"/>
  <c r="G387" i="4" l="1"/>
  <c r="B387" i="4"/>
  <c r="E387" i="4"/>
  <c r="D387" i="4" s="1"/>
  <c r="C387" i="4" s="1"/>
  <c r="N387" i="4"/>
  <c r="P387" i="4"/>
  <c r="Q387" i="4" s="1"/>
  <c r="M387" i="4" s="1"/>
  <c r="G388" i="4" l="1"/>
  <c r="B388" i="4"/>
  <c r="P388" i="4"/>
  <c r="Q388" i="4" s="1"/>
  <c r="M388" i="4" s="1"/>
  <c r="N388" i="4"/>
  <c r="E388" i="4"/>
  <c r="D388" i="4" s="1"/>
  <c r="C388" i="4" s="1"/>
  <c r="G389" i="4" l="1"/>
  <c r="B389" i="4"/>
  <c r="N389" i="4"/>
  <c r="P389" i="4"/>
  <c r="Q389" i="4" s="1"/>
  <c r="M389" i="4" s="1"/>
  <c r="E389" i="4"/>
  <c r="D389" i="4" s="1"/>
  <c r="C389" i="4" s="1"/>
  <c r="G390" i="4" l="1"/>
  <c r="B390" i="4"/>
  <c r="E390" i="4"/>
  <c r="D390" i="4" s="1"/>
  <c r="C390" i="4" s="1"/>
  <c r="N390" i="4"/>
  <c r="P390" i="4"/>
  <c r="Q390" i="4" s="1"/>
  <c r="M390" i="4" s="1"/>
  <c r="G391" i="4" l="1"/>
  <c r="B391" i="4"/>
  <c r="N391" i="4"/>
  <c r="P391" i="4"/>
  <c r="Q391" i="4" s="1"/>
  <c r="M391" i="4" s="1"/>
  <c r="E391" i="4"/>
  <c r="D391" i="4" s="1"/>
  <c r="C391" i="4" s="1"/>
  <c r="G392" i="4" l="1"/>
  <c r="B392" i="4" s="1"/>
  <c r="E392" i="4"/>
  <c r="D392" i="4" s="1"/>
  <c r="C392" i="4" s="1"/>
  <c r="N392" i="4"/>
  <c r="P392" i="4"/>
  <c r="Q392" i="4" s="1"/>
  <c r="M392" i="4" s="1"/>
  <c r="G393" i="4" l="1"/>
  <c r="B393" i="4"/>
  <c r="N393" i="4"/>
  <c r="P393" i="4"/>
  <c r="Q393" i="4" s="1"/>
  <c r="M393" i="4" s="1"/>
  <c r="E393" i="4"/>
  <c r="D393" i="4" s="1"/>
  <c r="C393" i="4" s="1"/>
  <c r="G394" i="4" l="1"/>
  <c r="B394" i="4"/>
  <c r="E394" i="4"/>
  <c r="D394" i="4" s="1"/>
  <c r="C394" i="4" s="1"/>
  <c r="N394" i="4"/>
  <c r="P394" i="4"/>
  <c r="Q394" i="4" s="1"/>
  <c r="M394" i="4" s="1"/>
  <c r="G395" i="4" l="1"/>
  <c r="B395" i="4"/>
  <c r="N395" i="4"/>
  <c r="P395" i="4"/>
  <c r="Q395" i="4" s="1"/>
  <c r="M395" i="4" s="1"/>
  <c r="E395" i="4"/>
  <c r="D395" i="4" s="1"/>
  <c r="C395" i="4" s="1"/>
  <c r="G396" i="4" l="1"/>
  <c r="B396" i="4"/>
  <c r="E396" i="4"/>
  <c r="D396" i="4" s="1"/>
  <c r="C396" i="4" s="1"/>
  <c r="N396" i="4"/>
  <c r="P396" i="4"/>
  <c r="Q396" i="4" s="1"/>
  <c r="M396" i="4" s="1"/>
  <c r="G397" i="4" l="1"/>
  <c r="B397" i="4"/>
  <c r="N397" i="4"/>
  <c r="P397" i="4"/>
  <c r="Q397" i="4" s="1"/>
  <c r="M397" i="4" s="1"/>
  <c r="E397" i="4"/>
  <c r="D397" i="4" s="1"/>
  <c r="C397" i="4" s="1"/>
  <c r="G398" i="4" l="1"/>
  <c r="B398" i="4"/>
  <c r="E398" i="4"/>
  <c r="D398" i="4" s="1"/>
  <c r="C398" i="4" s="1"/>
  <c r="N398" i="4"/>
  <c r="P398" i="4"/>
  <c r="Q398" i="4" s="1"/>
  <c r="M398" i="4" s="1"/>
  <c r="G399" i="4" l="1"/>
  <c r="B399" i="4"/>
  <c r="N399" i="4"/>
  <c r="P399" i="4"/>
  <c r="Q399" i="4" s="1"/>
  <c r="M399" i="4" s="1"/>
  <c r="E399" i="4"/>
  <c r="D399" i="4" s="1"/>
  <c r="C399" i="4" s="1"/>
  <c r="G400" i="4" l="1"/>
  <c r="B400" i="4"/>
  <c r="E400" i="4"/>
  <c r="D400" i="4" s="1"/>
  <c r="C400" i="4" s="1"/>
  <c r="N400" i="4"/>
  <c r="P400" i="4"/>
  <c r="Q400" i="4" s="1"/>
  <c r="M400" i="4" s="1"/>
  <c r="G401" i="4" l="1"/>
  <c r="B401" i="4" s="1"/>
  <c r="E401" i="4"/>
  <c r="D401" i="4" s="1"/>
  <c r="C401" i="4" s="1"/>
  <c r="P401" i="4"/>
  <c r="Q401" i="4" s="1"/>
  <c r="M401" i="4" s="1"/>
  <c r="N401" i="4"/>
  <c r="G402" i="4" l="1"/>
  <c r="B402" i="4"/>
  <c r="N402" i="4"/>
  <c r="P402" i="4"/>
  <c r="Q402" i="4" s="1"/>
  <c r="M402" i="4" s="1"/>
  <c r="E402" i="4"/>
  <c r="D402" i="4" s="1"/>
  <c r="C402" i="4" s="1"/>
  <c r="G403" i="4" l="1"/>
  <c r="B403" i="4" s="1"/>
  <c r="E403" i="4"/>
  <c r="D403" i="4" s="1"/>
  <c r="C403" i="4" s="1"/>
  <c r="N403" i="4"/>
  <c r="P403" i="4"/>
  <c r="Q403" i="4" s="1"/>
  <c r="M403" i="4" s="1"/>
  <c r="G404" i="4" l="1"/>
  <c r="B404" i="4"/>
  <c r="N404" i="4"/>
  <c r="P404" i="4"/>
  <c r="Q404" i="4" s="1"/>
  <c r="M404" i="4" s="1"/>
  <c r="E404" i="4"/>
  <c r="D404" i="4" s="1"/>
  <c r="C404" i="4" s="1"/>
  <c r="G405" i="4" l="1"/>
  <c r="B405" i="4"/>
  <c r="E405" i="4"/>
  <c r="D405" i="4" s="1"/>
  <c r="C405" i="4" s="1"/>
  <c r="N405" i="4"/>
  <c r="P405" i="4"/>
  <c r="Q405" i="4" s="1"/>
  <c r="M405" i="4" s="1"/>
  <c r="G406" i="4" l="1"/>
  <c r="B406" i="4"/>
  <c r="N406" i="4"/>
  <c r="P406" i="4"/>
  <c r="Q406" i="4" s="1"/>
  <c r="M406" i="4" s="1"/>
  <c r="E406" i="4"/>
  <c r="D406" i="4" s="1"/>
  <c r="C406" i="4" s="1"/>
  <c r="G407" i="4" l="1"/>
  <c r="B407" i="4"/>
  <c r="E407" i="4"/>
  <c r="D407" i="4" s="1"/>
  <c r="C407" i="4" s="1"/>
  <c r="N407" i="4"/>
  <c r="P407" i="4"/>
  <c r="Q407" i="4" s="1"/>
  <c r="M407" i="4" s="1"/>
  <c r="G408" i="4" l="1"/>
  <c r="B408" i="4"/>
  <c r="P408" i="4"/>
  <c r="Q408" i="4" s="1"/>
  <c r="M408" i="4" s="1"/>
  <c r="N408" i="4"/>
  <c r="E408" i="4"/>
  <c r="D408" i="4" s="1"/>
  <c r="C408" i="4" s="1"/>
  <c r="G409" i="4" l="1"/>
  <c r="B409" i="4"/>
  <c r="E409" i="4"/>
  <c r="D409" i="4" s="1"/>
  <c r="C409" i="4" s="1"/>
  <c r="N409" i="4"/>
  <c r="P409" i="4"/>
  <c r="Q409" i="4" s="1"/>
  <c r="M409" i="4" s="1"/>
  <c r="G410" i="4" l="1"/>
  <c r="B410" i="4" s="1"/>
  <c r="N410" i="4"/>
  <c r="P410" i="4"/>
  <c r="Q410" i="4" s="1"/>
  <c r="M410" i="4" s="1"/>
  <c r="E410" i="4"/>
  <c r="D410" i="4" s="1"/>
  <c r="C410" i="4" s="1"/>
  <c r="G411" i="4" l="1"/>
  <c r="B411" i="4"/>
  <c r="E411" i="4"/>
  <c r="D411" i="4" s="1"/>
  <c r="C411" i="4" s="1"/>
  <c r="N411" i="4"/>
  <c r="P411" i="4"/>
  <c r="Q411" i="4" s="1"/>
  <c r="M411" i="4" s="1"/>
  <c r="G412" i="4" l="1"/>
  <c r="B412" i="4"/>
  <c r="P412" i="4"/>
  <c r="Q412" i="4" s="1"/>
  <c r="M412" i="4" s="1"/>
  <c r="N412" i="4"/>
  <c r="E412" i="4"/>
  <c r="D412" i="4" s="1"/>
  <c r="C412" i="4" s="1"/>
  <c r="G413" i="4" l="1"/>
  <c r="B413" i="4"/>
  <c r="N413" i="4"/>
  <c r="P413" i="4"/>
  <c r="Q413" i="4" s="1"/>
  <c r="M413" i="4" s="1"/>
  <c r="E413" i="4"/>
  <c r="D413" i="4" s="1"/>
  <c r="C413" i="4" s="1"/>
  <c r="G414" i="4" l="1"/>
  <c r="B414" i="4"/>
  <c r="E414" i="4"/>
  <c r="D414" i="4" s="1"/>
  <c r="C414" i="4" s="1"/>
  <c r="N414" i="4"/>
  <c r="P414" i="4"/>
  <c r="Q414" i="4" s="1"/>
  <c r="M414" i="4" s="1"/>
  <c r="G415" i="4" l="1"/>
  <c r="B415" i="4"/>
  <c r="N415" i="4"/>
  <c r="P415" i="4"/>
  <c r="Q415" i="4" s="1"/>
  <c r="M415" i="4" s="1"/>
  <c r="E415" i="4"/>
  <c r="D415" i="4" s="1"/>
  <c r="C415" i="4" s="1"/>
  <c r="G416" i="4" l="1"/>
  <c r="B416" i="4" s="1"/>
  <c r="E416" i="4"/>
  <c r="D416" i="4" s="1"/>
  <c r="C416" i="4" s="1"/>
  <c r="N416" i="4"/>
  <c r="P416" i="4"/>
  <c r="Q416" i="4" s="1"/>
  <c r="M416" i="4" s="1"/>
  <c r="G417" i="4" l="1"/>
  <c r="B417" i="4"/>
  <c r="E417" i="4"/>
  <c r="D417" i="4" s="1"/>
  <c r="C417" i="4" s="1"/>
  <c r="N417" i="4"/>
  <c r="P417" i="4"/>
  <c r="Q417" i="4" s="1"/>
  <c r="M417" i="4" s="1"/>
  <c r="G418" i="4" l="1"/>
  <c r="B418" i="4"/>
  <c r="N418" i="4"/>
  <c r="P418" i="4"/>
  <c r="Q418" i="4" s="1"/>
  <c r="M418" i="4" s="1"/>
  <c r="E418" i="4"/>
  <c r="D418" i="4" s="1"/>
  <c r="C418" i="4" s="1"/>
  <c r="G419" i="4" l="1"/>
  <c r="B419" i="4"/>
  <c r="E419" i="4"/>
  <c r="D419" i="4" s="1"/>
  <c r="C419" i="4" s="1"/>
  <c r="N419" i="4"/>
  <c r="P419" i="4"/>
  <c r="Q419" i="4" s="1"/>
  <c r="M419" i="4" s="1"/>
  <c r="G420" i="4" l="1"/>
  <c r="B420" i="4"/>
  <c r="P420" i="4"/>
  <c r="Q420" i="4" s="1"/>
  <c r="M420" i="4" s="1"/>
  <c r="N420" i="4"/>
  <c r="E420" i="4"/>
  <c r="D420" i="4" s="1"/>
  <c r="C420" i="4" s="1"/>
  <c r="G421" i="4" l="1"/>
  <c r="B421" i="4"/>
  <c r="N421" i="4"/>
  <c r="P421" i="4"/>
  <c r="Q421" i="4" s="1"/>
  <c r="M421" i="4" s="1"/>
  <c r="E421" i="4"/>
  <c r="D421" i="4" s="1"/>
  <c r="C421" i="4" s="1"/>
  <c r="G422" i="4" l="1"/>
  <c r="B422" i="4"/>
  <c r="E422" i="4"/>
  <c r="D422" i="4" s="1"/>
  <c r="C422" i="4" s="1"/>
  <c r="N422" i="4"/>
  <c r="P422" i="4"/>
  <c r="Q422" i="4" s="1"/>
  <c r="M422" i="4" s="1"/>
  <c r="G423" i="4" l="1"/>
  <c r="B423" i="4"/>
  <c r="E423" i="4"/>
  <c r="D423" i="4" s="1"/>
  <c r="C423" i="4" s="1"/>
  <c r="N423" i="4"/>
  <c r="P423" i="4"/>
  <c r="Q423" i="4" s="1"/>
  <c r="M423" i="4" s="1"/>
  <c r="G424" i="4" l="1"/>
  <c r="B424" i="4"/>
  <c r="N424" i="4"/>
  <c r="P424" i="4"/>
  <c r="Q424" i="4" s="1"/>
  <c r="M424" i="4" s="1"/>
  <c r="E424" i="4"/>
  <c r="D424" i="4" s="1"/>
  <c r="C424" i="4" s="1"/>
  <c r="G425" i="4" l="1"/>
  <c r="B425" i="4"/>
  <c r="E425" i="4"/>
  <c r="D425" i="4" s="1"/>
  <c r="C425" i="4" s="1"/>
  <c r="N425" i="4"/>
  <c r="P425" i="4"/>
  <c r="Q425" i="4" s="1"/>
  <c r="M425" i="4" s="1"/>
  <c r="G426" i="4" l="1"/>
  <c r="B426" i="4"/>
  <c r="N426" i="4"/>
  <c r="P426" i="4"/>
  <c r="Q426" i="4" s="1"/>
  <c r="M426" i="4" s="1"/>
  <c r="E426" i="4"/>
  <c r="D426" i="4" s="1"/>
  <c r="C426" i="4" s="1"/>
  <c r="G427" i="4" l="1"/>
  <c r="B427" i="4"/>
  <c r="E427" i="4"/>
  <c r="D427" i="4" s="1"/>
  <c r="C427" i="4" s="1"/>
  <c r="N427" i="4"/>
  <c r="P427" i="4"/>
  <c r="Q427" i="4" s="1"/>
  <c r="M427" i="4" s="1"/>
  <c r="G428" i="4" l="1"/>
  <c r="B428" i="4"/>
  <c r="P428" i="4"/>
  <c r="Q428" i="4" s="1"/>
  <c r="M428" i="4" s="1"/>
  <c r="N428" i="4"/>
  <c r="E428" i="4"/>
  <c r="D428" i="4" s="1"/>
  <c r="C428" i="4" s="1"/>
  <c r="G429" i="4" l="1"/>
  <c r="B429" i="4"/>
  <c r="N429" i="4"/>
  <c r="P429" i="4"/>
  <c r="Q429" i="4" s="1"/>
  <c r="M429" i="4" s="1"/>
  <c r="E429" i="4"/>
  <c r="D429" i="4" s="1"/>
  <c r="C429" i="4" s="1"/>
  <c r="G430" i="4" l="1"/>
  <c r="B430" i="4"/>
  <c r="E430" i="4"/>
  <c r="D430" i="4" s="1"/>
  <c r="C430" i="4" s="1"/>
  <c r="N430" i="4"/>
  <c r="P430" i="4"/>
  <c r="Q430" i="4" s="1"/>
  <c r="M430" i="4" s="1"/>
  <c r="G431" i="4" l="1"/>
  <c r="B431" i="4" s="1"/>
  <c r="E431" i="4"/>
  <c r="D431" i="4" s="1"/>
  <c r="C431" i="4" s="1"/>
  <c r="N431" i="4"/>
  <c r="P431" i="4"/>
  <c r="Q431" i="4" s="1"/>
  <c r="M431" i="4" s="1"/>
  <c r="G432" i="4" l="1"/>
  <c r="B432" i="4"/>
  <c r="P432" i="4"/>
  <c r="Q432" i="4" s="1"/>
  <c r="M432" i="4" s="1"/>
  <c r="N432" i="4"/>
  <c r="E432" i="4"/>
  <c r="D432" i="4" s="1"/>
  <c r="C432" i="4" s="1"/>
  <c r="G433" i="4" l="1"/>
  <c r="B433" i="4"/>
  <c r="N433" i="4"/>
  <c r="P433" i="4"/>
  <c r="Q433" i="4" s="1"/>
  <c r="M433" i="4" s="1"/>
  <c r="E433" i="4"/>
  <c r="D433" i="4" s="1"/>
  <c r="C433" i="4" s="1"/>
  <c r="G434" i="4" l="1"/>
  <c r="B434" i="4"/>
  <c r="E434" i="4"/>
  <c r="D434" i="4" s="1"/>
  <c r="C434" i="4" s="1"/>
  <c r="N434" i="4"/>
  <c r="P434" i="4"/>
  <c r="Q434" i="4" s="1"/>
  <c r="M434" i="4" s="1"/>
  <c r="G435" i="4" l="1"/>
  <c r="B435" i="4"/>
  <c r="N435" i="4"/>
  <c r="P435" i="4"/>
  <c r="Q435" i="4" s="1"/>
  <c r="M435" i="4" s="1"/>
  <c r="E435" i="4"/>
  <c r="D435" i="4" s="1"/>
  <c r="C435" i="4" s="1"/>
  <c r="G436" i="4" l="1"/>
  <c r="B436" i="4"/>
  <c r="E436" i="4"/>
  <c r="D436" i="4" s="1"/>
  <c r="C436" i="4" s="1"/>
  <c r="N436" i="4"/>
  <c r="P436" i="4"/>
  <c r="Q436" i="4" s="1"/>
  <c r="M436" i="4" s="1"/>
  <c r="G437" i="4" l="1"/>
  <c r="B437" i="4" s="1"/>
  <c r="N437" i="4"/>
  <c r="P437" i="4"/>
  <c r="Q437" i="4" s="1"/>
  <c r="M437" i="4" s="1"/>
  <c r="E437" i="4"/>
  <c r="D437" i="4" s="1"/>
  <c r="C437" i="4" s="1"/>
  <c r="G438" i="4" l="1"/>
  <c r="B438" i="4"/>
  <c r="E438" i="4"/>
  <c r="D438" i="4" s="1"/>
  <c r="C438" i="4" s="1"/>
  <c r="N438" i="4"/>
  <c r="P438" i="4"/>
  <c r="Q438" i="4" s="1"/>
  <c r="M438" i="4" s="1"/>
  <c r="G439" i="4" l="1"/>
  <c r="B439" i="4"/>
  <c r="P439" i="4"/>
  <c r="Q439" i="4" s="1"/>
  <c r="M439" i="4" s="1"/>
  <c r="N439" i="4"/>
  <c r="E439" i="4"/>
  <c r="D439" i="4" s="1"/>
  <c r="C439" i="4" s="1"/>
  <c r="G440" i="4" l="1"/>
  <c r="B440" i="4"/>
  <c r="N440" i="4"/>
  <c r="P440" i="4"/>
  <c r="Q440" i="4" s="1"/>
  <c r="M440" i="4" s="1"/>
  <c r="E440" i="4"/>
  <c r="D440" i="4" s="1"/>
  <c r="C440" i="4" s="1"/>
  <c r="G441" i="4" l="1"/>
  <c r="B441" i="4"/>
  <c r="E441" i="4"/>
  <c r="D441" i="4" s="1"/>
  <c r="C441" i="4" s="1"/>
  <c r="N441" i="4"/>
  <c r="P441" i="4"/>
  <c r="Q441" i="4" s="1"/>
  <c r="M441" i="4" s="1"/>
  <c r="G442" i="4" l="1"/>
  <c r="B442" i="4"/>
  <c r="N442" i="4"/>
  <c r="P442" i="4"/>
  <c r="Q442" i="4" s="1"/>
  <c r="M442" i="4" s="1"/>
  <c r="E442" i="4"/>
  <c r="D442" i="4" s="1"/>
  <c r="C442" i="4" s="1"/>
  <c r="G443" i="4" l="1"/>
  <c r="B443" i="4"/>
  <c r="E443" i="4"/>
  <c r="D443" i="4" s="1"/>
  <c r="C443" i="4" s="1"/>
  <c r="N443" i="4"/>
  <c r="P443" i="4"/>
  <c r="Q443" i="4" s="1"/>
  <c r="M443" i="4" s="1"/>
  <c r="G444" i="4" l="1"/>
  <c r="B444" i="4"/>
  <c r="N444" i="4"/>
  <c r="P444" i="4"/>
  <c r="Q444" i="4" s="1"/>
  <c r="M444" i="4" s="1"/>
  <c r="E444" i="4"/>
  <c r="D444" i="4" s="1"/>
  <c r="C444" i="4" s="1"/>
  <c r="G445" i="4" l="1"/>
  <c r="B445" i="4"/>
  <c r="E445" i="4"/>
  <c r="D445" i="4" s="1"/>
  <c r="C445" i="4" s="1"/>
  <c r="N445" i="4"/>
  <c r="P445" i="4"/>
  <c r="Q445" i="4" s="1"/>
  <c r="M445" i="4" s="1"/>
  <c r="G446" i="4" l="1"/>
  <c r="B446" i="4"/>
  <c r="P446" i="4"/>
  <c r="Q446" i="4" s="1"/>
  <c r="M446" i="4" s="1"/>
  <c r="N446" i="4"/>
  <c r="E446" i="4"/>
  <c r="D446" i="4" s="1"/>
  <c r="C446" i="4" s="1"/>
  <c r="G447" i="4" l="1"/>
  <c r="B447" i="4" s="1"/>
  <c r="N447" i="4"/>
  <c r="P447" i="4"/>
  <c r="Q447" i="4" s="1"/>
  <c r="M447" i="4" s="1"/>
  <c r="E447" i="4"/>
  <c r="D447" i="4" s="1"/>
  <c r="C447" i="4" s="1"/>
  <c r="G448" i="4" l="1"/>
  <c r="B448" i="4" s="1"/>
  <c r="E448" i="4"/>
  <c r="D448" i="4" s="1"/>
  <c r="C448" i="4" s="1"/>
  <c r="N448" i="4"/>
  <c r="P448" i="4"/>
  <c r="Q448" i="4" s="1"/>
  <c r="M448" i="4" s="1"/>
  <c r="G449" i="4" l="1"/>
  <c r="B449" i="4"/>
  <c r="P449" i="4"/>
  <c r="Q449" i="4" s="1"/>
  <c r="M449" i="4" s="1"/>
  <c r="N449" i="4"/>
  <c r="E449" i="4"/>
  <c r="D449" i="4" s="1"/>
  <c r="C449" i="4" s="1"/>
  <c r="G450" i="4" l="1"/>
  <c r="B450" i="4"/>
  <c r="N450" i="4"/>
  <c r="P450" i="4"/>
  <c r="Q450" i="4" s="1"/>
  <c r="M450" i="4" s="1"/>
  <c r="E450" i="4"/>
  <c r="D450" i="4" s="1"/>
  <c r="C450" i="4" s="1"/>
  <c r="G451" i="4" l="1"/>
  <c r="B451" i="4"/>
  <c r="E451" i="4"/>
  <c r="D451" i="4" s="1"/>
  <c r="C451" i="4" s="1"/>
  <c r="N451" i="4"/>
  <c r="P451" i="4"/>
  <c r="Q451" i="4" s="1"/>
  <c r="M451" i="4" s="1"/>
  <c r="G452" i="4" l="1"/>
  <c r="B452" i="4"/>
  <c r="P452" i="4"/>
  <c r="Q452" i="4" s="1"/>
  <c r="M452" i="4" s="1"/>
  <c r="N452" i="4"/>
  <c r="E452" i="4"/>
  <c r="D452" i="4" s="1"/>
  <c r="C452" i="4" s="1"/>
  <c r="G453" i="4" l="1"/>
  <c r="B453" i="4"/>
  <c r="N453" i="4"/>
  <c r="P453" i="4"/>
  <c r="Q453" i="4" s="1"/>
  <c r="M453" i="4" s="1"/>
  <c r="E453" i="4"/>
  <c r="D453" i="4" s="1"/>
  <c r="C453" i="4" s="1"/>
  <c r="G454" i="4" l="1"/>
  <c r="B454" i="4"/>
  <c r="E454" i="4"/>
  <c r="D454" i="4" s="1"/>
  <c r="C454" i="4" s="1"/>
  <c r="N454" i="4"/>
  <c r="P454" i="4"/>
  <c r="Q454" i="4" s="1"/>
  <c r="M454" i="4" s="1"/>
  <c r="G455" i="4" l="1"/>
  <c r="B455" i="4" s="1"/>
  <c r="E455" i="4"/>
  <c r="D455" i="4" s="1"/>
  <c r="C455" i="4" s="1"/>
  <c r="P455" i="4"/>
  <c r="Q455" i="4" s="1"/>
  <c r="M455" i="4" s="1"/>
  <c r="N455" i="4"/>
  <c r="G456" i="4" l="1"/>
  <c r="B456" i="4" s="1"/>
  <c r="E456" i="4"/>
  <c r="D456" i="4" s="1"/>
  <c r="C456" i="4" s="1"/>
  <c r="N456" i="4"/>
  <c r="P456" i="4"/>
  <c r="Q456" i="4" s="1"/>
  <c r="M456" i="4" s="1"/>
  <c r="G457" i="4" l="1"/>
  <c r="B457" i="4"/>
  <c r="N457" i="4"/>
  <c r="P457" i="4"/>
  <c r="Q457" i="4" s="1"/>
  <c r="M457" i="4" s="1"/>
  <c r="E457" i="4"/>
  <c r="D457" i="4" s="1"/>
  <c r="C457" i="4" s="1"/>
  <c r="G458" i="4" l="1"/>
  <c r="B458" i="4"/>
  <c r="E458" i="4"/>
  <c r="D458" i="4" s="1"/>
  <c r="C458" i="4" s="1"/>
  <c r="P458" i="4"/>
  <c r="Q458" i="4" s="1"/>
  <c r="M458" i="4" s="1"/>
  <c r="N458" i="4"/>
  <c r="G459" i="4" l="1"/>
  <c r="B459" i="4" s="1"/>
  <c r="E459" i="4"/>
  <c r="D459" i="4" s="1"/>
  <c r="C459" i="4" s="1"/>
  <c r="N459" i="4"/>
  <c r="P459" i="4"/>
  <c r="Q459" i="4" s="1"/>
  <c r="M459" i="4" s="1"/>
  <c r="G460" i="4" l="1"/>
  <c r="B460" i="4"/>
  <c r="N460" i="4"/>
  <c r="P460" i="4"/>
  <c r="Q460" i="4" s="1"/>
  <c r="M460" i="4" s="1"/>
  <c r="E460" i="4"/>
  <c r="D460" i="4" s="1"/>
  <c r="C460" i="4" s="1"/>
  <c r="G461" i="4" l="1"/>
  <c r="B461" i="4"/>
  <c r="E461" i="4"/>
  <c r="D461" i="4" s="1"/>
  <c r="C461" i="4" s="1"/>
  <c r="N461" i="4"/>
  <c r="P461" i="4"/>
  <c r="Q461" i="4" s="1"/>
  <c r="M461" i="4" s="1"/>
  <c r="G462" i="4" l="1"/>
  <c r="B462" i="4"/>
  <c r="E462" i="4"/>
  <c r="D462" i="4" s="1"/>
  <c r="C462" i="4" s="1"/>
  <c r="N462" i="4"/>
  <c r="P462" i="4"/>
  <c r="Q462" i="4" s="1"/>
  <c r="M462" i="4" s="1"/>
  <c r="G463" i="4" l="1"/>
  <c r="B463" i="4" s="1"/>
  <c r="E463" i="4"/>
  <c r="D463" i="4" s="1"/>
  <c r="C463" i="4" s="1"/>
  <c r="N463" i="4"/>
  <c r="P463" i="4"/>
  <c r="Q463" i="4" s="1"/>
  <c r="M463" i="4" s="1"/>
  <c r="G464" i="4" l="1"/>
  <c r="B464" i="4" s="1"/>
  <c r="P464" i="4"/>
  <c r="Q464" i="4" s="1"/>
  <c r="M464" i="4" s="1"/>
  <c r="N464" i="4"/>
  <c r="E464" i="4"/>
  <c r="D464" i="4" s="1"/>
  <c r="C464" i="4" s="1"/>
  <c r="G465" i="4" l="1"/>
  <c r="B465" i="4" s="1"/>
  <c r="E465" i="4"/>
  <c r="D465" i="4" s="1"/>
  <c r="C465" i="4" s="1"/>
  <c r="P465" i="4"/>
  <c r="Q465" i="4" s="1"/>
  <c r="M465" i="4" s="1"/>
  <c r="N465" i="4"/>
  <c r="G466" i="4" l="1"/>
  <c r="B466" i="4" s="1"/>
  <c r="N466" i="4"/>
  <c r="P466" i="4"/>
  <c r="Q466" i="4" s="1"/>
  <c r="M466" i="4" s="1"/>
  <c r="E466" i="4"/>
  <c r="D466" i="4" s="1"/>
  <c r="C466" i="4" s="1"/>
  <c r="G467" i="4" l="1"/>
  <c r="B467" i="4"/>
  <c r="E467" i="4"/>
  <c r="D467" i="4" s="1"/>
  <c r="C467" i="4" s="1"/>
  <c r="P467" i="4"/>
  <c r="Q467" i="4" s="1"/>
  <c r="M467" i="4" s="1"/>
  <c r="N467" i="4"/>
  <c r="G468" i="4" l="1"/>
  <c r="B468" i="4"/>
  <c r="E468" i="4"/>
  <c r="D468" i="4" s="1"/>
  <c r="C468" i="4" s="1"/>
  <c r="N468" i="4"/>
  <c r="P468" i="4"/>
  <c r="Q468" i="4" s="1"/>
  <c r="M468" i="4" s="1"/>
  <c r="G469" i="4" l="1"/>
  <c r="B469" i="4" s="1"/>
  <c r="N469" i="4"/>
  <c r="P469" i="4"/>
  <c r="Q469" i="4" s="1"/>
  <c r="M469" i="4" s="1"/>
  <c r="E469" i="4"/>
  <c r="D469" i="4" s="1"/>
  <c r="C469" i="4" s="1"/>
  <c r="G470" i="4" l="1"/>
  <c r="B470" i="4"/>
  <c r="E470" i="4"/>
  <c r="D470" i="4" s="1"/>
  <c r="C470" i="4" s="1"/>
  <c r="N470" i="4"/>
  <c r="P470" i="4"/>
  <c r="Q470" i="4" s="1"/>
  <c r="M470" i="4" s="1"/>
  <c r="G471" i="4" l="1"/>
  <c r="B471" i="4"/>
  <c r="N471" i="4"/>
  <c r="P471" i="4"/>
  <c r="Q471" i="4" s="1"/>
  <c r="M471" i="4" s="1"/>
  <c r="E471" i="4"/>
  <c r="D471" i="4" s="1"/>
  <c r="C471" i="4" s="1"/>
  <c r="G472" i="4" l="1"/>
  <c r="B472" i="4"/>
  <c r="E472" i="4"/>
  <c r="D472" i="4" s="1"/>
  <c r="C472" i="4" s="1"/>
  <c r="N472" i="4"/>
  <c r="P472" i="4"/>
  <c r="Q472" i="4" s="1"/>
  <c r="M472" i="4" s="1"/>
  <c r="G473" i="4" l="1"/>
  <c r="B473" i="4"/>
  <c r="N473" i="4"/>
  <c r="P473" i="4"/>
  <c r="Q473" i="4" s="1"/>
  <c r="M473" i="4" s="1"/>
  <c r="E473" i="4"/>
  <c r="D473" i="4" s="1"/>
  <c r="C473" i="4" s="1"/>
  <c r="G474" i="4" l="1"/>
  <c r="B474" i="4"/>
  <c r="E474" i="4"/>
  <c r="D474" i="4" s="1"/>
  <c r="C474" i="4" s="1"/>
  <c r="N474" i="4"/>
  <c r="P474" i="4"/>
  <c r="Q474" i="4" s="1"/>
  <c r="M474" i="4" s="1"/>
  <c r="G475" i="4" l="1"/>
  <c r="B475" i="4"/>
  <c r="N475" i="4"/>
  <c r="P475" i="4"/>
  <c r="Q475" i="4" s="1"/>
  <c r="M475" i="4" s="1"/>
  <c r="E475" i="4"/>
  <c r="D475" i="4" s="1"/>
  <c r="C475" i="4" s="1"/>
  <c r="G476" i="4" l="1"/>
  <c r="B476" i="4"/>
  <c r="E476" i="4"/>
  <c r="D476" i="4" s="1"/>
  <c r="C476" i="4" s="1"/>
  <c r="N476" i="4"/>
  <c r="P476" i="4"/>
  <c r="Q476" i="4" s="1"/>
  <c r="M476" i="4" s="1"/>
  <c r="G477" i="4" l="1"/>
  <c r="B477" i="4"/>
  <c r="E477" i="4"/>
  <c r="D477" i="4" s="1"/>
  <c r="C477" i="4" s="1"/>
  <c r="N477" i="4"/>
  <c r="P477" i="4"/>
  <c r="Q477" i="4" s="1"/>
  <c r="M477" i="4" s="1"/>
  <c r="G478" i="4" l="1"/>
  <c r="B478" i="4" s="1"/>
  <c r="N478" i="4"/>
  <c r="P478" i="4"/>
  <c r="Q478" i="4" s="1"/>
  <c r="M478" i="4" s="1"/>
  <c r="E478" i="4"/>
  <c r="D478" i="4" s="1"/>
  <c r="C478" i="4" s="1"/>
  <c r="G479" i="4" l="1"/>
  <c r="B479" i="4" s="1"/>
  <c r="E479" i="4"/>
  <c r="D479" i="4" s="1"/>
  <c r="C479" i="4" s="1"/>
  <c r="N479" i="4"/>
  <c r="P479" i="4"/>
  <c r="Q479" i="4" s="1"/>
  <c r="M479" i="4" s="1"/>
  <c r="G480" i="4" l="1"/>
  <c r="B480" i="4" s="1"/>
  <c r="E480" i="4"/>
  <c r="D480" i="4" s="1"/>
  <c r="C480" i="4" s="1"/>
  <c r="N480" i="4"/>
  <c r="P480" i="4"/>
  <c r="Q480" i="4" s="1"/>
  <c r="M480" i="4" s="1"/>
  <c r="G481" i="4" l="1"/>
  <c r="B481" i="4"/>
  <c r="N481" i="4"/>
  <c r="P481" i="4"/>
  <c r="Q481" i="4" s="1"/>
  <c r="M481" i="4" s="1"/>
  <c r="E481" i="4"/>
  <c r="D481" i="4" s="1"/>
  <c r="C481" i="4" s="1"/>
  <c r="G482" i="4" l="1"/>
  <c r="B482" i="4"/>
  <c r="E482" i="4"/>
  <c r="D482" i="4" s="1"/>
  <c r="C482" i="4" s="1"/>
  <c r="N482" i="4"/>
  <c r="P482" i="4"/>
  <c r="Q482" i="4" s="1"/>
  <c r="M482" i="4" s="1"/>
  <c r="G483" i="4" l="1"/>
  <c r="B483" i="4" s="1"/>
  <c r="E483" i="4"/>
  <c r="D483" i="4" s="1"/>
  <c r="C483" i="4" s="1"/>
  <c r="P483" i="4"/>
  <c r="Q483" i="4" s="1"/>
  <c r="M483" i="4" s="1"/>
  <c r="N483" i="4"/>
  <c r="G484" i="4" l="1"/>
  <c r="B484" i="4" s="1"/>
  <c r="N484" i="4"/>
  <c r="P484" i="4"/>
  <c r="Q484" i="4" s="1"/>
  <c r="M484" i="4" s="1"/>
  <c r="E484" i="4"/>
  <c r="D484" i="4" s="1"/>
  <c r="C484" i="4" s="1"/>
  <c r="G485" i="4" l="1"/>
  <c r="B485" i="4"/>
  <c r="E485" i="4"/>
  <c r="D485" i="4" s="1"/>
  <c r="C485" i="4" s="1"/>
  <c r="N485" i="4"/>
  <c r="P485" i="4"/>
  <c r="Q485" i="4" s="1"/>
  <c r="M485" i="4" s="1"/>
  <c r="G486" i="4" l="1"/>
  <c r="B486" i="4" s="1"/>
  <c r="N486" i="4"/>
  <c r="P486" i="4"/>
  <c r="Q486" i="4" s="1"/>
  <c r="M486" i="4" s="1"/>
  <c r="E486" i="4"/>
  <c r="D486" i="4" s="1"/>
  <c r="C486" i="4" s="1"/>
  <c r="G487" i="4" l="1"/>
  <c r="B487" i="4" s="1"/>
  <c r="E487" i="4"/>
  <c r="D487" i="4" s="1"/>
  <c r="C487" i="4" s="1"/>
  <c r="N487" i="4"/>
  <c r="P487" i="4"/>
  <c r="Q487" i="4" s="1"/>
  <c r="M487" i="4" s="1"/>
  <c r="G488" i="4" l="1"/>
  <c r="B488" i="4"/>
  <c r="N488" i="4"/>
  <c r="P488" i="4"/>
  <c r="Q488" i="4" s="1"/>
  <c r="M488" i="4" s="1"/>
  <c r="E488" i="4"/>
  <c r="D488" i="4" s="1"/>
  <c r="C488" i="4" s="1"/>
  <c r="G489" i="4" l="1"/>
  <c r="B489" i="4" s="1"/>
  <c r="E489" i="4"/>
  <c r="D489" i="4" s="1"/>
  <c r="C489" i="4" s="1"/>
  <c r="N489" i="4"/>
  <c r="P489" i="4"/>
  <c r="Q489" i="4" s="1"/>
  <c r="M489" i="4" s="1"/>
  <c r="G490" i="4" l="1"/>
  <c r="B490" i="4" s="1"/>
  <c r="N490" i="4"/>
  <c r="P490" i="4"/>
  <c r="Q490" i="4" s="1"/>
  <c r="M490" i="4" s="1"/>
  <c r="E490" i="4"/>
  <c r="D490" i="4" s="1"/>
  <c r="C490" i="4" s="1"/>
  <c r="G491" i="4" l="1"/>
  <c r="B491" i="4" s="1"/>
  <c r="E491" i="4"/>
  <c r="D491" i="4" s="1"/>
  <c r="C491" i="4" s="1"/>
  <c r="N491" i="4"/>
  <c r="P491" i="4"/>
  <c r="Q491" i="4" s="1"/>
  <c r="M491" i="4" s="1"/>
  <c r="G492" i="4" l="1"/>
  <c r="B492" i="4" s="1"/>
  <c r="N492" i="4"/>
  <c r="P492" i="4"/>
  <c r="Q492" i="4" s="1"/>
  <c r="M492" i="4" s="1"/>
  <c r="E492" i="4"/>
  <c r="D492" i="4" s="1"/>
  <c r="C492" i="4" s="1"/>
  <c r="G493" i="4" l="1"/>
  <c r="B493" i="4" s="1"/>
  <c r="E493" i="4"/>
  <c r="D493" i="4" s="1"/>
  <c r="C493" i="4" s="1"/>
  <c r="N493" i="4"/>
  <c r="P493" i="4"/>
  <c r="Q493" i="4" s="1"/>
  <c r="M493" i="4" s="1"/>
  <c r="G494" i="4" l="1"/>
  <c r="B494" i="4" s="1"/>
  <c r="E494" i="4"/>
  <c r="D494" i="4" s="1"/>
  <c r="C494" i="4" s="1"/>
  <c r="N494" i="4"/>
  <c r="P494" i="4"/>
  <c r="Q494" i="4" s="1"/>
  <c r="M494" i="4" s="1"/>
  <c r="G495" i="4" l="1"/>
  <c r="B495" i="4" s="1"/>
  <c r="E495" i="4"/>
  <c r="D495" i="4" s="1"/>
  <c r="C495" i="4" s="1"/>
  <c r="N495" i="4"/>
  <c r="P495" i="4"/>
  <c r="Q495" i="4" s="1"/>
  <c r="M495" i="4" s="1"/>
  <c r="G496" i="4" l="1"/>
  <c r="B496" i="4" s="1"/>
  <c r="C13" i="4" s="1"/>
  <c r="P496" i="4"/>
  <c r="Q496" i="4" s="1"/>
  <c r="N496" i="4"/>
  <c r="E496" i="4"/>
  <c r="D496" i="4" s="1"/>
  <c r="C496" i="4" s="1"/>
  <c r="M496" i="4" l="1"/>
  <c r="N13" i="4" s="1"/>
  <c r="F94" i="7" s="1"/>
  <c r="N12" i="4"/>
  <c r="F96" i="7" s="1"/>
  <c r="C12" i="4"/>
  <c r="F95" i="7" s="1"/>
  <c r="F93" i="7"/>
  <c r="C5" i="5" l="1"/>
  <c r="D5" i="5" l="1"/>
  <c r="D327" i="5" s="1"/>
  <c r="B14" i="5"/>
  <c r="C180" i="5"/>
  <c r="B290" i="5"/>
  <c r="B16" i="5"/>
  <c r="C404" i="5"/>
  <c r="C222" i="5"/>
  <c r="B532" i="5"/>
  <c r="B74" i="5"/>
  <c r="C447" i="5"/>
  <c r="C280" i="5"/>
  <c r="B121" i="5"/>
  <c r="C24" i="5"/>
  <c r="B452" i="5"/>
  <c r="B403" i="5"/>
  <c r="B82" i="5"/>
  <c r="C228" i="5"/>
  <c r="B152" i="5"/>
  <c r="C510" i="5"/>
  <c r="B338" i="5"/>
  <c r="B363" i="5"/>
  <c r="B393" i="5"/>
  <c r="C515" i="5"/>
  <c r="B343" i="5"/>
  <c r="C362" i="5"/>
  <c r="B45" i="5"/>
  <c r="C346" i="5"/>
  <c r="B323" i="5"/>
  <c r="B412" i="5"/>
  <c r="C206" i="5"/>
  <c r="B91" i="5"/>
  <c r="C295" i="5"/>
  <c r="B27" i="5"/>
  <c r="C264" i="5"/>
  <c r="C35" i="5"/>
  <c r="B269" i="5"/>
  <c r="B85" i="5"/>
  <c r="B378" i="5"/>
  <c r="C441" i="5"/>
  <c r="B331" i="5"/>
  <c r="B42" i="5"/>
  <c r="B358" i="5"/>
  <c r="C436" i="5"/>
  <c r="B264" i="5"/>
  <c r="C29" i="5"/>
  <c r="B200" i="5"/>
  <c r="C511" i="5"/>
  <c r="B475" i="5"/>
  <c r="C83" i="5"/>
  <c r="C190" i="5"/>
  <c r="C56" i="5"/>
  <c r="C312" i="5"/>
  <c r="C218" i="5"/>
  <c r="C84" i="5"/>
  <c r="C276" i="5"/>
  <c r="C495" i="5"/>
  <c r="C289" i="5"/>
  <c r="C380" i="5"/>
  <c r="C151" i="5"/>
  <c r="B510" i="5"/>
  <c r="C343" i="5"/>
  <c r="B490" i="5"/>
  <c r="B125" i="5"/>
  <c r="B352" i="5"/>
  <c r="B446" i="5"/>
  <c r="B401" i="5"/>
  <c r="C491" i="5"/>
  <c r="B508" i="5"/>
  <c r="B178" i="5"/>
  <c r="B247" i="5"/>
  <c r="C13" i="5"/>
  <c r="C448" i="5"/>
  <c r="C266" i="5"/>
  <c r="B531" i="5"/>
  <c r="C71" i="5"/>
  <c r="B120" i="5"/>
  <c r="B207" i="5"/>
  <c r="B210" i="5"/>
  <c r="C543" i="5"/>
  <c r="C480" i="5"/>
  <c r="C470" i="5"/>
  <c r="B512" i="5"/>
  <c r="C307" i="5"/>
  <c r="B431" i="5"/>
  <c r="C46" i="5"/>
  <c r="B22" i="5"/>
  <c r="C168" i="5"/>
  <c r="B538" i="5"/>
  <c r="C104" i="5"/>
  <c r="C450" i="5"/>
  <c r="B278" i="5"/>
  <c r="B380" i="5"/>
  <c r="B218" i="5"/>
  <c r="B429" i="5"/>
  <c r="B124" i="5"/>
  <c r="D433" i="5"/>
  <c r="B191" i="5"/>
  <c r="B495" i="5"/>
  <c r="C183" i="5"/>
  <c r="B330" i="5"/>
  <c r="C393" i="5"/>
  <c r="B192" i="5"/>
  <c r="B157" i="5"/>
  <c r="B172" i="5"/>
  <c r="B428" i="5"/>
  <c r="C193" i="5"/>
  <c r="B128" i="5"/>
  <c r="C162" i="5"/>
  <c r="C520" i="5"/>
  <c r="B448" i="5"/>
  <c r="B416" i="5"/>
  <c r="C270" i="5"/>
  <c r="C539" i="5"/>
  <c r="C328" i="5"/>
  <c r="B480" i="5"/>
  <c r="B442" i="5"/>
  <c r="B351" i="5"/>
  <c r="B68" i="5"/>
  <c r="C36" i="5"/>
  <c r="C16" i="5"/>
  <c r="B303" i="5"/>
  <c r="C365" i="5"/>
  <c r="C227" i="5"/>
  <c r="C482" i="5"/>
  <c r="B156" i="5"/>
  <c r="C418" i="5"/>
  <c r="B201" i="5"/>
  <c r="B457" i="5"/>
  <c r="C142" i="5"/>
  <c r="B397" i="5"/>
  <c r="C519" i="5"/>
  <c r="B347" i="5"/>
  <c r="C499" i="5"/>
  <c r="C154" i="5"/>
  <c r="C530" i="5"/>
  <c r="C90" i="5"/>
  <c r="B66" i="5"/>
  <c r="C212" i="5"/>
  <c r="B521" i="5"/>
  <c r="C211" i="5"/>
  <c r="C421" i="5"/>
  <c r="B249" i="5"/>
  <c r="C528" i="5"/>
  <c r="C165" i="5"/>
  <c r="C101" i="5"/>
  <c r="C219" i="5"/>
  <c r="B391" i="5"/>
  <c r="C302" i="5"/>
  <c r="C459" i="5"/>
  <c r="C364" i="5"/>
  <c r="B362" i="5"/>
  <c r="C440" i="5"/>
  <c r="B268" i="5"/>
  <c r="C33" i="5"/>
  <c r="B204" i="5"/>
  <c r="B108" i="5"/>
  <c r="C254" i="5"/>
  <c r="C87" i="5"/>
  <c r="C194" i="5"/>
  <c r="C60" i="5"/>
  <c r="C316" i="5"/>
  <c r="B536" i="5"/>
  <c r="C232" i="5"/>
  <c r="C323" i="5"/>
  <c r="B150" i="5"/>
  <c r="B252" i="5"/>
  <c r="B342" i="5"/>
  <c r="B297" i="5"/>
  <c r="C420" i="5"/>
  <c r="C238" i="5"/>
  <c r="B188" i="5"/>
  <c r="B187" i="5"/>
  <c r="B89" i="5"/>
  <c r="C401" i="5"/>
  <c r="B528" i="5"/>
  <c r="B541" i="5"/>
  <c r="C444" i="5"/>
  <c r="C533" i="5"/>
  <c r="B251" i="5"/>
  <c r="C17" i="5"/>
  <c r="C419" i="5"/>
  <c r="C333" i="5"/>
  <c r="C64" i="5"/>
  <c r="C77" i="5"/>
  <c r="B535" i="5"/>
  <c r="D361" i="5"/>
  <c r="C472" i="5"/>
  <c r="B299" i="5"/>
  <c r="C94" i="5"/>
  <c r="B37" i="5"/>
  <c r="C30" i="5"/>
  <c r="C381" i="5"/>
  <c r="C152" i="5"/>
  <c r="B522" i="5"/>
  <c r="C92" i="5"/>
  <c r="C438" i="5"/>
  <c r="B266" i="5"/>
  <c r="B161" i="5"/>
  <c r="B143" i="5"/>
  <c r="C546" i="5"/>
  <c r="C501" i="5"/>
  <c r="B329" i="5"/>
  <c r="C14" i="5"/>
  <c r="C388" i="5"/>
  <c r="C387" i="5"/>
  <c r="B215" i="5"/>
  <c r="C72" i="5"/>
  <c r="B60" i="5"/>
  <c r="C45" i="5"/>
  <c r="B435" i="5"/>
  <c r="B491" i="5"/>
  <c r="C137" i="5"/>
  <c r="C329" i="5"/>
  <c r="B451" i="5"/>
  <c r="C306" i="5"/>
  <c r="C274" i="5"/>
  <c r="B344" i="5"/>
  <c r="C109" i="5"/>
  <c r="C332" i="5"/>
  <c r="B501" i="5"/>
  <c r="C163" i="5"/>
  <c r="B513" i="5"/>
  <c r="C379" i="5"/>
  <c r="B17" i="5"/>
  <c r="C297" i="5"/>
  <c r="B271" i="5"/>
  <c r="B132" i="5"/>
  <c r="C504" i="5"/>
  <c r="C175" i="5"/>
  <c r="B392" i="5"/>
  <c r="C82" i="5"/>
  <c r="C62" i="5"/>
  <c r="B149" i="5"/>
  <c r="B171" i="5"/>
  <c r="C124" i="5"/>
  <c r="B339" i="5"/>
  <c r="C313" i="5"/>
  <c r="B377" i="5"/>
  <c r="C367" i="5"/>
  <c r="C503" i="5"/>
  <c r="B75" i="5"/>
  <c r="C221" i="5"/>
  <c r="C534" i="5"/>
  <c r="C157" i="5"/>
  <c r="C19" i="5"/>
  <c r="C275" i="5"/>
  <c r="B533" i="5"/>
  <c r="C215" i="5"/>
  <c r="C425" i="5"/>
  <c r="B253" i="5"/>
  <c r="B169" i="5"/>
  <c r="B440" i="5"/>
  <c r="C547" i="5"/>
  <c r="B86" i="5"/>
  <c r="C483" i="5"/>
  <c r="C138" i="5"/>
  <c r="C514" i="5"/>
  <c r="C141" i="5"/>
  <c r="B113" i="5"/>
  <c r="C259" i="5"/>
  <c r="B250" i="5"/>
  <c r="C292" i="5"/>
  <c r="B466" i="5"/>
  <c r="B402" i="5"/>
  <c r="B255" i="5"/>
  <c r="C236" i="5"/>
  <c r="C327" i="5"/>
  <c r="B154" i="5"/>
  <c r="B321" i="5"/>
  <c r="B346" i="5"/>
  <c r="B301" i="5"/>
  <c r="C424" i="5"/>
  <c r="C242" i="5"/>
  <c r="B257" i="5"/>
  <c r="B272" i="5"/>
  <c r="C431" i="5"/>
  <c r="C187" i="5"/>
  <c r="B181" i="5"/>
  <c r="C442" i="5"/>
  <c r="B473" i="5"/>
  <c r="B270" i="5"/>
  <c r="B28" i="5"/>
  <c r="B233" i="5"/>
  <c r="C405" i="5"/>
  <c r="C195" i="5"/>
  <c r="B489" i="5"/>
  <c r="B505" i="5"/>
  <c r="C184" i="5"/>
  <c r="C171" i="5"/>
  <c r="B312" i="5"/>
  <c r="B65" i="5"/>
  <c r="B355" i="5"/>
  <c r="B226" i="5"/>
  <c r="C352" i="5"/>
  <c r="C96" i="5"/>
  <c r="B115" i="5"/>
  <c r="C123" i="5"/>
  <c r="C305" i="5"/>
  <c r="C53" i="5"/>
  <c r="B244" i="5"/>
  <c r="C80" i="5"/>
  <c r="C258" i="5"/>
  <c r="B112" i="5"/>
  <c r="B273" i="5"/>
  <c r="C22" i="5"/>
  <c r="B337" i="5"/>
  <c r="C509" i="5"/>
  <c r="C299" i="5"/>
  <c r="C311" i="5"/>
  <c r="C410" i="5"/>
  <c r="C253" i="5"/>
  <c r="C196" i="5"/>
  <c r="B50" i="5"/>
  <c r="C74" i="5"/>
  <c r="B77" i="5"/>
  <c r="C149" i="5"/>
  <c r="C374" i="5"/>
  <c r="C512" i="5"/>
  <c r="B23" i="5"/>
  <c r="B148" i="5"/>
  <c r="B453" i="5"/>
  <c r="B242" i="5"/>
  <c r="B434" i="5"/>
  <c r="C75" i="5"/>
  <c r="C469" i="5"/>
  <c r="C331" i="5"/>
  <c r="C122" i="5"/>
  <c r="B467" i="5"/>
  <c r="B524" i="5"/>
  <c r="B422" i="5"/>
  <c r="B166" i="5"/>
  <c r="C248" i="5"/>
  <c r="C485" i="5"/>
  <c r="B314" i="5"/>
  <c r="B54" i="5"/>
  <c r="C173" i="5"/>
  <c r="B283" i="5"/>
  <c r="C200" i="5"/>
  <c r="C287" i="5"/>
  <c r="B94" i="5"/>
  <c r="C213" i="5"/>
  <c r="C118" i="5"/>
  <c r="C240" i="5"/>
  <c r="B47" i="5"/>
  <c r="C38" i="5"/>
  <c r="C432" i="5"/>
  <c r="C69" i="5"/>
  <c r="B304" i="5"/>
  <c r="C476" i="5"/>
  <c r="C461" i="5"/>
  <c r="C496" i="5"/>
  <c r="B462" i="5"/>
  <c r="B206" i="5"/>
  <c r="C59" i="5"/>
  <c r="B455" i="5"/>
  <c r="B195" i="5"/>
  <c r="C249" i="5"/>
  <c r="B103" i="5"/>
  <c r="B411" i="5"/>
  <c r="C20" i="5"/>
  <c r="C198" i="5"/>
  <c r="B511" i="5"/>
  <c r="B39" i="5"/>
  <c r="B164" i="5"/>
  <c r="B469" i="5"/>
  <c r="B258" i="5"/>
  <c r="B420" i="5"/>
  <c r="C451" i="5"/>
  <c r="B227" i="5"/>
  <c r="B284" i="5"/>
  <c r="B484" i="5"/>
  <c r="B387" i="5"/>
  <c r="C354" i="5"/>
  <c r="C536" i="5"/>
  <c r="B413" i="5"/>
  <c r="B202" i="5"/>
  <c r="B364" i="5"/>
  <c r="B494" i="5"/>
  <c r="C135" i="5"/>
  <c r="C111" i="5"/>
  <c r="B159" i="5"/>
  <c r="C390" i="5"/>
  <c r="C28" i="5"/>
  <c r="B114" i="5"/>
  <c r="C284" i="5"/>
  <c r="B76" i="5"/>
  <c r="B67" i="5"/>
  <c r="C226" i="5"/>
  <c r="C408" i="5"/>
  <c r="B540" i="5"/>
  <c r="B551" i="5"/>
  <c r="B487" i="5"/>
  <c r="B547" i="5"/>
  <c r="B463" i="5"/>
  <c r="B438" i="5"/>
  <c r="C191" i="5"/>
  <c r="C452" i="5"/>
  <c r="C356" i="5"/>
  <c r="C100" i="5"/>
  <c r="C234" i="5"/>
  <c r="C127" i="5"/>
  <c r="C309" i="5"/>
  <c r="C371" i="5"/>
  <c r="B40" i="5"/>
  <c r="B507" i="5"/>
  <c r="B488" i="5"/>
  <c r="C186" i="5"/>
  <c r="C347" i="5"/>
  <c r="C44" i="5"/>
  <c r="C273" i="5"/>
  <c r="C178" i="5"/>
  <c r="C300" i="5"/>
  <c r="B92" i="5"/>
  <c r="B99" i="5"/>
  <c r="B224" i="5"/>
  <c r="C396" i="5"/>
  <c r="B318" i="5"/>
  <c r="B48" i="5"/>
  <c r="B193" i="5"/>
  <c r="B517" i="5"/>
  <c r="C155" i="5"/>
  <c r="B449" i="5"/>
  <c r="B282" i="5"/>
  <c r="C454" i="5"/>
  <c r="C108" i="5"/>
  <c r="C474" i="5"/>
  <c r="C172" i="5"/>
  <c r="B26" i="5"/>
  <c r="C50" i="5"/>
  <c r="B246" i="5"/>
  <c r="B474" i="5"/>
  <c r="B509" i="5"/>
  <c r="B245" i="5"/>
  <c r="C462" i="5"/>
  <c r="B196" i="5"/>
  <c r="C397" i="5"/>
  <c r="B334" i="5"/>
  <c r="B41" i="5"/>
  <c r="B354" i="5"/>
  <c r="B105" i="5"/>
  <c r="C224" i="5"/>
  <c r="C358" i="5"/>
  <c r="B471" i="5"/>
  <c r="B211" i="5"/>
  <c r="B405" i="5"/>
  <c r="C500" i="5"/>
  <c r="C158" i="5"/>
  <c r="C471" i="5"/>
  <c r="C189" i="5"/>
  <c r="B424" i="5"/>
  <c r="B168" i="5"/>
  <c r="B153" i="5"/>
  <c r="C535" i="5"/>
  <c r="C389" i="5"/>
  <c r="B326" i="5"/>
  <c r="C179" i="5"/>
  <c r="B367" i="5"/>
  <c r="C244" i="5"/>
  <c r="B51" i="5"/>
  <c r="C166" i="5"/>
  <c r="B437" i="5"/>
  <c r="C197" i="5"/>
  <c r="B410" i="5"/>
  <c r="C40" i="5"/>
  <c r="C269" i="5"/>
  <c r="C174" i="5"/>
  <c r="C296" i="5"/>
  <c r="C479" i="5"/>
  <c r="B106" i="5"/>
  <c r="B139" i="5"/>
  <c r="B460" i="5"/>
  <c r="B189" i="5"/>
  <c r="B44" i="5"/>
  <c r="C304" i="5"/>
  <c r="C540" i="5"/>
  <c r="B506" i="5"/>
  <c r="B482" i="5"/>
  <c r="C523" i="5"/>
  <c r="B141" i="5"/>
  <c r="B530" i="5"/>
  <c r="C383" i="5"/>
  <c r="B421" i="5"/>
  <c r="B254" i="5"/>
  <c r="C426" i="5"/>
  <c r="C336" i="5"/>
  <c r="C446" i="5"/>
  <c r="C144" i="5"/>
  <c r="C373" i="5"/>
  <c r="C278" i="5"/>
  <c r="B223" i="5"/>
  <c r="B483" i="5"/>
  <c r="B183" i="5"/>
  <c r="B184" i="5"/>
  <c r="B459" i="5"/>
  <c r="C433" i="5"/>
  <c r="B370" i="5"/>
  <c r="C223" i="5"/>
  <c r="B248" i="5"/>
  <c r="C31" i="5"/>
  <c r="C260" i="5"/>
  <c r="C169" i="5"/>
  <c r="C466" i="5"/>
  <c r="C361" i="5"/>
  <c r="C54" i="5"/>
  <c r="B340" i="5"/>
  <c r="C497" i="5"/>
  <c r="C310" i="5"/>
  <c r="B423" i="5"/>
  <c r="C406" i="5"/>
  <c r="C93" i="5"/>
  <c r="C318" i="5"/>
  <c r="B203" i="5"/>
  <c r="C349" i="5"/>
  <c r="C435" i="5"/>
  <c r="C241" i="5"/>
  <c r="B476" i="5"/>
  <c r="B220" i="5"/>
  <c r="B545" i="5"/>
  <c r="B155" i="5"/>
  <c r="B305" i="5"/>
  <c r="B138" i="5"/>
  <c r="C542" i="5"/>
  <c r="B394" i="5"/>
  <c r="B21" i="5"/>
  <c r="C372" i="5"/>
  <c r="C167" i="5"/>
  <c r="C334" i="5"/>
  <c r="C325" i="5"/>
  <c r="C113" i="5"/>
  <c r="B348" i="5"/>
  <c r="B324" i="5"/>
  <c r="C399" i="5"/>
  <c r="C257" i="5"/>
  <c r="B399" i="5"/>
  <c r="B328" i="5"/>
  <c r="B313" i="5"/>
  <c r="B263" i="5"/>
  <c r="B194" i="5"/>
  <c r="B523" i="5"/>
  <c r="B520" i="5"/>
  <c r="C303" i="5"/>
  <c r="C47" i="5"/>
  <c r="C185" i="5"/>
  <c r="B130" i="5"/>
  <c r="B310" i="5"/>
  <c r="C170" i="5"/>
  <c r="B24" i="5"/>
  <c r="B279" i="5"/>
  <c r="B55" i="5"/>
  <c r="B350" i="5"/>
  <c r="B101" i="5"/>
  <c r="C220" i="5"/>
  <c r="C129" i="5"/>
  <c r="C247" i="5"/>
  <c r="B43" i="5"/>
  <c r="C516" i="5"/>
  <c r="B46" i="5"/>
  <c r="C114" i="5"/>
  <c r="B400" i="5"/>
  <c r="B129" i="5"/>
  <c r="C370" i="5"/>
  <c r="C492" i="5"/>
  <c r="B369" i="5"/>
  <c r="B158" i="5"/>
  <c r="B320" i="5"/>
  <c r="C521" i="5"/>
  <c r="B458" i="5"/>
  <c r="C55" i="5"/>
  <c r="B478" i="5"/>
  <c r="C119" i="5"/>
  <c r="C348" i="5"/>
  <c r="B111" i="5"/>
  <c r="B356" i="5"/>
  <c r="B447" i="5"/>
  <c r="B383" i="5"/>
  <c r="B180" i="5"/>
  <c r="B485" i="5"/>
  <c r="B436" i="5"/>
  <c r="B280" i="5"/>
  <c r="B165" i="5"/>
  <c r="C350" i="5"/>
  <c r="C532" i="5"/>
  <c r="B409" i="5"/>
  <c r="B198" i="5"/>
  <c r="B360" i="5"/>
  <c r="B365" i="5"/>
  <c r="C131" i="5"/>
  <c r="B174" i="5"/>
  <c r="C386" i="5"/>
  <c r="C529" i="5"/>
  <c r="C363" i="5"/>
  <c r="C107" i="5"/>
  <c r="C245" i="5"/>
  <c r="B190" i="5"/>
  <c r="C256" i="5"/>
  <c r="B110" i="5"/>
  <c r="C134" i="5"/>
  <c r="C27" i="5"/>
  <c r="C209" i="5"/>
  <c r="B63" i="5"/>
  <c r="B144" i="5"/>
  <c r="B83" i="5"/>
  <c r="B208" i="5"/>
  <c r="B549" i="5"/>
  <c r="B302" i="5"/>
  <c r="C507" i="5"/>
  <c r="B439" i="5"/>
  <c r="C79" i="5"/>
  <c r="C308" i="5"/>
  <c r="B71" i="5"/>
  <c r="C335" i="5"/>
  <c r="C32" i="5"/>
  <c r="C261" i="5"/>
  <c r="B20" i="5"/>
  <c r="C281" i="5"/>
  <c r="B84" i="5"/>
  <c r="B260" i="5"/>
  <c r="C417" i="5"/>
  <c r="B375" i="5"/>
  <c r="B52" i="5"/>
  <c r="B72" i="5"/>
  <c r="C449" i="5"/>
  <c r="B414" i="5"/>
  <c r="C378" i="5"/>
  <c r="C502" i="5"/>
  <c r="B548" i="5"/>
  <c r="C153" i="5"/>
  <c r="B388" i="5"/>
  <c r="B70" i="5"/>
  <c r="B443" i="5"/>
  <c r="B546" i="5"/>
  <c r="B12" i="5"/>
  <c r="C351" i="5"/>
  <c r="B503" i="5"/>
  <c r="B479" i="5"/>
  <c r="C551" i="5"/>
  <c r="C481" i="5"/>
  <c r="B418" i="5"/>
  <c r="C15" i="5"/>
  <c r="B309" i="5"/>
  <c r="B407" i="5"/>
  <c r="B361" i="5"/>
  <c r="C68" i="5"/>
  <c r="C473" i="5"/>
  <c r="C324" i="5"/>
  <c r="C460" i="5"/>
  <c r="B426" i="5"/>
  <c r="B170" i="5"/>
  <c r="C252" i="5"/>
  <c r="C489" i="5"/>
  <c r="C251" i="5"/>
  <c r="B58" i="5"/>
  <c r="C177" i="5"/>
  <c r="B368" i="5"/>
  <c r="C204" i="5"/>
  <c r="C130" i="5"/>
  <c r="C106" i="5"/>
  <c r="B445" i="5"/>
  <c r="B15" i="5"/>
  <c r="B140" i="5"/>
  <c r="C544" i="5"/>
  <c r="B385" i="5"/>
  <c r="B465" i="5"/>
  <c r="B298" i="5"/>
  <c r="B274" i="5"/>
  <c r="B514" i="5"/>
  <c r="C21" i="5"/>
  <c r="C67" i="5"/>
  <c r="C277" i="5"/>
  <c r="B80" i="5"/>
  <c r="B56" i="5"/>
  <c r="B276" i="5"/>
  <c r="C477" i="5"/>
  <c r="B504" i="5"/>
  <c r="B515" i="5"/>
  <c r="B500" i="5"/>
  <c r="B306" i="5"/>
  <c r="C478" i="5"/>
  <c r="C132" i="5"/>
  <c r="B529" i="5"/>
  <c r="B550" i="5"/>
  <c r="C121" i="5"/>
  <c r="B234" i="5"/>
  <c r="B167" i="5"/>
  <c r="C377" i="5"/>
  <c r="C525" i="5"/>
  <c r="C359" i="5"/>
  <c r="C103" i="5"/>
  <c r="C12" i="5"/>
  <c r="B186" i="5"/>
  <c r="C301" i="5"/>
  <c r="C368" i="5"/>
  <c r="C65" i="5"/>
  <c r="C290" i="5"/>
  <c r="C428" i="5"/>
  <c r="C321" i="5"/>
  <c r="B432" i="5"/>
  <c r="B176" i="5"/>
  <c r="B526" i="5"/>
  <c r="C146" i="5"/>
  <c r="B461" i="5"/>
  <c r="B205" i="5"/>
  <c r="C422" i="5"/>
  <c r="B225" i="5"/>
  <c r="C486" i="5"/>
  <c r="C231" i="5"/>
  <c r="C369" i="5"/>
  <c r="B543" i="5"/>
  <c r="B285" i="5"/>
  <c r="C70" i="5"/>
  <c r="C120" i="5"/>
  <c r="C78" i="5"/>
  <c r="C326" i="5"/>
  <c r="C402" i="5"/>
  <c r="C26" i="5"/>
  <c r="B539" i="5"/>
  <c r="B199" i="5"/>
  <c r="C282" i="5"/>
  <c r="C464" i="5"/>
  <c r="B259" i="5"/>
  <c r="C237" i="5"/>
  <c r="B472" i="5"/>
  <c r="B216" i="5"/>
  <c r="B537" i="5"/>
  <c r="B151" i="5"/>
  <c r="B236" i="5"/>
  <c r="B134" i="5"/>
  <c r="C413" i="5"/>
  <c r="B390" i="5"/>
  <c r="B327" i="5"/>
  <c r="C443" i="5"/>
  <c r="C400" i="5"/>
  <c r="B366" i="5"/>
  <c r="C538" i="5"/>
  <c r="C192" i="5"/>
  <c r="C429" i="5"/>
  <c r="C203" i="5"/>
  <c r="B57" i="5"/>
  <c r="C85" i="5"/>
  <c r="C458" i="5"/>
  <c r="C156" i="5"/>
  <c r="C385" i="5"/>
  <c r="C34" i="5"/>
  <c r="B30" i="5"/>
  <c r="C98" i="5"/>
  <c r="B384" i="5"/>
  <c r="C541" i="5"/>
  <c r="C319" i="5"/>
  <c r="C63" i="5"/>
  <c r="C201" i="5"/>
  <c r="B146" i="5"/>
  <c r="B109" i="5"/>
  <c r="C181" i="5"/>
  <c r="B35" i="5"/>
  <c r="B62" i="5"/>
  <c r="B175" i="5"/>
  <c r="B221" i="5"/>
  <c r="B97" i="5"/>
  <c r="C216" i="5"/>
  <c r="C125" i="5"/>
  <c r="C243" i="5"/>
  <c r="B281" i="5"/>
  <c r="B53" i="5"/>
  <c r="C110" i="5"/>
  <c r="B315" i="5"/>
  <c r="C488" i="5"/>
  <c r="C366" i="5"/>
  <c r="B18" i="5"/>
  <c r="C86" i="5"/>
  <c r="B372" i="5"/>
  <c r="B357" i="5"/>
  <c r="C342" i="5"/>
  <c r="C524" i="5"/>
  <c r="B341" i="5"/>
  <c r="B386" i="5"/>
  <c r="B292" i="5"/>
  <c r="C493" i="5"/>
  <c r="B430" i="5"/>
  <c r="C283" i="5"/>
  <c r="B450" i="5"/>
  <c r="C91" i="5"/>
  <c r="C320" i="5"/>
  <c r="C229" i="5"/>
  <c r="B359" i="5"/>
  <c r="B379" i="5"/>
  <c r="C467" i="5"/>
  <c r="C58" i="5"/>
  <c r="B373" i="5"/>
  <c r="C545" i="5"/>
  <c r="B162" i="5"/>
  <c r="C531" i="5"/>
  <c r="C398" i="5"/>
  <c r="C143" i="5"/>
  <c r="C52" i="5"/>
  <c r="C508" i="5"/>
  <c r="B238" i="5"/>
  <c r="C403" i="5"/>
  <c r="B296" i="5"/>
  <c r="C453" i="5"/>
  <c r="B231" i="5"/>
  <c r="C526" i="5"/>
  <c r="C271" i="5"/>
  <c r="B34" i="5"/>
  <c r="B345" i="5"/>
  <c r="B98" i="5"/>
  <c r="C217" i="5"/>
  <c r="B217" i="5"/>
  <c r="C345" i="5"/>
  <c r="C89" i="5"/>
  <c r="B104" i="5"/>
  <c r="C116" i="5"/>
  <c r="C294" i="5"/>
  <c r="B470" i="5"/>
  <c r="B49" i="5"/>
  <c r="B307" i="5"/>
  <c r="B311" i="5"/>
  <c r="C484" i="5"/>
  <c r="B25" i="5"/>
  <c r="C97" i="5"/>
  <c r="C322" i="5"/>
  <c r="B288" i="5"/>
  <c r="C353" i="5"/>
  <c r="C439" i="5"/>
  <c r="C230" i="5"/>
  <c r="C412" i="5"/>
  <c r="B289" i="5"/>
  <c r="C506" i="5"/>
  <c r="B240" i="5"/>
  <c r="B382" i="5"/>
  <c r="B126" i="5"/>
  <c r="C208" i="5"/>
  <c r="C445" i="5"/>
  <c r="C279" i="5"/>
  <c r="C23" i="5"/>
  <c r="C161" i="5"/>
  <c r="C43" i="5"/>
  <c r="C225" i="5"/>
  <c r="B79" i="5"/>
  <c r="B160" i="5"/>
  <c r="B239" i="5"/>
  <c r="B133" i="5"/>
  <c r="B498" i="5"/>
  <c r="C95" i="5"/>
  <c r="B389" i="5"/>
  <c r="B222" i="5"/>
  <c r="C394" i="5"/>
  <c r="C48" i="5"/>
  <c r="C414" i="5"/>
  <c r="C112" i="5"/>
  <c r="C341" i="5"/>
  <c r="B100" i="5"/>
  <c r="C246" i="5"/>
  <c r="B38" i="5"/>
  <c r="B371" i="5"/>
  <c r="B406" i="5"/>
  <c r="B87" i="5"/>
  <c r="C202" i="5"/>
  <c r="B395" i="5"/>
  <c r="C233" i="5"/>
  <c r="B36" i="5"/>
  <c r="B102" i="5"/>
  <c r="B135" i="5"/>
  <c r="B456" i="5"/>
  <c r="B185" i="5"/>
  <c r="C550" i="5"/>
  <c r="C357" i="5"/>
  <c r="C455" i="5"/>
  <c r="B502" i="5"/>
  <c r="B353" i="5"/>
  <c r="B137" i="5"/>
  <c r="B319" i="5"/>
  <c r="B404" i="5"/>
  <c r="B177" i="5"/>
  <c r="B542" i="5"/>
  <c r="C139" i="5"/>
  <c r="B433" i="5"/>
  <c r="B142" i="5"/>
  <c r="C315" i="5"/>
  <c r="B78" i="5"/>
  <c r="B398" i="5"/>
  <c r="C39" i="5"/>
  <c r="C268" i="5"/>
  <c r="B31" i="5"/>
  <c r="C288" i="5"/>
  <c r="B95" i="5"/>
  <c r="C210" i="5"/>
  <c r="B481" i="5"/>
  <c r="B127" i="5"/>
  <c r="B322" i="5"/>
  <c r="C494" i="5"/>
  <c r="C148" i="5"/>
  <c r="B544" i="5"/>
  <c r="C430" i="5"/>
  <c r="C128" i="5"/>
  <c r="B230" i="5"/>
  <c r="B243" i="5"/>
  <c r="C384" i="5"/>
  <c r="C456" i="5"/>
  <c r="C355" i="5"/>
  <c r="C99" i="5"/>
  <c r="B118" i="5"/>
  <c r="B182" i="5"/>
  <c r="C298" i="5"/>
  <c r="C375" i="5"/>
  <c r="C61" i="5"/>
  <c r="C286" i="5"/>
  <c r="B492" i="5"/>
  <c r="C317" i="5"/>
  <c r="C340" i="5"/>
  <c r="C37" i="5"/>
  <c r="C262" i="5"/>
  <c r="B228" i="5"/>
  <c r="C293" i="5"/>
  <c r="B96" i="5"/>
  <c r="B212" i="5"/>
  <c r="B197" i="5"/>
  <c r="C182" i="5"/>
  <c r="B497" i="5"/>
  <c r="B241" i="5"/>
  <c r="B286" i="5"/>
  <c r="B261" i="5"/>
  <c r="C522" i="5"/>
  <c r="C267" i="5"/>
  <c r="C176" i="5"/>
  <c r="B291" i="5"/>
  <c r="B496" i="5"/>
  <c r="C42" i="5"/>
  <c r="C415" i="5"/>
  <c r="C73" i="5"/>
  <c r="B308" i="5"/>
  <c r="B88" i="5"/>
  <c r="B293" i="5"/>
  <c r="C465" i="5"/>
  <c r="C255" i="5"/>
  <c r="C416" i="5"/>
  <c r="B232" i="5"/>
  <c r="B61" i="5"/>
  <c r="B477" i="5"/>
  <c r="B519" i="5"/>
  <c r="C207" i="5"/>
  <c r="B32" i="5"/>
  <c r="B237" i="5"/>
  <c r="C409" i="5"/>
  <c r="C199" i="5"/>
  <c r="B493" i="5"/>
  <c r="B464" i="5"/>
  <c r="C490" i="5"/>
  <c r="C188" i="5"/>
  <c r="C164" i="5"/>
  <c r="B441" i="5"/>
  <c r="B69" i="5"/>
  <c r="C81" i="5"/>
  <c r="C57" i="5"/>
  <c r="C337" i="5"/>
  <c r="C423" i="5"/>
  <c r="B116" i="5"/>
  <c r="C475" i="5"/>
  <c r="B336" i="5"/>
  <c r="C537" i="5"/>
  <c r="C513" i="5"/>
  <c r="B163" i="5"/>
  <c r="B287" i="5"/>
  <c r="C498" i="5"/>
  <c r="B527" i="5"/>
  <c r="C160" i="5"/>
  <c r="C338" i="5"/>
  <c r="C314" i="5"/>
  <c r="C102" i="5"/>
  <c r="B417" i="5"/>
  <c r="B468" i="5"/>
  <c r="B29" i="5"/>
  <c r="C140" i="5"/>
  <c r="B213" i="5"/>
  <c r="B277" i="5"/>
  <c r="C239" i="5"/>
  <c r="B262" i="5"/>
  <c r="C434" i="5"/>
  <c r="C88" i="5"/>
  <c r="B518" i="5"/>
  <c r="C25" i="5"/>
  <c r="C250" i="5"/>
  <c r="B147" i="5"/>
  <c r="B33" i="5"/>
  <c r="B275" i="5"/>
  <c r="B295" i="5"/>
  <c r="C468" i="5"/>
  <c r="D352" i="5"/>
  <c r="D69" i="5"/>
  <c r="D218" i="5"/>
  <c r="D219" i="5"/>
  <c r="D425" i="5"/>
  <c r="D300" i="5"/>
  <c r="D230" i="5"/>
  <c r="D446" i="5"/>
  <c r="D231" i="5"/>
  <c r="D77" i="5"/>
  <c r="D146" i="5"/>
  <c r="D124" i="5"/>
  <c r="D416" i="5"/>
  <c r="D476" i="5"/>
  <c r="D417" i="5"/>
  <c r="D377" i="5"/>
  <c r="D341" i="5"/>
  <c r="C411" i="5"/>
  <c r="B107" i="5"/>
  <c r="C344" i="5"/>
  <c r="C115" i="5"/>
  <c r="B349" i="5"/>
  <c r="C51" i="5"/>
  <c r="B454" i="5"/>
  <c r="C517" i="5"/>
  <c r="B235" i="5"/>
  <c r="C457" i="5"/>
  <c r="B300" i="5"/>
  <c r="C407" i="5"/>
  <c r="B525" i="5"/>
  <c r="B408" i="5"/>
  <c r="B427" i="5"/>
  <c r="C291" i="5"/>
  <c r="B119" i="5"/>
  <c r="C265" i="5"/>
  <c r="B265" i="5"/>
  <c r="B81" i="5"/>
  <c r="B374" i="5"/>
  <c r="C437" i="5"/>
  <c r="C395" i="5"/>
  <c r="B229" i="5"/>
  <c r="C214" i="5"/>
  <c r="C150" i="5"/>
  <c r="C272" i="5"/>
  <c r="C136" i="5"/>
  <c r="B499" i="5"/>
  <c r="B122" i="5"/>
  <c r="C505" i="5"/>
  <c r="B333" i="5"/>
  <c r="C18" i="5"/>
  <c r="C392" i="5"/>
  <c r="C391" i="5"/>
  <c r="B219" i="5"/>
  <c r="C76" i="5"/>
  <c r="B64" i="5"/>
  <c r="C49" i="5"/>
  <c r="B516" i="5"/>
  <c r="C285" i="5"/>
  <c r="C376" i="5"/>
  <c r="C147" i="5"/>
  <c r="B381" i="5"/>
  <c r="C339" i="5"/>
  <c r="B486" i="5"/>
  <c r="C549" i="5"/>
  <c r="B267" i="5"/>
  <c r="B317" i="5"/>
  <c r="B332" i="5"/>
  <c r="B19" i="5"/>
  <c r="B93" i="5"/>
  <c r="B73" i="5"/>
  <c r="B325" i="5"/>
  <c r="B145" i="5"/>
  <c r="B294" i="5"/>
  <c r="B396" i="5"/>
  <c r="B256" i="5"/>
  <c r="C66" i="5"/>
  <c r="B136" i="5"/>
  <c r="C382" i="5"/>
  <c r="B316" i="5"/>
  <c r="C117" i="5"/>
  <c r="C126" i="5"/>
  <c r="C463" i="5"/>
  <c r="C360" i="5"/>
  <c r="C133" i="5"/>
  <c r="B179" i="5"/>
  <c r="C330" i="5"/>
  <c r="C105" i="5"/>
  <c r="B534" i="5"/>
  <c r="C41" i="5"/>
  <c r="B13" i="5"/>
  <c r="C159" i="5"/>
  <c r="B376" i="5"/>
  <c r="B214" i="5"/>
  <c r="B425" i="5"/>
  <c r="C548" i="5"/>
  <c r="B419" i="5"/>
  <c r="C427" i="5"/>
  <c r="C235" i="5"/>
  <c r="B131" i="5"/>
  <c r="B209" i="5"/>
  <c r="C527" i="5"/>
  <c r="B173" i="5"/>
  <c r="B444" i="5"/>
  <c r="B123" i="5"/>
  <c r="B90" i="5"/>
  <c r="C487" i="5"/>
  <c r="B59" i="5"/>
  <c r="C205" i="5"/>
  <c r="C518" i="5"/>
  <c r="C145" i="5"/>
  <c r="B117" i="5"/>
  <c r="C263" i="5"/>
  <c r="B415" i="5"/>
  <c r="B335" i="5"/>
  <c r="E17" i="2"/>
  <c r="F43" i="2"/>
  <c r="F47" i="2"/>
  <c r="F51" i="2"/>
  <c r="F55" i="2"/>
  <c r="F59" i="2"/>
  <c r="F63" i="2"/>
  <c r="F67" i="2"/>
  <c r="F71" i="2"/>
  <c r="F75" i="2"/>
  <c r="F79" i="2"/>
  <c r="F83" i="2"/>
  <c r="F87" i="2"/>
  <c r="F91" i="2"/>
  <c r="F95" i="2"/>
  <c r="F99" i="2"/>
  <c r="F103" i="2"/>
  <c r="F107" i="2"/>
  <c r="F111" i="2"/>
  <c r="F115" i="2"/>
  <c r="F119" i="2"/>
  <c r="F123" i="2"/>
  <c r="F127" i="2"/>
  <c r="F131" i="2"/>
  <c r="F135" i="2"/>
  <c r="F139" i="2"/>
  <c r="F143" i="2"/>
  <c r="F147" i="2"/>
  <c r="F151" i="2"/>
  <c r="F155" i="2"/>
  <c r="F159" i="2"/>
  <c r="F163" i="2"/>
  <c r="F167" i="2"/>
  <c r="F171" i="2"/>
  <c r="F175" i="2"/>
  <c r="F179" i="2"/>
  <c r="F183" i="2"/>
  <c r="F187" i="2"/>
  <c r="F191" i="2"/>
  <c r="F195" i="2"/>
  <c r="F199" i="2"/>
  <c r="F203" i="2"/>
  <c r="F207" i="2"/>
  <c r="F211" i="2"/>
  <c r="F215" i="2"/>
  <c r="F219" i="2"/>
  <c r="F223" i="2"/>
  <c r="F227" i="2"/>
  <c r="F231" i="2"/>
  <c r="F235" i="2"/>
  <c r="F239" i="2"/>
  <c r="F243" i="2"/>
  <c r="F247" i="2"/>
  <c r="F251" i="2"/>
  <c r="F255" i="2"/>
  <c r="F259" i="2"/>
  <c r="F263" i="2"/>
  <c r="F267" i="2"/>
  <c r="F271" i="2"/>
  <c r="F275" i="2"/>
  <c r="F279" i="2"/>
  <c r="F283" i="2"/>
  <c r="F287" i="2"/>
  <c r="F291" i="2"/>
  <c r="F295" i="2"/>
  <c r="F299" i="2"/>
  <c r="F303" i="2"/>
  <c r="F307" i="2"/>
  <c r="F311" i="2"/>
  <c r="F315" i="2"/>
  <c r="F319" i="2"/>
  <c r="F323" i="2"/>
  <c r="F40" i="2"/>
  <c r="F44" i="2"/>
  <c r="F48" i="2"/>
  <c r="F52" i="2"/>
  <c r="F56" i="2"/>
  <c r="F60" i="2"/>
  <c r="F64" i="2"/>
  <c r="F68" i="2"/>
  <c r="F72" i="2"/>
  <c r="F76" i="2"/>
  <c r="F80" i="2"/>
  <c r="F84" i="2"/>
  <c r="F88" i="2"/>
  <c r="F92" i="2"/>
  <c r="F96" i="2"/>
  <c r="F100" i="2"/>
  <c r="F104" i="2"/>
  <c r="F108" i="2"/>
  <c r="F112" i="2"/>
  <c r="F116" i="2"/>
  <c r="F120" i="2"/>
  <c r="F124" i="2"/>
  <c r="F128" i="2"/>
  <c r="F132" i="2"/>
  <c r="F136" i="2"/>
  <c r="F140" i="2"/>
  <c r="F144" i="2"/>
  <c r="F148" i="2"/>
  <c r="F152" i="2"/>
  <c r="F156" i="2"/>
  <c r="F160" i="2"/>
  <c r="F164" i="2"/>
  <c r="F168" i="2"/>
  <c r="F172" i="2"/>
  <c r="F176" i="2"/>
  <c r="F180" i="2"/>
  <c r="F184" i="2"/>
  <c r="F188" i="2"/>
  <c r="F192" i="2"/>
  <c r="F196" i="2"/>
  <c r="F200" i="2"/>
  <c r="F204" i="2"/>
  <c r="F208" i="2"/>
  <c r="F212" i="2"/>
  <c r="F216" i="2"/>
  <c r="F220" i="2"/>
  <c r="F224" i="2"/>
  <c r="F228" i="2"/>
  <c r="F232" i="2"/>
  <c r="F236" i="2"/>
  <c r="F240" i="2"/>
  <c r="F244" i="2"/>
  <c r="F41" i="2"/>
  <c r="F45" i="2"/>
  <c r="F49" i="2"/>
  <c r="F53" i="2"/>
  <c r="F57" i="2"/>
  <c r="F61" i="2"/>
  <c r="F65" i="2"/>
  <c r="F69" i="2"/>
  <c r="F73" i="2"/>
  <c r="F77" i="2"/>
  <c r="F81" i="2"/>
  <c r="F85" i="2"/>
  <c r="F89" i="2"/>
  <c r="F93" i="2"/>
  <c r="F97" i="2"/>
  <c r="F101" i="2"/>
  <c r="F105" i="2"/>
  <c r="F109" i="2"/>
  <c r="F113" i="2"/>
  <c r="F117" i="2"/>
  <c r="F121" i="2"/>
  <c r="F125" i="2"/>
  <c r="F129" i="2"/>
  <c r="F133" i="2"/>
  <c r="F137" i="2"/>
  <c r="F141" i="2"/>
  <c r="F145" i="2"/>
  <c r="F149" i="2"/>
  <c r="F153" i="2"/>
  <c r="F157" i="2"/>
  <c r="F161" i="2"/>
  <c r="F165" i="2"/>
  <c r="F169" i="2"/>
  <c r="F173" i="2"/>
  <c r="F177" i="2"/>
  <c r="F181" i="2"/>
  <c r="F185" i="2"/>
  <c r="F189" i="2"/>
  <c r="F193" i="2"/>
  <c r="F197" i="2"/>
  <c r="F201" i="2"/>
  <c r="F205" i="2"/>
  <c r="F209" i="2"/>
  <c r="F213" i="2"/>
  <c r="F217" i="2"/>
  <c r="F221" i="2"/>
  <c r="F225" i="2"/>
  <c r="F229" i="2"/>
  <c r="F233" i="2"/>
  <c r="F237" i="2"/>
  <c r="F241" i="2"/>
  <c r="F245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42" i="2"/>
  <c r="F46" i="2"/>
  <c r="F50" i="2"/>
  <c r="F54" i="2"/>
  <c r="F58" i="2"/>
  <c r="F62" i="2"/>
  <c r="F66" i="2"/>
  <c r="F70" i="2"/>
  <c r="F74" i="2"/>
  <c r="F78" i="2"/>
  <c r="F82" i="2"/>
  <c r="F86" i="2"/>
  <c r="F90" i="2"/>
  <c r="F94" i="2"/>
  <c r="F98" i="2"/>
  <c r="F102" i="2"/>
  <c r="F106" i="2"/>
  <c r="F110" i="2"/>
  <c r="F114" i="2"/>
  <c r="F118" i="2"/>
  <c r="F122" i="2"/>
  <c r="F126" i="2"/>
  <c r="F130" i="2"/>
  <c r="F134" i="2"/>
  <c r="F138" i="2"/>
  <c r="F142" i="2"/>
  <c r="F146" i="2"/>
  <c r="F150" i="2"/>
  <c r="F154" i="2"/>
  <c r="F158" i="2"/>
  <c r="F162" i="2"/>
  <c r="F166" i="2"/>
  <c r="F170" i="2"/>
  <c r="F174" i="2"/>
  <c r="F178" i="2"/>
  <c r="F182" i="2"/>
  <c r="F186" i="2"/>
  <c r="F190" i="2"/>
  <c r="F194" i="2"/>
  <c r="F198" i="2"/>
  <c r="F202" i="2"/>
  <c r="F206" i="2"/>
  <c r="F210" i="2"/>
  <c r="F214" i="2"/>
  <c r="F218" i="2"/>
  <c r="F222" i="2"/>
  <c r="F226" i="2"/>
  <c r="F230" i="2"/>
  <c r="F234" i="2"/>
  <c r="F238" i="2"/>
  <c r="F242" i="2"/>
  <c r="F246" i="2"/>
  <c r="F250" i="2"/>
  <c r="F254" i="2"/>
  <c r="F258" i="2"/>
  <c r="F262" i="2"/>
  <c r="F266" i="2"/>
  <c r="F270" i="2"/>
  <c r="F274" i="2"/>
  <c r="F278" i="2"/>
  <c r="F282" i="2"/>
  <c r="F286" i="2"/>
  <c r="F290" i="2"/>
  <c r="F294" i="2"/>
  <c r="F298" i="2"/>
  <c r="F302" i="2"/>
  <c r="F306" i="2"/>
  <c r="F310" i="2"/>
  <c r="F314" i="2"/>
  <c r="F318" i="2"/>
  <c r="F322" i="2"/>
  <c r="F326" i="2"/>
  <c r="F330" i="2"/>
  <c r="F334" i="2"/>
  <c r="F338" i="2"/>
  <c r="F342" i="2"/>
  <c r="F346" i="2"/>
  <c r="F350" i="2"/>
  <c r="F252" i="2"/>
  <c r="F260" i="2"/>
  <c r="F268" i="2"/>
  <c r="F276" i="2"/>
  <c r="F284" i="2"/>
  <c r="F292" i="2"/>
  <c r="F300" i="2"/>
  <c r="F308" i="2"/>
  <c r="F316" i="2"/>
  <c r="F324" i="2"/>
  <c r="F332" i="2"/>
  <c r="F339" i="2"/>
  <c r="F341" i="2"/>
  <c r="F348" i="2"/>
  <c r="F354" i="2"/>
  <c r="F358" i="2"/>
  <c r="F362" i="2"/>
  <c r="F366" i="2"/>
  <c r="F370" i="2"/>
  <c r="F374" i="2"/>
  <c r="F378" i="2"/>
  <c r="F382" i="2"/>
  <c r="F386" i="2"/>
  <c r="F390" i="2"/>
  <c r="F394" i="2"/>
  <c r="F398" i="2"/>
  <c r="F402" i="2"/>
  <c r="F406" i="2"/>
  <c r="F410" i="2"/>
  <c r="F414" i="2"/>
  <c r="F418" i="2"/>
  <c r="F422" i="2"/>
  <c r="F426" i="2"/>
  <c r="F430" i="2"/>
  <c r="F434" i="2"/>
  <c r="F438" i="2"/>
  <c r="F442" i="2"/>
  <c r="F446" i="2"/>
  <c r="F450" i="2"/>
  <c r="F454" i="2"/>
  <c r="F458" i="2"/>
  <c r="F462" i="2"/>
  <c r="F466" i="2"/>
  <c r="F470" i="2"/>
  <c r="F474" i="2"/>
  <c r="F478" i="2"/>
  <c r="F482" i="2"/>
  <c r="F486" i="2"/>
  <c r="F490" i="2"/>
  <c r="F494" i="2"/>
  <c r="F249" i="2"/>
  <c r="F257" i="2"/>
  <c r="F265" i="2"/>
  <c r="F273" i="2"/>
  <c r="F281" i="2"/>
  <c r="F289" i="2"/>
  <c r="F297" i="2"/>
  <c r="F305" i="2"/>
  <c r="F313" i="2"/>
  <c r="F321" i="2"/>
  <c r="F328" i="2"/>
  <c r="F335" i="2"/>
  <c r="F337" i="2"/>
  <c r="F344" i="2"/>
  <c r="F351" i="2"/>
  <c r="F355" i="2"/>
  <c r="F359" i="2"/>
  <c r="F363" i="2"/>
  <c r="F367" i="2"/>
  <c r="F371" i="2"/>
  <c r="F375" i="2"/>
  <c r="F379" i="2"/>
  <c r="F383" i="2"/>
  <c r="F387" i="2"/>
  <c r="F391" i="2"/>
  <c r="F395" i="2"/>
  <c r="F399" i="2"/>
  <c r="F403" i="2"/>
  <c r="F407" i="2"/>
  <c r="F411" i="2"/>
  <c r="F415" i="2"/>
  <c r="F419" i="2"/>
  <c r="F423" i="2"/>
  <c r="F427" i="2"/>
  <c r="F431" i="2"/>
  <c r="F435" i="2"/>
  <c r="F439" i="2"/>
  <c r="F443" i="2"/>
  <c r="F447" i="2"/>
  <c r="F451" i="2"/>
  <c r="F455" i="2"/>
  <c r="F459" i="2"/>
  <c r="F463" i="2"/>
  <c r="F467" i="2"/>
  <c r="F471" i="2"/>
  <c r="F475" i="2"/>
  <c r="F479" i="2"/>
  <c r="F483" i="2"/>
  <c r="F487" i="2"/>
  <c r="F491" i="2"/>
  <c r="F495" i="2"/>
  <c r="F496" i="2"/>
  <c r="F248" i="2"/>
  <c r="F256" i="2"/>
  <c r="F264" i="2"/>
  <c r="F272" i="2"/>
  <c r="F280" i="2"/>
  <c r="F288" i="2"/>
  <c r="F296" i="2"/>
  <c r="F304" i="2"/>
  <c r="F312" i="2"/>
  <c r="F320" i="2"/>
  <c r="F331" i="2"/>
  <c r="F333" i="2"/>
  <c r="F340" i="2"/>
  <c r="F347" i="2"/>
  <c r="F349" i="2"/>
  <c r="F352" i="2"/>
  <c r="F356" i="2"/>
  <c r="F360" i="2"/>
  <c r="F364" i="2"/>
  <c r="F368" i="2"/>
  <c r="F372" i="2"/>
  <c r="F376" i="2"/>
  <c r="F380" i="2"/>
  <c r="F384" i="2"/>
  <c r="F388" i="2"/>
  <c r="F392" i="2"/>
  <c r="F396" i="2"/>
  <c r="F400" i="2"/>
  <c r="F404" i="2"/>
  <c r="F408" i="2"/>
  <c r="F412" i="2"/>
  <c r="F416" i="2"/>
  <c r="F420" i="2"/>
  <c r="F424" i="2"/>
  <c r="F428" i="2"/>
  <c r="F432" i="2"/>
  <c r="F436" i="2"/>
  <c r="F440" i="2"/>
  <c r="F444" i="2"/>
  <c r="F448" i="2"/>
  <c r="F452" i="2"/>
  <c r="F456" i="2"/>
  <c r="F460" i="2"/>
  <c r="F464" i="2"/>
  <c r="F468" i="2"/>
  <c r="F472" i="2"/>
  <c r="F476" i="2"/>
  <c r="F480" i="2"/>
  <c r="F484" i="2"/>
  <c r="F488" i="2"/>
  <c r="F492" i="2"/>
  <c r="F253" i="2"/>
  <c r="F261" i="2"/>
  <c r="F269" i="2"/>
  <c r="F277" i="2"/>
  <c r="F285" i="2"/>
  <c r="F293" i="2"/>
  <c r="F301" i="2"/>
  <c r="F309" i="2"/>
  <c r="F317" i="2"/>
  <c r="F325" i="2"/>
  <c r="F327" i="2"/>
  <c r="F329" i="2"/>
  <c r="F336" i="2"/>
  <c r="F343" i="2"/>
  <c r="F345" i="2"/>
  <c r="F353" i="2"/>
  <c r="F357" i="2"/>
  <c r="F361" i="2"/>
  <c r="F365" i="2"/>
  <c r="F369" i="2"/>
  <c r="F373" i="2"/>
  <c r="F377" i="2"/>
  <c r="F381" i="2"/>
  <c r="F385" i="2"/>
  <c r="F389" i="2"/>
  <c r="F393" i="2"/>
  <c r="F397" i="2"/>
  <c r="F401" i="2"/>
  <c r="F405" i="2"/>
  <c r="F409" i="2"/>
  <c r="F413" i="2"/>
  <c r="F417" i="2"/>
  <c r="F421" i="2"/>
  <c r="F425" i="2"/>
  <c r="F429" i="2"/>
  <c r="F433" i="2"/>
  <c r="F437" i="2"/>
  <c r="F441" i="2"/>
  <c r="F445" i="2"/>
  <c r="F449" i="2"/>
  <c r="F453" i="2"/>
  <c r="F457" i="2"/>
  <c r="F461" i="2"/>
  <c r="F465" i="2"/>
  <c r="F469" i="2"/>
  <c r="F473" i="2"/>
  <c r="F477" i="2"/>
  <c r="F481" i="2"/>
  <c r="F485" i="2"/>
  <c r="F489" i="2"/>
  <c r="F493" i="2"/>
  <c r="F39" i="2"/>
  <c r="F17" i="2"/>
  <c r="B17" i="2" s="1"/>
  <c r="D13" i="5" l="1"/>
  <c r="D32" i="5"/>
  <c r="D540" i="5"/>
  <c r="D502" i="5"/>
  <c r="D439" i="5"/>
  <c r="D178" i="5"/>
  <c r="D467" i="5"/>
  <c r="D337" i="5"/>
  <c r="D229" i="5"/>
  <c r="D506" i="5"/>
  <c r="D276" i="5"/>
  <c r="D428" i="5"/>
  <c r="D41" i="5"/>
  <c r="D291" i="5"/>
  <c r="D57" i="5"/>
  <c r="D461" i="5"/>
  <c r="D74" i="5"/>
  <c r="D340" i="5"/>
  <c r="D309" i="5"/>
  <c r="D545" i="5"/>
  <c r="D181" i="5"/>
  <c r="D262" i="5"/>
  <c r="D115" i="5"/>
  <c r="D153" i="5"/>
  <c r="D520" i="5"/>
  <c r="D114" i="5"/>
  <c r="D222" i="5"/>
  <c r="D79" i="5"/>
  <c r="D142" i="5"/>
  <c r="D413" i="5"/>
  <c r="D98" i="5"/>
  <c r="D167" i="5"/>
  <c r="D514" i="5"/>
  <c r="D202" i="5"/>
  <c r="D256" i="5"/>
  <c r="D394" i="5"/>
  <c r="D521" i="5"/>
  <c r="D238" i="5"/>
  <c r="D449" i="5"/>
  <c r="D512" i="5"/>
  <c r="D440" i="5"/>
  <c r="D138" i="5"/>
  <c r="D237" i="5"/>
  <c r="D362" i="5"/>
  <c r="D538" i="5"/>
  <c r="D396" i="5"/>
  <c r="D420" i="5"/>
  <c r="D295" i="5"/>
  <c r="D293" i="5"/>
  <c r="D250" i="5"/>
  <c r="D95" i="5"/>
  <c r="D488" i="5"/>
  <c r="D537" i="5"/>
  <c r="D96" i="5"/>
  <c r="D530" i="5"/>
  <c r="D438" i="5"/>
  <c r="D216" i="5"/>
  <c r="D328" i="5"/>
  <c r="D511" i="5"/>
  <c r="D526" i="5"/>
  <c r="D319" i="5"/>
  <c r="D249" i="5"/>
  <c r="D33" i="5"/>
  <c r="D19" i="5"/>
  <c r="D226" i="5"/>
  <c r="D275" i="5"/>
  <c r="D42" i="5"/>
  <c r="D287" i="5"/>
  <c r="D486" i="5"/>
  <c r="D104" i="5"/>
  <c r="D278" i="5"/>
  <c r="D198" i="5"/>
  <c r="D169" i="5"/>
  <c r="D217" i="5"/>
  <c r="D189" i="5"/>
  <c r="D338" i="5"/>
  <c r="D180" i="5"/>
  <c r="D330" i="5"/>
  <c r="D474" i="5"/>
  <c r="D391" i="5"/>
  <c r="D387" i="5"/>
  <c r="D318" i="5"/>
  <c r="D484" i="5"/>
  <c r="D185" i="5"/>
  <c r="D343" i="5"/>
  <c r="D39" i="5"/>
  <c r="D272" i="5"/>
  <c r="D121" i="5"/>
  <c r="D83" i="5"/>
  <c r="D38" i="5"/>
  <c r="D544" i="5"/>
  <c r="D139" i="5"/>
  <c r="D176" i="5"/>
  <c r="D149" i="5"/>
  <c r="D126" i="5"/>
  <c r="D58" i="5"/>
  <c r="D92" i="5"/>
  <c r="D460" i="5"/>
  <c r="D408" i="5"/>
  <c r="D175" i="5"/>
  <c r="D44" i="5"/>
  <c r="D188" i="5"/>
  <c r="D145" i="5"/>
  <c r="D111" i="5"/>
  <c r="D270" i="5"/>
  <c r="D134" i="5"/>
  <c r="D46" i="5"/>
  <c r="D166" i="5"/>
  <c r="D30" i="5"/>
  <c r="D174" i="5"/>
  <c r="D91" i="5"/>
  <c r="D60" i="5"/>
  <c r="D71" i="5"/>
  <c r="D257" i="5"/>
  <c r="D23" i="5"/>
  <c r="D410" i="5"/>
  <c r="D140" i="5"/>
  <c r="D494" i="5"/>
  <c r="D296" i="5"/>
  <c r="D157" i="5"/>
  <c r="D280" i="5"/>
  <c r="D31" i="5"/>
  <c r="D211" i="5"/>
  <c r="D255" i="5"/>
  <c r="D34" i="5"/>
  <c r="D301" i="5"/>
  <c r="D284" i="5"/>
  <c r="D504" i="5"/>
  <c r="D15" i="5"/>
  <c r="D162" i="5"/>
  <c r="D94" i="5"/>
  <c r="D241" i="5"/>
  <c r="D373" i="5"/>
  <c r="D107" i="5"/>
  <c r="D252" i="5"/>
  <c r="D314" i="5"/>
  <c r="D233" i="5"/>
  <c r="D240" i="5"/>
  <c r="D27" i="5"/>
  <c r="D223" i="5"/>
  <c r="D434" i="5"/>
  <c r="D158" i="5"/>
  <c r="D136" i="5"/>
  <c r="D112" i="5"/>
  <c r="D282" i="5"/>
  <c r="D448" i="5"/>
  <c r="D195" i="5"/>
  <c r="D489" i="5"/>
  <c r="D170" i="5"/>
  <c r="D62" i="5"/>
  <c r="D384" i="5"/>
  <c r="D549" i="5"/>
  <c r="D312" i="5"/>
  <c r="D24" i="5"/>
  <c r="D339" i="5"/>
  <c r="D459" i="5"/>
  <c r="D109" i="5"/>
  <c r="D456" i="5"/>
  <c r="D393" i="5"/>
  <c r="D358" i="5"/>
  <c r="D120" i="5"/>
  <c r="D168" i="5"/>
  <c r="D370" i="5"/>
  <c r="D487" i="5"/>
  <c r="D406" i="5"/>
  <c r="D80" i="5"/>
  <c r="D541" i="5"/>
  <c r="D53" i="5"/>
  <c r="D419" i="5"/>
  <c r="D355" i="5"/>
  <c r="D424" i="5"/>
  <c r="D263" i="5"/>
  <c r="D70" i="5"/>
  <c r="D37" i="5"/>
  <c r="D268" i="5"/>
  <c r="D457" i="5"/>
  <c r="D260" i="5"/>
  <c r="D378" i="5"/>
  <c r="D131" i="5"/>
  <c r="D371" i="5"/>
  <c r="D89" i="5"/>
  <c r="D390" i="5"/>
  <c r="D475" i="5"/>
  <c r="D148" i="5"/>
  <c r="D547" i="5"/>
  <c r="D299" i="5"/>
  <c r="D294" i="5"/>
  <c r="D454" i="5"/>
  <c r="D281" i="5"/>
  <c r="D522" i="5"/>
  <c r="D546" i="5"/>
  <c r="D388" i="5"/>
  <c r="D329" i="5"/>
  <c r="D305" i="5"/>
  <c r="D72" i="5"/>
  <c r="D306" i="5"/>
  <c r="D367" i="5"/>
  <c r="D100" i="5"/>
  <c r="D436" i="5"/>
  <c r="D499" i="5"/>
  <c r="D403" i="5"/>
  <c r="D435" i="5"/>
  <c r="D247" i="5"/>
  <c r="D73" i="5"/>
  <c r="D258" i="5"/>
  <c r="D482" i="5"/>
  <c r="D379" i="5"/>
  <c r="D462" i="5"/>
  <c r="D517" i="5"/>
  <c r="D82" i="5"/>
  <c r="D310" i="5"/>
  <c r="D283" i="5"/>
  <c r="D14" i="5"/>
  <c r="D161" i="5"/>
  <c r="D200" i="5"/>
  <c r="D86" i="5"/>
  <c r="D478" i="5"/>
  <c r="D236" i="5"/>
  <c r="D246" i="5"/>
  <c r="D447" i="5"/>
  <c r="D316" i="5"/>
  <c r="D539" i="5"/>
  <c r="D466" i="5"/>
  <c r="D528" i="5"/>
  <c r="D182" i="5"/>
  <c r="D496" i="5"/>
  <c r="D509" i="5"/>
  <c r="D342" i="5"/>
  <c r="D383" i="5"/>
  <c r="D173" i="5"/>
  <c r="D35" i="5"/>
  <c r="D363" i="5"/>
  <c r="D49" i="5"/>
  <c r="D253" i="5"/>
  <c r="D21" i="5"/>
  <c r="D285" i="5"/>
  <c r="D164" i="5"/>
  <c r="D99" i="5"/>
  <c r="D308" i="5"/>
  <c r="D304" i="5"/>
  <c r="D206" i="5"/>
  <c r="D105" i="5"/>
  <c r="D463" i="5"/>
  <c r="D110" i="5"/>
  <c r="D298" i="5"/>
  <c r="D315" i="5"/>
  <c r="D197" i="5"/>
  <c r="D497" i="5"/>
  <c r="D48" i="5"/>
  <c r="D251" i="5"/>
  <c r="D51" i="5"/>
  <c r="D375" i="5"/>
  <c r="D63" i="5"/>
  <c r="D351" i="5"/>
  <c r="D172" i="5"/>
  <c r="D171" i="5"/>
  <c r="D430" i="5"/>
  <c r="D409" i="5"/>
  <c r="D353" i="5"/>
  <c r="D103" i="5"/>
  <c r="D510" i="5"/>
  <c r="D365" i="5"/>
  <c r="D130" i="5"/>
  <c r="D279" i="5"/>
  <c r="D65" i="5"/>
  <c r="D307" i="5"/>
  <c r="D286" i="5"/>
  <c r="D418" i="5"/>
  <c r="D210" i="5"/>
  <c r="D209" i="5"/>
  <c r="D542" i="5"/>
  <c r="D187" i="5"/>
  <c r="D133" i="5"/>
  <c r="D160" i="5"/>
  <c r="D239" i="5"/>
  <c r="D516" i="5"/>
  <c r="D471" i="5"/>
  <c r="D493" i="5"/>
  <c r="D450" i="5"/>
  <c r="D414" i="5"/>
  <c r="D277" i="5"/>
  <c r="D288" i="5"/>
  <c r="D490" i="5"/>
  <c r="D118" i="5"/>
  <c r="D50" i="5"/>
  <c r="D548" i="5"/>
  <c r="D36" i="5"/>
  <c r="D119" i="5"/>
  <c r="D313" i="5"/>
  <c r="D245" i="5"/>
  <c r="D501" i="5"/>
  <c r="D302" i="5"/>
  <c r="D507" i="5"/>
  <c r="D177" i="5"/>
  <c r="D150" i="5"/>
  <c r="D432" i="5"/>
  <c r="D464" i="5"/>
  <c r="D534" i="5"/>
  <c r="D75" i="5"/>
  <c r="D194" i="5"/>
  <c r="D20" i="5"/>
  <c r="D550" i="5"/>
  <c r="D513" i="5"/>
  <c r="D232" i="5"/>
  <c r="D426" i="5"/>
  <c r="D359" i="5"/>
  <c r="D386" i="5"/>
  <c r="D159" i="5"/>
  <c r="D59" i="5"/>
  <c r="D289" i="5"/>
  <c r="D444" i="5"/>
  <c r="D273" i="5"/>
  <c r="D503" i="5"/>
  <c r="D442" i="5"/>
  <c r="D374" i="5"/>
  <c r="D543" i="5"/>
  <c r="D22" i="5"/>
  <c r="D498" i="5"/>
  <c r="D532" i="5"/>
  <c r="D78" i="5"/>
  <c r="D84" i="5"/>
  <c r="D336" i="5"/>
  <c r="D535" i="5"/>
  <c r="D213" i="5"/>
  <c r="D186" i="5"/>
  <c r="D151" i="5"/>
  <c r="D333" i="5"/>
  <c r="D381" i="5"/>
  <c r="D518" i="5"/>
  <c r="D480" i="5"/>
  <c r="D346" i="5"/>
  <c r="D325" i="5"/>
  <c r="D261" i="5"/>
  <c r="D323" i="5"/>
  <c r="D331" i="5"/>
  <c r="D334" i="5"/>
  <c r="D227" i="5"/>
  <c r="D443" i="5"/>
  <c r="D399" i="5"/>
  <c r="D81" i="5"/>
  <c r="D269" i="5"/>
  <c r="D192" i="5"/>
  <c r="D221" i="5"/>
  <c r="D527" i="5"/>
  <c r="D483" i="5"/>
  <c r="D16" i="5"/>
  <c r="D128" i="5"/>
  <c r="D441" i="5"/>
  <c r="D364" i="5"/>
  <c r="D472" i="5"/>
  <c r="D190" i="5"/>
  <c r="D455" i="5"/>
  <c r="D345" i="5"/>
  <c r="D224" i="5"/>
  <c r="D481" i="5"/>
  <c r="D437" i="5"/>
  <c r="D64" i="5"/>
  <c r="D199" i="5"/>
  <c r="D154" i="5"/>
  <c r="D214" i="5"/>
  <c r="D66" i="5"/>
  <c r="D422" i="5"/>
  <c r="D368" i="5"/>
  <c r="D389" i="5"/>
  <c r="D357" i="5"/>
  <c r="D165" i="5"/>
  <c r="D179" i="5"/>
  <c r="D551" i="5"/>
  <c r="D266" i="5"/>
  <c r="D469" i="5"/>
  <c r="D402" i="5"/>
  <c r="D324" i="5"/>
  <c r="D17" i="5"/>
  <c r="D290" i="5"/>
  <c r="D123" i="5"/>
  <c r="D117" i="5"/>
  <c r="D344" i="5"/>
  <c r="D234" i="5"/>
  <c r="D360" i="5"/>
  <c r="D533" i="5"/>
  <c r="D415" i="5"/>
  <c r="D519" i="5"/>
  <c r="D228" i="5"/>
  <c r="D412" i="5"/>
  <c r="D274" i="5"/>
  <c r="D529" i="5"/>
  <c r="D12" i="5"/>
  <c r="E315" i="5" s="1"/>
  <c r="F315" i="5" s="1"/>
  <c r="D322" i="5"/>
  <c r="D155" i="5"/>
  <c r="D404" i="5"/>
  <c r="D376" i="5"/>
  <c r="D43" i="5"/>
  <c r="D265" i="5"/>
  <c r="D102" i="5"/>
  <c r="D479" i="5"/>
  <c r="D348" i="5"/>
  <c r="D335" i="5"/>
  <c r="D90" i="5"/>
  <c r="D495" i="5"/>
  <c r="D492" i="5"/>
  <c r="D380" i="5"/>
  <c r="D55" i="5"/>
  <c r="D485" i="5"/>
  <c r="D220" i="5"/>
  <c r="D29" i="5"/>
  <c r="D431" i="5"/>
  <c r="D196" i="5"/>
  <c r="D470" i="5"/>
  <c r="D445" i="5"/>
  <c r="D525" i="5"/>
  <c r="D468" i="5"/>
  <c r="D297" i="5"/>
  <c r="D242" i="5"/>
  <c r="D207" i="5"/>
  <c r="D500" i="5"/>
  <c r="D87" i="5"/>
  <c r="D401" i="5"/>
  <c r="D125" i="5"/>
  <c r="D350" i="5"/>
  <c r="D398" i="5"/>
  <c r="D183" i="5"/>
  <c r="D61" i="5"/>
  <c r="D508" i="5"/>
  <c r="D127" i="5"/>
  <c r="D427" i="5"/>
  <c r="D369" i="5"/>
  <c r="D354" i="5"/>
  <c r="D26" i="5"/>
  <c r="D259" i="5"/>
  <c r="D129" i="5"/>
  <c r="D113" i="5"/>
  <c r="D407" i="5"/>
  <c r="D491" i="5"/>
  <c r="D47" i="5"/>
  <c r="D244" i="5"/>
  <c r="D254" i="5"/>
  <c r="D106" i="5"/>
  <c r="D411" i="5"/>
  <c r="D382" i="5"/>
  <c r="D88" i="5"/>
  <c r="D52" i="5"/>
  <c r="D264" i="5"/>
  <c r="D400" i="5"/>
  <c r="D332" i="5"/>
  <c r="D97" i="5"/>
  <c r="D451" i="5"/>
  <c r="D25" i="5"/>
  <c r="D366" i="5"/>
  <c r="D395" i="5"/>
  <c r="D67" i="5"/>
  <c r="D215" i="5"/>
  <c r="D56" i="5"/>
  <c r="D152" i="5"/>
  <c r="D108" i="5"/>
  <c r="D208" i="5"/>
  <c r="D141" i="5"/>
  <c r="D267" i="5"/>
  <c r="D76" i="5"/>
  <c r="D397" i="5"/>
  <c r="D421" i="5"/>
  <c r="D292" i="5"/>
  <c r="D248" i="5"/>
  <c r="D429" i="5"/>
  <c r="D201" i="5"/>
  <c r="D303" i="5"/>
  <c r="D85" i="5"/>
  <c r="D515" i="5"/>
  <c r="D193" i="5"/>
  <c r="D235" i="5"/>
  <c r="D54" i="5"/>
  <c r="D191" i="5"/>
  <c r="D477" i="5"/>
  <c r="D203" i="5"/>
  <c r="D458" i="5"/>
  <c r="D452" i="5"/>
  <c r="D101" i="5"/>
  <c r="D163" i="5"/>
  <c r="D392" i="5"/>
  <c r="D271" i="5"/>
  <c r="D184" i="5"/>
  <c r="D116" i="5"/>
  <c r="D18" i="5"/>
  <c r="D320" i="5"/>
  <c r="D453" i="5"/>
  <c r="D349" i="5"/>
  <c r="D423" i="5"/>
  <c r="D321" i="5"/>
  <c r="D93" i="5"/>
  <c r="D137" i="5"/>
  <c r="D132" i="5"/>
  <c r="D347" i="5"/>
  <c r="D372" i="5"/>
  <c r="D524" i="5"/>
  <c r="D317" i="5"/>
  <c r="D311" i="5"/>
  <c r="D405" i="5"/>
  <c r="D225" i="5"/>
  <c r="D385" i="5"/>
  <c r="D505" i="5"/>
  <c r="D45" i="5"/>
  <c r="D204" i="5"/>
  <c r="D356" i="5"/>
  <c r="D473" i="5"/>
  <c r="D523" i="5"/>
  <c r="D326" i="5"/>
  <c r="D143" i="5"/>
  <c r="D243" i="5"/>
  <c r="D122" i="5"/>
  <c r="D40" i="5"/>
  <c r="D68" i="5"/>
  <c r="D212" i="5"/>
  <c r="D147" i="5"/>
  <c r="D135" i="5"/>
  <c r="D205" i="5"/>
  <c r="D536" i="5"/>
  <c r="D144" i="5"/>
  <c r="D156" i="5"/>
  <c r="D531" i="5"/>
  <c r="D465" i="5"/>
  <c r="D28" i="5"/>
  <c r="D17" i="2"/>
  <c r="C17" i="2" s="1"/>
  <c r="B18" i="2" s="1"/>
  <c r="E514" i="5" l="1"/>
  <c r="F514" i="5" s="1"/>
  <c r="E215" i="5"/>
  <c r="F215" i="5" s="1"/>
  <c r="E255" i="5"/>
  <c r="F255" i="5" s="1"/>
  <c r="E303" i="5"/>
  <c r="F303" i="5" s="1"/>
  <c r="E154" i="5"/>
  <c r="F154" i="5" s="1"/>
  <c r="E164" i="5"/>
  <c r="F164" i="5" s="1"/>
  <c r="E306" i="5"/>
  <c r="F306" i="5" s="1"/>
  <c r="E493" i="5"/>
  <c r="F493" i="5" s="1"/>
  <c r="E258" i="5"/>
  <c r="F258" i="5" s="1"/>
  <c r="E375" i="5"/>
  <c r="F375" i="5" s="1"/>
  <c r="E383" i="5"/>
  <c r="F383" i="5" s="1"/>
  <c r="E178" i="5"/>
  <c r="F178" i="5" s="1"/>
  <c r="E113" i="5"/>
  <c r="F113" i="5" s="1"/>
  <c r="E156" i="5"/>
  <c r="F156" i="5" s="1"/>
  <c r="E356" i="5"/>
  <c r="F356" i="5" s="1"/>
  <c r="E357" i="5"/>
  <c r="F357" i="5" s="1"/>
  <c r="E280" i="5"/>
  <c r="F280" i="5" s="1"/>
  <c r="E137" i="5"/>
  <c r="F137" i="5" s="1"/>
  <c r="E528" i="5"/>
  <c r="F528" i="5" s="1"/>
  <c r="E286" i="5"/>
  <c r="F286" i="5" s="1"/>
  <c r="E186" i="5"/>
  <c r="F186" i="5" s="1"/>
  <c r="E387" i="5"/>
  <c r="F387" i="5" s="1"/>
  <c r="E30" i="5"/>
  <c r="E348" i="5"/>
  <c r="F348" i="5" s="1"/>
  <c r="E189" i="5"/>
  <c r="F189" i="5" s="1"/>
  <c r="E457" i="5"/>
  <c r="F457" i="5" s="1"/>
  <c r="E312" i="5"/>
  <c r="F312" i="5" s="1"/>
  <c r="E217" i="5"/>
  <c r="F217" i="5" s="1"/>
  <c r="E419" i="5"/>
  <c r="F419" i="5" s="1"/>
  <c r="E403" i="5"/>
  <c r="F403" i="5" s="1"/>
  <c r="E94" i="5"/>
  <c r="F94" i="5" s="1"/>
  <c r="E463" i="5"/>
  <c r="F463" i="5" s="1"/>
  <c r="E165" i="5"/>
  <c r="F165" i="5" s="1"/>
  <c r="E85" i="5"/>
  <c r="F85" i="5" s="1"/>
  <c r="E414" i="5"/>
  <c r="F414" i="5" s="1"/>
  <c r="E478" i="5"/>
  <c r="F478" i="5" s="1"/>
  <c r="E508" i="5"/>
  <c r="F508" i="5" s="1"/>
  <c r="E311" i="5"/>
  <c r="F311" i="5" s="1"/>
  <c r="E518" i="5"/>
  <c r="F518" i="5" s="1"/>
  <c r="E477" i="5"/>
  <c r="F477" i="5" s="1"/>
  <c r="E16" i="5"/>
  <c r="E98" i="5"/>
  <c r="F98" i="5" s="1"/>
  <c r="E344" i="5"/>
  <c r="F344" i="5" s="1"/>
  <c r="E195" i="5"/>
  <c r="F195" i="5" s="1"/>
  <c r="E187" i="5"/>
  <c r="F187" i="5" s="1"/>
  <c r="E28" i="5"/>
  <c r="E205" i="5"/>
  <c r="F205" i="5" s="1"/>
  <c r="E244" i="5"/>
  <c r="F244" i="5" s="1"/>
  <c r="E480" i="5"/>
  <c r="F480" i="5" s="1"/>
  <c r="E208" i="5"/>
  <c r="F208" i="5" s="1"/>
  <c r="E398" i="5"/>
  <c r="F398" i="5" s="1"/>
  <c r="E479" i="5"/>
  <c r="F479" i="5" s="1"/>
  <c r="E14" i="5"/>
  <c r="E509" i="5"/>
  <c r="F509" i="5" s="1"/>
  <c r="E360" i="5"/>
  <c r="F360" i="5" s="1"/>
  <c r="E268" i="5"/>
  <c r="F268" i="5" s="1"/>
  <c r="E68" i="5"/>
  <c r="F68" i="5" s="1"/>
  <c r="E144" i="5"/>
  <c r="F144" i="5" s="1"/>
  <c r="E324" i="5"/>
  <c r="F324" i="5" s="1"/>
  <c r="E93" i="5"/>
  <c r="F93" i="5" s="1"/>
  <c r="E412" i="5"/>
  <c r="F412" i="5" s="1"/>
  <c r="E494" i="5"/>
  <c r="F494" i="5" s="1"/>
  <c r="E395" i="5"/>
  <c r="F395" i="5" s="1"/>
  <c r="E287" i="5"/>
  <c r="F287" i="5" s="1"/>
  <c r="E359" i="5"/>
  <c r="F359" i="5" s="1"/>
  <c r="E542" i="5"/>
  <c r="F542" i="5" s="1"/>
  <c r="E101" i="5"/>
  <c r="F101" i="5" s="1"/>
  <c r="E271" i="5"/>
  <c r="F271" i="5" s="1"/>
  <c r="E506" i="5"/>
  <c r="F506" i="5" s="1"/>
  <c r="E57" i="5"/>
  <c r="F57" i="5" s="1"/>
  <c r="E376" i="5"/>
  <c r="F376" i="5" s="1"/>
  <c r="E13" i="5"/>
  <c r="E122" i="5"/>
  <c r="F122" i="5" s="1"/>
  <c r="E289" i="5"/>
  <c r="F289" i="5" s="1"/>
  <c r="E173" i="5"/>
  <c r="F173" i="5" s="1"/>
  <c r="E469" i="5"/>
  <c r="F469" i="5" s="1"/>
  <c r="E239" i="5"/>
  <c r="F239" i="5" s="1"/>
  <c r="E190" i="5"/>
  <c r="F190" i="5" s="1"/>
  <c r="E110" i="5"/>
  <c r="F110" i="5" s="1"/>
  <c r="E203" i="5"/>
  <c r="F203" i="5" s="1"/>
  <c r="E421" i="5"/>
  <c r="F421" i="5" s="1"/>
  <c r="E288" i="5"/>
  <c r="F288" i="5" s="1"/>
  <c r="E146" i="5"/>
  <c r="F146" i="5" s="1"/>
  <c r="E196" i="5"/>
  <c r="F196" i="5" s="1"/>
  <c r="E533" i="5"/>
  <c r="F533" i="5" s="1"/>
  <c r="E388" i="5"/>
  <c r="F388" i="5" s="1"/>
  <c r="E504" i="5"/>
  <c r="F504" i="5" s="1"/>
  <c r="E550" i="5"/>
  <c r="F550" i="5" s="1"/>
  <c r="E276" i="5"/>
  <c r="F276" i="5" s="1"/>
  <c r="E206" i="5"/>
  <c r="F206" i="5" s="1"/>
  <c r="E12" i="5"/>
  <c r="E537" i="5"/>
  <c r="F537" i="5" s="1"/>
  <c r="E535" i="5"/>
  <c r="F535" i="5" s="1"/>
  <c r="E38" i="5"/>
  <c r="F38" i="5" s="1"/>
  <c r="E172" i="5"/>
  <c r="F172" i="5" s="1"/>
  <c r="E416" i="5"/>
  <c r="F416" i="5" s="1"/>
  <c r="E329" i="5"/>
  <c r="F329" i="5" s="1"/>
  <c r="E467" i="5"/>
  <c r="F467" i="5" s="1"/>
  <c r="E372" i="5"/>
  <c r="F372" i="5" s="1"/>
  <c r="E212" i="5"/>
  <c r="F212" i="5" s="1"/>
  <c r="E121" i="5"/>
  <c r="F121" i="5" s="1"/>
  <c r="E109" i="5"/>
  <c r="F109" i="5" s="1"/>
  <c r="E338" i="5"/>
  <c r="F338" i="5" s="1"/>
  <c r="E332" i="5"/>
  <c r="F332" i="5" s="1"/>
  <c r="E238" i="5"/>
  <c r="F238" i="5" s="1"/>
  <c r="E43" i="5"/>
  <c r="F43" i="5" s="1"/>
  <c r="E140" i="5"/>
  <c r="F140" i="5" s="1"/>
  <c r="E530" i="5"/>
  <c r="F530" i="5" s="1"/>
  <c r="E281" i="5"/>
  <c r="F281" i="5" s="1"/>
  <c r="E361" i="5"/>
  <c r="F361" i="5" s="1"/>
  <c r="E112" i="5"/>
  <c r="F112" i="5" s="1"/>
  <c r="E544" i="5"/>
  <c r="F544" i="5" s="1"/>
  <c r="E245" i="5"/>
  <c r="F245" i="5" s="1"/>
  <c r="E452" i="5"/>
  <c r="F452" i="5" s="1"/>
  <c r="E42" i="5"/>
  <c r="F42" i="5" s="1"/>
  <c r="E131" i="5"/>
  <c r="F131" i="5" s="1"/>
  <c r="E433" i="5"/>
  <c r="F433" i="5" s="1"/>
  <c r="E541" i="5"/>
  <c r="F541" i="5" s="1"/>
  <c r="E490" i="5"/>
  <c r="F490" i="5" s="1"/>
  <c r="E266" i="5"/>
  <c r="F266" i="5" s="1"/>
  <c r="E428" i="5"/>
  <c r="F428" i="5" s="1"/>
  <c r="E139" i="5"/>
  <c r="F139" i="5" s="1"/>
  <c r="E69" i="5"/>
  <c r="F69" i="5" s="1"/>
  <c r="E346" i="5"/>
  <c r="F346" i="5" s="1"/>
  <c r="E235" i="5"/>
  <c r="F235" i="5" s="1"/>
  <c r="E468" i="5"/>
  <c r="F468" i="5" s="1"/>
  <c r="E102" i="5"/>
  <c r="F102" i="5" s="1"/>
  <c r="E86" i="5"/>
  <c r="F86" i="5" s="1"/>
  <c r="E149" i="5"/>
  <c r="F149" i="5" s="1"/>
  <c r="E517" i="5"/>
  <c r="F517" i="5" s="1"/>
  <c r="E485" i="5"/>
  <c r="F485" i="5" s="1"/>
  <c r="E209" i="5"/>
  <c r="F209" i="5" s="1"/>
  <c r="E277" i="5"/>
  <c r="F277" i="5" s="1"/>
  <c r="E364" i="5"/>
  <c r="F364" i="5" s="1"/>
  <c r="E19" i="5"/>
  <c r="E18" i="5"/>
  <c r="E392" i="5"/>
  <c r="F392" i="5" s="1"/>
  <c r="E15" i="5"/>
  <c r="E56" i="5"/>
  <c r="F56" i="5" s="1"/>
  <c r="E135" i="5"/>
  <c r="F135" i="5" s="1"/>
  <c r="E51" i="5"/>
  <c r="F51" i="5" s="1"/>
  <c r="E499" i="5"/>
  <c r="F499" i="5" s="1"/>
  <c r="E347" i="5"/>
  <c r="F347" i="5" s="1"/>
  <c r="E263" i="5"/>
  <c r="F263" i="5" s="1"/>
  <c r="E71" i="5"/>
  <c r="F71" i="5" s="1"/>
  <c r="E65" i="5"/>
  <c r="F65" i="5" s="1"/>
  <c r="E125" i="5"/>
  <c r="F125" i="5" s="1"/>
  <c r="E104" i="5"/>
  <c r="F104" i="5" s="1"/>
  <c r="E145" i="5"/>
  <c r="F145" i="5" s="1"/>
  <c r="E307" i="5"/>
  <c r="F307" i="5" s="1"/>
  <c r="E77" i="5"/>
  <c r="F77" i="5" s="1"/>
  <c r="E342" i="5"/>
  <c r="F342" i="5" s="1"/>
  <c r="E413" i="5"/>
  <c r="F413" i="5" s="1"/>
  <c r="E543" i="5"/>
  <c r="F543" i="5" s="1"/>
  <c r="E55" i="5"/>
  <c r="F55" i="5" s="1"/>
  <c r="E59" i="5"/>
  <c r="F59" i="5" s="1"/>
  <c r="E182" i="5"/>
  <c r="F182" i="5" s="1"/>
  <c r="E265" i="5"/>
  <c r="F265" i="5" s="1"/>
  <c r="E233" i="5"/>
  <c r="F233" i="5" s="1"/>
  <c r="E545" i="5"/>
  <c r="F545" i="5" s="1"/>
  <c r="E370" i="5"/>
  <c r="F370" i="5" s="1"/>
  <c r="E32" i="5"/>
  <c r="E129" i="5"/>
  <c r="F129" i="5" s="1"/>
  <c r="E114" i="5"/>
  <c r="F114" i="5" s="1"/>
  <c r="E269" i="5"/>
  <c r="F269" i="5" s="1"/>
  <c r="E274" i="5"/>
  <c r="F274" i="5" s="1"/>
  <c r="E380" i="5"/>
  <c r="F380" i="5" s="1"/>
  <c r="E23" i="5"/>
  <c r="E90" i="5"/>
  <c r="F90" i="5" s="1"/>
  <c r="E176" i="5"/>
  <c r="F176" i="5" s="1"/>
  <c r="E270" i="5"/>
  <c r="F270" i="5" s="1"/>
  <c r="E362" i="5"/>
  <c r="F362" i="5" s="1"/>
  <c r="E62" i="5"/>
  <c r="F62" i="5" s="1"/>
  <c r="E49" i="5"/>
  <c r="F49" i="5" s="1"/>
  <c r="E127" i="5"/>
  <c r="F127" i="5" s="1"/>
  <c r="E319" i="5"/>
  <c r="F319" i="5" s="1"/>
  <c r="E355" i="5"/>
  <c r="F355" i="5" s="1"/>
  <c r="E118" i="5"/>
  <c r="F118" i="5" s="1"/>
  <c r="E304" i="5"/>
  <c r="F304" i="5" s="1"/>
  <c r="E227" i="5"/>
  <c r="F227" i="5" s="1"/>
  <c r="E136" i="5"/>
  <c r="F136" i="5" s="1"/>
  <c r="E162" i="5"/>
  <c r="F162" i="5" s="1"/>
  <c r="E248" i="5"/>
  <c r="F248" i="5" s="1"/>
  <c r="E449" i="5"/>
  <c r="F449" i="5" s="1"/>
  <c r="E546" i="5"/>
  <c r="F546" i="5" s="1"/>
  <c r="E350" i="5"/>
  <c r="F350" i="5" s="1"/>
  <c r="E323" i="5"/>
  <c r="F323" i="5" s="1"/>
  <c r="E475" i="5"/>
  <c r="F475" i="5" s="1"/>
  <c r="E432" i="5"/>
  <c r="F432" i="5" s="1"/>
  <c r="E211" i="5"/>
  <c r="F211" i="5" s="1"/>
  <c r="E409" i="5"/>
  <c r="F409" i="5" s="1"/>
  <c r="E318" i="5"/>
  <c r="F318" i="5" s="1"/>
  <c r="E326" i="5"/>
  <c r="F326" i="5" s="1"/>
  <c r="E322" i="5"/>
  <c r="F322" i="5" s="1"/>
  <c r="E99" i="5"/>
  <c r="F99" i="5" s="1"/>
  <c r="E279" i="5"/>
  <c r="F279" i="5" s="1"/>
  <c r="E417" i="5"/>
  <c r="F417" i="5" s="1"/>
  <c r="E41" i="5"/>
  <c r="F41" i="5" s="1"/>
  <c r="E294" i="5"/>
  <c r="F294" i="5" s="1"/>
  <c r="E551" i="5"/>
  <c r="F551" i="5" s="1"/>
  <c r="E218" i="5"/>
  <c r="F218" i="5" s="1"/>
  <c r="E471" i="5"/>
  <c r="F471" i="5" s="1"/>
  <c r="E406" i="5"/>
  <c r="F406" i="5" s="1"/>
  <c r="E234" i="5"/>
  <c r="F234" i="5" s="1"/>
  <c r="E436" i="5"/>
  <c r="F436" i="5" s="1"/>
  <c r="E169" i="5"/>
  <c r="F169" i="5" s="1"/>
  <c r="E81" i="5"/>
  <c r="F81" i="5" s="1"/>
  <c r="E440" i="5"/>
  <c r="F440" i="5" s="1"/>
  <c r="E404" i="5"/>
  <c r="F404" i="5" s="1"/>
  <c r="E141" i="5"/>
  <c r="F141" i="5" s="1"/>
  <c r="E335" i="5"/>
  <c r="F335" i="5" s="1"/>
  <c r="E441" i="5"/>
  <c r="F441" i="5" s="1"/>
  <c r="E549" i="5"/>
  <c r="F549" i="5" s="1"/>
  <c r="E247" i="5"/>
  <c r="F247" i="5" s="1"/>
  <c r="E181" i="5"/>
  <c r="F181" i="5" s="1"/>
  <c r="E262" i="5"/>
  <c r="F262" i="5" s="1"/>
  <c r="E210" i="5"/>
  <c r="F210" i="5" s="1"/>
  <c r="E390" i="5"/>
  <c r="F390" i="5" s="1"/>
  <c r="E308" i="5"/>
  <c r="F308" i="5" s="1"/>
  <c r="E400" i="5"/>
  <c r="F400" i="5" s="1"/>
  <c r="E340" i="5"/>
  <c r="F340" i="5" s="1"/>
  <c r="E320" i="5"/>
  <c r="F320" i="5" s="1"/>
  <c r="E285" i="5"/>
  <c r="F285" i="5" s="1"/>
  <c r="E547" i="5"/>
  <c r="F547" i="5" s="1"/>
  <c r="E138" i="5"/>
  <c r="F138" i="5" s="1"/>
  <c r="E497" i="5"/>
  <c r="F497" i="5" s="1"/>
  <c r="E491" i="5"/>
  <c r="F491" i="5" s="1"/>
  <c r="E36" i="5"/>
  <c r="F36" i="5" s="1"/>
  <c r="E371" i="5"/>
  <c r="F371" i="5" s="1"/>
  <c r="E237" i="5"/>
  <c r="F237" i="5" s="1"/>
  <c r="E220" i="5"/>
  <c r="F220" i="5" s="1"/>
  <c r="E505" i="5"/>
  <c r="F505" i="5" s="1"/>
  <c r="E33" i="5"/>
  <c r="E411" i="5"/>
  <c r="F411" i="5" s="1"/>
  <c r="E221" i="5"/>
  <c r="F221" i="5" s="1"/>
  <c r="E527" i="5"/>
  <c r="F527" i="5" s="1"/>
  <c r="E321" i="5"/>
  <c r="F321" i="5" s="1"/>
  <c r="E192" i="5"/>
  <c r="F192" i="5" s="1"/>
  <c r="E171" i="5"/>
  <c r="F171" i="5" s="1"/>
  <c r="E438" i="5"/>
  <c r="F438" i="5" s="1"/>
  <c r="E354" i="5"/>
  <c r="F354" i="5" s="1"/>
  <c r="E343" i="5"/>
  <c r="F343" i="5" s="1"/>
  <c r="E526" i="5"/>
  <c r="F526" i="5" s="1"/>
  <c r="E297" i="5"/>
  <c r="F297" i="5" s="1"/>
  <c r="E353" i="5"/>
  <c r="F353" i="5" s="1"/>
  <c r="E500" i="5"/>
  <c r="F500" i="5" s="1"/>
  <c r="E327" i="5"/>
  <c r="F327" i="5" s="1"/>
  <c r="E341" i="5"/>
  <c r="F341" i="5" s="1"/>
  <c r="E429" i="5"/>
  <c r="F429" i="5" s="1"/>
  <c r="E148" i="5"/>
  <c r="F148" i="5" s="1"/>
  <c r="E197" i="5"/>
  <c r="F197" i="5" s="1"/>
  <c r="E410" i="5"/>
  <c r="F410" i="5" s="1"/>
  <c r="E317" i="5"/>
  <c r="F317" i="5" s="1"/>
  <c r="E46" i="5"/>
  <c r="F46" i="5" s="1"/>
  <c r="E302" i="5"/>
  <c r="F302" i="5" s="1"/>
  <c r="E48" i="5"/>
  <c r="F48" i="5" s="1"/>
  <c r="E454" i="5"/>
  <c r="F454" i="5" s="1"/>
  <c r="E473" i="5"/>
  <c r="F473" i="5" s="1"/>
  <c r="E391" i="5"/>
  <c r="F391" i="5" s="1"/>
  <c r="E142" i="5"/>
  <c r="F142" i="5" s="1"/>
  <c r="E259" i="5"/>
  <c r="F259" i="5" s="1"/>
  <c r="E166" i="5"/>
  <c r="F166" i="5" s="1"/>
  <c r="E115" i="5"/>
  <c r="F115" i="5" s="1"/>
  <c r="E295" i="5"/>
  <c r="F295" i="5" s="1"/>
  <c r="E153" i="5"/>
  <c r="F153" i="5" s="1"/>
  <c r="E222" i="5"/>
  <c r="F222" i="5" s="1"/>
  <c r="E226" i="5"/>
  <c r="F226" i="5" s="1"/>
  <c r="E488" i="5"/>
  <c r="F488" i="5" s="1"/>
  <c r="E167" i="5"/>
  <c r="F167" i="5" s="1"/>
  <c r="E84" i="5"/>
  <c r="F84" i="5" s="1"/>
  <c r="E482" i="5"/>
  <c r="F482" i="5" s="1"/>
  <c r="E369" i="5"/>
  <c r="F369" i="5" s="1"/>
  <c r="E501" i="5"/>
  <c r="F501" i="5" s="1"/>
  <c r="E89" i="5"/>
  <c r="F89" i="5" s="1"/>
  <c r="E67" i="5"/>
  <c r="F67" i="5" s="1"/>
  <c r="E502" i="5"/>
  <c r="F502" i="5" s="1"/>
  <c r="E368" i="5"/>
  <c r="F368" i="5" s="1"/>
  <c r="E159" i="5"/>
  <c r="F159" i="5" s="1"/>
  <c r="E91" i="5"/>
  <c r="F91" i="5" s="1"/>
  <c r="E242" i="5"/>
  <c r="F242" i="5" s="1"/>
  <c r="E374" i="5"/>
  <c r="F374" i="5" s="1"/>
  <c r="E459" i="5"/>
  <c r="F459" i="5" s="1"/>
  <c r="E199" i="5"/>
  <c r="F199" i="5" s="1"/>
  <c r="E26" i="5"/>
  <c r="E385" i="5"/>
  <c r="F385" i="5" s="1"/>
  <c r="E529" i="5"/>
  <c r="F529" i="5" s="1"/>
  <c r="E336" i="5"/>
  <c r="F336" i="5" s="1"/>
  <c r="E434" i="5"/>
  <c r="F434" i="5" s="1"/>
  <c r="E458" i="5"/>
  <c r="F458" i="5" s="1"/>
  <c r="E22" i="5"/>
  <c r="E82" i="5"/>
  <c r="F82" i="5" s="1"/>
  <c r="E548" i="5"/>
  <c r="F548" i="5" s="1"/>
  <c r="E202" i="5"/>
  <c r="F202" i="5" s="1"/>
  <c r="E536" i="5"/>
  <c r="F536" i="5" s="1"/>
  <c r="E487" i="5"/>
  <c r="F487" i="5" s="1"/>
  <c r="E261" i="5"/>
  <c r="F261" i="5" s="1"/>
  <c r="E337" i="5"/>
  <c r="F337" i="5" s="1"/>
  <c r="E251" i="5"/>
  <c r="F251" i="5" s="1"/>
  <c r="E60" i="5"/>
  <c r="F60" i="5" s="1"/>
  <c r="E300" i="5"/>
  <c r="F300" i="5" s="1"/>
  <c r="E88" i="5"/>
  <c r="F88" i="5" s="1"/>
  <c r="E177" i="5"/>
  <c r="F177" i="5" s="1"/>
  <c r="E250" i="5"/>
  <c r="F250" i="5" s="1"/>
  <c r="E424" i="5"/>
  <c r="F424" i="5" s="1"/>
  <c r="E126" i="5"/>
  <c r="F126" i="5" s="1"/>
  <c r="E513" i="5"/>
  <c r="F513" i="5" s="1"/>
  <c r="E61" i="5"/>
  <c r="F61" i="5" s="1"/>
  <c r="E193" i="5"/>
  <c r="F193" i="5" s="1"/>
  <c r="E50" i="5"/>
  <c r="F50" i="5" s="1"/>
  <c r="E243" i="5"/>
  <c r="F243" i="5" s="1"/>
  <c r="E465" i="5"/>
  <c r="F465" i="5" s="1"/>
  <c r="E272" i="5"/>
  <c r="F272" i="5" s="1"/>
  <c r="E435" i="5"/>
  <c r="F435" i="5" s="1"/>
  <c r="E455" i="5"/>
  <c r="F455" i="5" s="1"/>
  <c r="E523" i="5"/>
  <c r="F523" i="5" s="1"/>
  <c r="E54" i="5"/>
  <c r="F54" i="5" s="1"/>
  <c r="E310" i="5"/>
  <c r="F310" i="5" s="1"/>
  <c r="E489" i="5"/>
  <c r="F489" i="5" s="1"/>
  <c r="E160" i="5"/>
  <c r="F160" i="5" s="1"/>
  <c r="E20" i="5"/>
  <c r="E339" i="5"/>
  <c r="F339" i="5" s="1"/>
  <c r="E80" i="5"/>
  <c r="F80" i="5" s="1"/>
  <c r="E483" i="5"/>
  <c r="F483" i="5" s="1"/>
  <c r="E525" i="5"/>
  <c r="F525" i="5" s="1"/>
  <c r="E179" i="5"/>
  <c r="F179" i="5" s="1"/>
  <c r="E111" i="5"/>
  <c r="F111" i="5" s="1"/>
  <c r="E328" i="5"/>
  <c r="F328" i="5" s="1"/>
  <c r="E29" i="5"/>
  <c r="E422" i="5"/>
  <c r="F422" i="5" s="1"/>
  <c r="E333" i="5"/>
  <c r="F333" i="5" s="1"/>
  <c r="E264" i="5"/>
  <c r="F264" i="5" s="1"/>
  <c r="E200" i="5"/>
  <c r="F200" i="5" s="1"/>
  <c r="E229" i="5"/>
  <c r="F229" i="5" s="1"/>
  <c r="E152" i="5"/>
  <c r="F152" i="5" s="1"/>
  <c r="E379" i="5"/>
  <c r="F379" i="5" s="1"/>
  <c r="E431" i="5"/>
  <c r="F431" i="5" s="1"/>
  <c r="E97" i="5"/>
  <c r="F97" i="5" s="1"/>
  <c r="E194" i="5"/>
  <c r="F194" i="5" s="1"/>
  <c r="E79" i="5"/>
  <c r="F79" i="5" s="1"/>
  <c r="E170" i="5"/>
  <c r="F170" i="5" s="1"/>
  <c r="E515" i="5"/>
  <c r="F515" i="5" s="1"/>
  <c r="E183" i="5"/>
  <c r="F183" i="5" s="1"/>
  <c r="E298" i="5"/>
  <c r="F298" i="5" s="1"/>
  <c r="E95" i="5"/>
  <c r="F95" i="5" s="1"/>
  <c r="E363" i="5"/>
  <c r="F363" i="5" s="1"/>
  <c r="E378" i="5"/>
  <c r="F378" i="5" s="1"/>
  <c r="E460" i="5"/>
  <c r="F460" i="5" s="1"/>
  <c r="E511" i="5"/>
  <c r="F511" i="5" s="1"/>
  <c r="E105" i="5"/>
  <c r="F105" i="5" s="1"/>
  <c r="E58" i="5"/>
  <c r="F58" i="5" s="1"/>
  <c r="E439" i="5"/>
  <c r="F439" i="5" s="1"/>
  <c r="E334" i="5"/>
  <c r="F334" i="5" s="1"/>
  <c r="E185" i="5"/>
  <c r="F185" i="5" s="1"/>
  <c r="E83" i="5"/>
  <c r="F83" i="5" s="1"/>
  <c r="E524" i="5"/>
  <c r="F524" i="5" s="1"/>
  <c r="E384" i="5"/>
  <c r="F384" i="5" s="1"/>
  <c r="E44" i="5"/>
  <c r="F44" i="5" s="1"/>
  <c r="E520" i="5"/>
  <c r="F520" i="5" s="1"/>
  <c r="E168" i="5"/>
  <c r="F168" i="5" s="1"/>
  <c r="E426" i="5"/>
  <c r="F426" i="5" s="1"/>
  <c r="E427" i="5"/>
  <c r="F427" i="5" s="1"/>
  <c r="E437" i="5"/>
  <c r="F437" i="5" s="1"/>
  <c r="E476" i="5"/>
  <c r="F476" i="5" s="1"/>
  <c r="E191" i="5"/>
  <c r="F191" i="5" s="1"/>
  <c r="E382" i="5"/>
  <c r="F382" i="5" s="1"/>
  <c r="E230" i="5"/>
  <c r="F230" i="5" s="1"/>
  <c r="E175" i="5"/>
  <c r="F175" i="5" s="1"/>
  <c r="E507" i="5"/>
  <c r="F507" i="5" s="1"/>
  <c r="E45" i="5"/>
  <c r="F45" i="5" s="1"/>
  <c r="E47" i="5"/>
  <c r="F47" i="5" s="1"/>
  <c r="E366" i="5"/>
  <c r="F366" i="5" s="1"/>
  <c r="E299" i="5"/>
  <c r="F299" i="5" s="1"/>
  <c r="E216" i="5"/>
  <c r="F216" i="5" s="1"/>
  <c r="E389" i="5"/>
  <c r="F389" i="5" s="1"/>
  <c r="E292" i="5"/>
  <c r="F292" i="5" s="1"/>
  <c r="E405" i="5"/>
  <c r="F405" i="5" s="1"/>
  <c r="E461" i="5"/>
  <c r="F461" i="5" s="1"/>
  <c r="E462" i="5"/>
  <c r="F462" i="5" s="1"/>
  <c r="E313" i="5"/>
  <c r="F313" i="5" s="1"/>
  <c r="E64" i="5"/>
  <c r="F64" i="5" s="1"/>
  <c r="E314" i="5"/>
  <c r="F314" i="5" s="1"/>
  <c r="E123" i="5"/>
  <c r="F123" i="5" s="1"/>
  <c r="E63" i="5"/>
  <c r="F63" i="5" s="1"/>
  <c r="E92" i="5"/>
  <c r="F92" i="5" s="1"/>
  <c r="E451" i="5"/>
  <c r="F451" i="5" s="1"/>
  <c r="E345" i="5"/>
  <c r="F345" i="5" s="1"/>
  <c r="E157" i="5"/>
  <c r="F157" i="5" s="1"/>
  <c r="E53" i="5"/>
  <c r="F53" i="5" s="1"/>
  <c r="E39" i="5"/>
  <c r="F39" i="5" s="1"/>
  <c r="E253" i="5"/>
  <c r="F253" i="5" s="1"/>
  <c r="E231" i="5"/>
  <c r="F231" i="5" s="1"/>
  <c r="E236" i="5"/>
  <c r="F236" i="5" s="1"/>
  <c r="E296" i="5"/>
  <c r="F296" i="5" s="1"/>
  <c r="E397" i="5"/>
  <c r="F397" i="5" s="1"/>
  <c r="E539" i="5"/>
  <c r="F539" i="5" s="1"/>
  <c r="E273" i="5"/>
  <c r="F273" i="5" s="1"/>
  <c r="E37" i="5"/>
  <c r="F37" i="5" s="1"/>
  <c r="E34" i="5"/>
  <c r="E430" i="5"/>
  <c r="F430" i="5" s="1"/>
  <c r="E254" i="5"/>
  <c r="F254" i="5" s="1"/>
  <c r="E228" i="5"/>
  <c r="F228" i="5" s="1"/>
  <c r="E107" i="5"/>
  <c r="F107" i="5" s="1"/>
  <c r="E516" i="5"/>
  <c r="F516" i="5" s="1"/>
  <c r="E119" i="5"/>
  <c r="F119" i="5" s="1"/>
  <c r="E401" i="5"/>
  <c r="F401" i="5" s="1"/>
  <c r="E275" i="5"/>
  <c r="F275" i="5" s="1"/>
  <c r="E232" i="5"/>
  <c r="F232" i="5" s="1"/>
  <c r="E474" i="5"/>
  <c r="F474" i="5" s="1"/>
  <c r="E283" i="5"/>
  <c r="F283" i="5" s="1"/>
  <c r="E163" i="5"/>
  <c r="F163" i="5" s="1"/>
  <c r="E358" i="5"/>
  <c r="F358" i="5" s="1"/>
  <c r="E219" i="5"/>
  <c r="F219" i="5" s="1"/>
  <c r="E420" i="5"/>
  <c r="F420" i="5" s="1"/>
  <c r="E423" i="5"/>
  <c r="F423" i="5" s="1"/>
  <c r="E415" i="5"/>
  <c r="F415" i="5" s="1"/>
  <c r="E512" i="5"/>
  <c r="F512" i="5" s="1"/>
  <c r="E442" i="5"/>
  <c r="F442" i="5" s="1"/>
  <c r="E448" i="5"/>
  <c r="F448" i="5" s="1"/>
  <c r="E17" i="5"/>
  <c r="E290" i="5"/>
  <c r="F290" i="5" s="1"/>
  <c r="E40" i="5"/>
  <c r="F40" i="5" s="1"/>
  <c r="E316" i="5"/>
  <c r="F316" i="5" s="1"/>
  <c r="E407" i="5"/>
  <c r="F407" i="5" s="1"/>
  <c r="E204" i="5"/>
  <c r="F204" i="5" s="1"/>
  <c r="E161" i="5"/>
  <c r="F161" i="5" s="1"/>
  <c r="E207" i="5"/>
  <c r="F207" i="5" s="1"/>
  <c r="E522" i="5"/>
  <c r="F522" i="5" s="1"/>
  <c r="E519" i="5"/>
  <c r="F519" i="5" s="1"/>
  <c r="E130" i="5"/>
  <c r="F130" i="5" s="1"/>
  <c r="E78" i="5"/>
  <c r="F78" i="5" s="1"/>
  <c r="E147" i="5"/>
  <c r="F147" i="5" s="1"/>
  <c r="E444" i="5"/>
  <c r="F444" i="5" s="1"/>
  <c r="E495" i="5"/>
  <c r="F495" i="5" s="1"/>
  <c r="E394" i="5"/>
  <c r="F394" i="5" s="1"/>
  <c r="E184" i="5"/>
  <c r="F184" i="5" s="1"/>
  <c r="E70" i="5"/>
  <c r="F70" i="5" s="1"/>
  <c r="E87" i="5"/>
  <c r="F87" i="5" s="1"/>
  <c r="E503" i="5"/>
  <c r="F503" i="5" s="1"/>
  <c r="E331" i="5"/>
  <c r="F331" i="5" s="1"/>
  <c r="E301" i="5"/>
  <c r="F301" i="5" s="1"/>
  <c r="E24" i="5"/>
  <c r="E74" i="5"/>
  <c r="F74" i="5" s="1"/>
  <c r="E72" i="5"/>
  <c r="F72" i="5" s="1"/>
  <c r="E367" i="5"/>
  <c r="F367" i="5" s="1"/>
  <c r="E31" i="5"/>
  <c r="E155" i="5"/>
  <c r="F155" i="5" s="1"/>
  <c r="E249" i="5"/>
  <c r="F249" i="5" s="1"/>
  <c r="E386" i="5"/>
  <c r="F386" i="5" s="1"/>
  <c r="E117" i="5"/>
  <c r="F117" i="5" s="1"/>
  <c r="E143" i="5"/>
  <c r="F143" i="5" s="1"/>
  <c r="E445" i="5"/>
  <c r="F445" i="5" s="1"/>
  <c r="E456" i="5"/>
  <c r="F456" i="5" s="1"/>
  <c r="E201" i="5"/>
  <c r="F201" i="5" s="1"/>
  <c r="E75" i="5"/>
  <c r="F75" i="5" s="1"/>
  <c r="E399" i="5"/>
  <c r="F399" i="5" s="1"/>
  <c r="E373" i="5"/>
  <c r="F373" i="5" s="1"/>
  <c r="E393" i="5"/>
  <c r="F393" i="5" s="1"/>
  <c r="E214" i="5"/>
  <c r="F214" i="5" s="1"/>
  <c r="E284" i="5"/>
  <c r="F284" i="5" s="1"/>
  <c r="E481" i="5"/>
  <c r="F481" i="5" s="1"/>
  <c r="E256" i="5"/>
  <c r="F256" i="5" s="1"/>
  <c r="E96" i="5"/>
  <c r="F96" i="5" s="1"/>
  <c r="E309" i="5"/>
  <c r="F309" i="5" s="1"/>
  <c r="E103" i="5"/>
  <c r="F103" i="5" s="1"/>
  <c r="E150" i="5"/>
  <c r="F150" i="5" s="1"/>
  <c r="E453" i="5"/>
  <c r="F453" i="5" s="1"/>
  <c r="E305" i="5"/>
  <c r="F305" i="5" s="1"/>
  <c r="E260" i="5"/>
  <c r="F260" i="5" s="1"/>
  <c r="E25" i="5"/>
  <c r="E521" i="5"/>
  <c r="F521" i="5" s="1"/>
  <c r="E531" i="5"/>
  <c r="F531" i="5" s="1"/>
  <c r="E124" i="5"/>
  <c r="F124" i="5" s="1"/>
  <c r="E246" i="5"/>
  <c r="F246" i="5" s="1"/>
  <c r="E365" i="5"/>
  <c r="F365" i="5" s="1"/>
  <c r="E224" i="5"/>
  <c r="F224" i="5" s="1"/>
  <c r="E252" i="5"/>
  <c r="F252" i="5" s="1"/>
  <c r="E402" i="5"/>
  <c r="F402" i="5" s="1"/>
  <c r="E116" i="5"/>
  <c r="F116" i="5" s="1"/>
  <c r="E538" i="5"/>
  <c r="F538" i="5" s="1"/>
  <c r="E466" i="5"/>
  <c r="F466" i="5" s="1"/>
  <c r="E446" i="5"/>
  <c r="F446" i="5" s="1"/>
  <c r="E472" i="5"/>
  <c r="F472" i="5" s="1"/>
  <c r="E464" i="5"/>
  <c r="F464" i="5" s="1"/>
  <c r="E349" i="5"/>
  <c r="F349" i="5" s="1"/>
  <c r="E158" i="5"/>
  <c r="F158" i="5" s="1"/>
  <c r="E330" i="5"/>
  <c r="F330" i="5" s="1"/>
  <c r="E108" i="5"/>
  <c r="F108" i="5" s="1"/>
  <c r="E450" i="5"/>
  <c r="F450" i="5" s="1"/>
  <c r="E267" i="5"/>
  <c r="F267" i="5" s="1"/>
  <c r="E396" i="5"/>
  <c r="F396" i="5" s="1"/>
  <c r="E133" i="5"/>
  <c r="F133" i="5" s="1"/>
  <c r="E132" i="5"/>
  <c r="F132" i="5" s="1"/>
  <c r="E534" i="5"/>
  <c r="F534" i="5" s="1"/>
  <c r="E73" i="5"/>
  <c r="F73" i="5" s="1"/>
  <c r="E282" i="5"/>
  <c r="F282" i="5" s="1"/>
  <c r="E188" i="5"/>
  <c r="F188" i="5" s="1"/>
  <c r="E381" i="5"/>
  <c r="F381" i="5" s="1"/>
  <c r="E76" i="5"/>
  <c r="F76" i="5" s="1"/>
  <c r="E241" i="5"/>
  <c r="F241" i="5" s="1"/>
  <c r="E106" i="5"/>
  <c r="F106" i="5" s="1"/>
  <c r="E377" i="5"/>
  <c r="F377" i="5" s="1"/>
  <c r="E325" i="5"/>
  <c r="F325" i="5" s="1"/>
  <c r="E151" i="5"/>
  <c r="F151" i="5" s="1"/>
  <c r="E486" i="5"/>
  <c r="F486" i="5" s="1"/>
  <c r="E496" i="5"/>
  <c r="F496" i="5" s="1"/>
  <c r="E447" i="5"/>
  <c r="F447" i="5" s="1"/>
  <c r="E21" i="5"/>
  <c r="E540" i="5"/>
  <c r="F540" i="5" s="1"/>
  <c r="E128" i="5"/>
  <c r="F128" i="5" s="1"/>
  <c r="E240" i="5"/>
  <c r="F240" i="5" s="1"/>
  <c r="E291" i="5"/>
  <c r="F291" i="5" s="1"/>
  <c r="E52" i="5"/>
  <c r="F52" i="5" s="1"/>
  <c r="E213" i="5"/>
  <c r="F213" i="5" s="1"/>
  <c r="E352" i="5"/>
  <c r="F352" i="5" s="1"/>
  <c r="E198" i="5"/>
  <c r="F198" i="5" s="1"/>
  <c r="E425" i="5"/>
  <c r="F425" i="5" s="1"/>
  <c r="E278" i="5"/>
  <c r="F278" i="5" s="1"/>
  <c r="E120" i="5"/>
  <c r="F120" i="5" s="1"/>
  <c r="E180" i="5"/>
  <c r="F180" i="5" s="1"/>
  <c r="E66" i="5"/>
  <c r="F66" i="5" s="1"/>
  <c r="E443" i="5"/>
  <c r="F443" i="5" s="1"/>
  <c r="E351" i="5"/>
  <c r="F351" i="5" s="1"/>
  <c r="E223" i="5"/>
  <c r="F223" i="5" s="1"/>
  <c r="E225" i="5"/>
  <c r="F225" i="5" s="1"/>
  <c r="E532" i="5"/>
  <c r="F532" i="5" s="1"/>
  <c r="E498" i="5"/>
  <c r="F498" i="5" s="1"/>
  <c r="E174" i="5"/>
  <c r="F174" i="5" s="1"/>
  <c r="E134" i="5"/>
  <c r="F134" i="5" s="1"/>
  <c r="E100" i="5"/>
  <c r="F100" i="5" s="1"/>
  <c r="E510" i="5"/>
  <c r="F510" i="5" s="1"/>
  <c r="E293" i="5"/>
  <c r="F293" i="5" s="1"/>
  <c r="E27" i="5"/>
  <c r="E484" i="5"/>
  <c r="F484" i="5" s="1"/>
  <c r="E418" i="5"/>
  <c r="F418" i="5" s="1"/>
  <c r="E492" i="5"/>
  <c r="F492" i="5" s="1"/>
  <c r="E257" i="5"/>
  <c r="F257" i="5" s="1"/>
  <c r="E470" i="5"/>
  <c r="F470" i="5" s="1"/>
  <c r="E35" i="5"/>
  <c r="E408" i="5"/>
  <c r="F408" i="5" s="1"/>
  <c r="E18" i="2"/>
  <c r="D18" i="2" s="1"/>
  <c r="C18" i="2" s="1"/>
  <c r="B19" i="2" s="1"/>
  <c r="E19" i="2" l="1"/>
  <c r="D19" i="2" s="1"/>
  <c r="C19" i="2" s="1"/>
  <c r="B20" i="2" s="1"/>
  <c r="E20" i="2" l="1"/>
  <c r="D20" i="2" s="1"/>
  <c r="C20" i="2" s="1"/>
  <c r="B21" i="2" s="1"/>
  <c r="E21" i="2" l="1"/>
  <c r="D21" i="2" s="1"/>
  <c r="C21" i="2" s="1"/>
  <c r="B22" i="2" s="1"/>
  <c r="E22" i="2" l="1"/>
  <c r="D22" i="2" s="1"/>
  <c r="C22" i="2" s="1"/>
  <c r="B23" i="2" s="1"/>
  <c r="E23" i="2" l="1"/>
  <c r="D23" i="2" s="1"/>
  <c r="C23" i="2" s="1"/>
  <c r="B24" i="2" s="1"/>
  <c r="E24" i="2" l="1"/>
  <c r="D24" i="2" s="1"/>
  <c r="C24" i="2" s="1"/>
  <c r="B25" i="2" s="1"/>
  <c r="E25" i="2" l="1"/>
  <c r="D25" i="2" s="1"/>
  <c r="C25" i="2" s="1"/>
  <c r="B26" i="2" s="1"/>
  <c r="E26" i="2" l="1"/>
  <c r="D26" i="2" s="1"/>
  <c r="C26" i="2" s="1"/>
  <c r="B27" i="2" s="1"/>
  <c r="E27" i="2" l="1"/>
  <c r="D27" i="2" s="1"/>
  <c r="C27" i="2" s="1"/>
  <c r="B28" i="2" s="1"/>
  <c r="E28" i="2" l="1"/>
  <c r="D28" i="2" s="1"/>
  <c r="C28" i="2" s="1"/>
  <c r="B29" i="2" s="1"/>
  <c r="E29" i="2" l="1"/>
  <c r="D29" i="2" s="1"/>
  <c r="C29" i="2" s="1"/>
  <c r="B30" i="2" s="1"/>
  <c r="E30" i="2" l="1"/>
  <c r="D30" i="2" s="1"/>
  <c r="C30" i="2" s="1"/>
  <c r="B31" i="2" s="1"/>
  <c r="E31" i="2" l="1"/>
  <c r="D31" i="2" s="1"/>
  <c r="C31" i="2" s="1"/>
  <c r="B32" i="2" s="1"/>
  <c r="E32" i="2" l="1"/>
  <c r="D32" i="2" s="1"/>
  <c r="C32" i="2" s="1"/>
  <c r="B33" i="2" s="1"/>
  <c r="E33" i="2" l="1"/>
  <c r="D33" i="2" s="1"/>
  <c r="C33" i="2" s="1"/>
  <c r="B34" i="2" s="1"/>
  <c r="E34" i="2" l="1"/>
  <c r="D34" i="2" s="1"/>
  <c r="C34" i="2" s="1"/>
  <c r="B35" i="2" s="1"/>
  <c r="E35" i="2" l="1"/>
  <c r="D35" i="2" s="1"/>
  <c r="C35" i="2" s="1"/>
  <c r="B36" i="2" s="1"/>
  <c r="E36" i="2" l="1"/>
  <c r="D36" i="2" s="1"/>
  <c r="C36" i="2" s="1"/>
  <c r="B37" i="2" s="1"/>
  <c r="E37" i="2" l="1"/>
  <c r="D37" i="2" s="1"/>
  <c r="C37" i="2" s="1"/>
  <c r="B38" i="2" s="1"/>
  <c r="E38" i="2" l="1"/>
  <c r="D38" i="2" s="1"/>
  <c r="C38" i="2" s="1"/>
  <c r="B39" i="2" s="1"/>
  <c r="E39" i="2" l="1"/>
  <c r="D39" i="2" s="1"/>
  <c r="C39" i="2" s="1"/>
  <c r="B40" i="2" s="1"/>
  <c r="E40" i="2" l="1"/>
  <c r="D40" i="2" s="1"/>
  <c r="C40" i="2" s="1"/>
  <c r="G41" i="2" l="1"/>
  <c r="B41" i="2" s="1"/>
  <c r="L41" i="2"/>
  <c r="E41" i="2"/>
  <c r="D41" i="2" s="1"/>
  <c r="C41" i="2" s="1"/>
  <c r="G42" i="2" l="1"/>
  <c r="B42" i="2" s="1"/>
  <c r="L42" i="2"/>
  <c r="E42" i="2"/>
  <c r="D42" i="2" s="1"/>
  <c r="C42" i="2" s="1"/>
  <c r="G43" i="2" l="1"/>
  <c r="B43" i="2" s="1"/>
  <c r="L43" i="2"/>
  <c r="E43" i="2"/>
  <c r="D43" i="2" s="1"/>
  <c r="C43" i="2" s="1"/>
  <c r="G44" i="2" l="1"/>
  <c r="B44" i="2" s="1"/>
  <c r="L44" i="2"/>
  <c r="E44" i="2"/>
  <c r="D44" i="2" s="1"/>
  <c r="C44" i="2" s="1"/>
  <c r="G45" i="2" l="1"/>
  <c r="B45" i="2" s="1"/>
  <c r="L45" i="2"/>
  <c r="E45" i="2"/>
  <c r="D45" i="2" s="1"/>
  <c r="C45" i="2" s="1"/>
  <c r="G46" i="2" l="1"/>
  <c r="B46" i="2" s="1"/>
  <c r="L46" i="2"/>
  <c r="E46" i="2"/>
  <c r="D46" i="2" s="1"/>
  <c r="C46" i="2" s="1"/>
  <c r="G47" i="2" l="1"/>
  <c r="B47" i="2" s="1"/>
  <c r="L47" i="2"/>
  <c r="E47" i="2"/>
  <c r="D47" i="2" s="1"/>
  <c r="C47" i="2" s="1"/>
  <c r="G48" i="2" l="1"/>
  <c r="B48" i="2" s="1"/>
  <c r="L48" i="2"/>
  <c r="E48" i="2"/>
  <c r="D48" i="2" s="1"/>
  <c r="C48" i="2" s="1"/>
  <c r="G49" i="2" l="1"/>
  <c r="B49" i="2" s="1"/>
  <c r="L49" i="2"/>
  <c r="E49" i="2"/>
  <c r="D49" i="2" s="1"/>
  <c r="C49" i="2" s="1"/>
  <c r="G50" i="2" l="1"/>
  <c r="B50" i="2" s="1"/>
  <c r="L50" i="2"/>
  <c r="E50" i="2"/>
  <c r="D50" i="2" s="1"/>
  <c r="C50" i="2" s="1"/>
  <c r="G51" i="2" l="1"/>
  <c r="B51" i="2" s="1"/>
  <c r="L51" i="2"/>
  <c r="E51" i="2"/>
  <c r="D51" i="2" s="1"/>
  <c r="C51" i="2" s="1"/>
  <c r="G52" i="2" l="1"/>
  <c r="B52" i="2" s="1"/>
  <c r="L52" i="2"/>
  <c r="E52" i="2"/>
  <c r="D52" i="2" s="1"/>
  <c r="C52" i="2" s="1"/>
  <c r="G53" i="2" l="1"/>
  <c r="B53" i="2" s="1"/>
  <c r="L53" i="2"/>
  <c r="E53" i="2"/>
  <c r="D53" i="2" s="1"/>
  <c r="C53" i="2" s="1"/>
  <c r="G54" i="2" l="1"/>
  <c r="B54" i="2" s="1"/>
  <c r="L54" i="2"/>
  <c r="E54" i="2"/>
  <c r="D54" i="2" s="1"/>
  <c r="C54" i="2" s="1"/>
  <c r="G55" i="2" l="1"/>
  <c r="B55" i="2" s="1"/>
  <c r="L55" i="2"/>
  <c r="E55" i="2"/>
  <c r="D55" i="2" s="1"/>
  <c r="C55" i="2" s="1"/>
  <c r="G56" i="2" l="1"/>
  <c r="B56" i="2" s="1"/>
  <c r="L56" i="2"/>
  <c r="E56" i="2"/>
  <c r="D56" i="2" s="1"/>
  <c r="C56" i="2" s="1"/>
  <c r="G57" i="2" l="1"/>
  <c r="B57" i="2" s="1"/>
  <c r="L57" i="2"/>
  <c r="E57" i="2"/>
  <c r="D57" i="2" s="1"/>
  <c r="C57" i="2" s="1"/>
  <c r="G58" i="2" l="1"/>
  <c r="B58" i="2" s="1"/>
  <c r="L58" i="2"/>
  <c r="E58" i="2"/>
  <c r="D58" i="2" s="1"/>
  <c r="C58" i="2" s="1"/>
  <c r="G59" i="2" l="1"/>
  <c r="B59" i="2" s="1"/>
  <c r="L59" i="2"/>
  <c r="E59" i="2"/>
  <c r="D59" i="2" s="1"/>
  <c r="C59" i="2" s="1"/>
  <c r="G60" i="2" l="1"/>
  <c r="B60" i="2" s="1"/>
  <c r="L60" i="2"/>
  <c r="E60" i="2"/>
  <c r="D60" i="2" s="1"/>
  <c r="C60" i="2" s="1"/>
  <c r="G61" i="2" l="1"/>
  <c r="B61" i="2" s="1"/>
  <c r="L61" i="2"/>
  <c r="E61" i="2"/>
  <c r="D61" i="2" s="1"/>
  <c r="C61" i="2" s="1"/>
  <c r="G62" i="2" l="1"/>
  <c r="B62" i="2" s="1"/>
  <c r="L62" i="2"/>
  <c r="E62" i="2"/>
  <c r="D62" i="2" s="1"/>
  <c r="C62" i="2" s="1"/>
  <c r="G63" i="2" l="1"/>
  <c r="B63" i="2" s="1"/>
  <c r="L63" i="2"/>
  <c r="E63" i="2"/>
  <c r="D63" i="2" s="1"/>
  <c r="C63" i="2" s="1"/>
  <c r="G64" i="2" l="1"/>
  <c r="B64" i="2" s="1"/>
  <c r="L64" i="2"/>
  <c r="E64" i="2"/>
  <c r="D64" i="2" s="1"/>
  <c r="C64" i="2" s="1"/>
  <c r="G65" i="2" l="1"/>
  <c r="B65" i="2" s="1"/>
  <c r="L65" i="2"/>
  <c r="E65" i="2"/>
  <c r="D65" i="2" s="1"/>
  <c r="C65" i="2" s="1"/>
  <c r="G66" i="2" l="1"/>
  <c r="B66" i="2" s="1"/>
  <c r="L66" i="2"/>
  <c r="E66" i="2"/>
  <c r="D66" i="2" s="1"/>
  <c r="C66" i="2" s="1"/>
  <c r="G67" i="2" l="1"/>
  <c r="B67" i="2" s="1"/>
  <c r="L67" i="2"/>
  <c r="E67" i="2"/>
  <c r="D67" i="2" s="1"/>
  <c r="C67" i="2" s="1"/>
  <c r="G68" i="2" l="1"/>
  <c r="B68" i="2" s="1"/>
  <c r="L68" i="2"/>
  <c r="E68" i="2"/>
  <c r="D68" i="2" s="1"/>
  <c r="C68" i="2" s="1"/>
  <c r="G69" i="2" l="1"/>
  <c r="B69" i="2" s="1"/>
  <c r="L69" i="2"/>
  <c r="E69" i="2"/>
  <c r="D69" i="2" s="1"/>
  <c r="C69" i="2" s="1"/>
  <c r="G70" i="2" l="1"/>
  <c r="B70" i="2" s="1"/>
  <c r="L70" i="2"/>
  <c r="E70" i="2"/>
  <c r="D70" i="2" s="1"/>
  <c r="C70" i="2" s="1"/>
  <c r="G71" i="2" l="1"/>
  <c r="B71" i="2" s="1"/>
  <c r="L71" i="2"/>
  <c r="E71" i="2"/>
  <c r="D71" i="2" s="1"/>
  <c r="C71" i="2" s="1"/>
  <c r="G72" i="2" l="1"/>
  <c r="B72" i="2" s="1"/>
  <c r="L72" i="2"/>
  <c r="E72" i="2"/>
  <c r="D72" i="2" s="1"/>
  <c r="C72" i="2" s="1"/>
  <c r="G73" i="2" l="1"/>
  <c r="B73" i="2" s="1"/>
  <c r="L73" i="2"/>
  <c r="E73" i="2"/>
  <c r="D73" i="2" s="1"/>
  <c r="C73" i="2" s="1"/>
  <c r="G74" i="2" l="1"/>
  <c r="B74" i="2" s="1"/>
  <c r="L74" i="2"/>
  <c r="E74" i="2"/>
  <c r="D74" i="2" s="1"/>
  <c r="C74" i="2" s="1"/>
  <c r="G75" i="2" l="1"/>
  <c r="B75" i="2" s="1"/>
  <c r="L75" i="2"/>
  <c r="E75" i="2"/>
  <c r="D75" i="2" s="1"/>
  <c r="C75" i="2" s="1"/>
  <c r="G76" i="2" l="1"/>
  <c r="B76" i="2" s="1"/>
  <c r="L76" i="2"/>
  <c r="E76" i="2"/>
  <c r="D76" i="2" s="1"/>
  <c r="C76" i="2" s="1"/>
  <c r="G77" i="2" l="1"/>
  <c r="B77" i="2" s="1"/>
  <c r="L77" i="2"/>
  <c r="E77" i="2"/>
  <c r="D77" i="2" s="1"/>
  <c r="C77" i="2" s="1"/>
  <c r="G78" i="2" l="1"/>
  <c r="B78" i="2" s="1"/>
  <c r="L78" i="2"/>
  <c r="E78" i="2"/>
  <c r="D78" i="2" s="1"/>
  <c r="C78" i="2" s="1"/>
  <c r="G79" i="2" l="1"/>
  <c r="B79" i="2" s="1"/>
  <c r="L79" i="2"/>
  <c r="E79" i="2"/>
  <c r="D79" i="2" s="1"/>
  <c r="C79" i="2" s="1"/>
  <c r="G80" i="2" l="1"/>
  <c r="B80" i="2" s="1"/>
  <c r="L80" i="2"/>
  <c r="E80" i="2"/>
  <c r="D80" i="2" s="1"/>
  <c r="C80" i="2" s="1"/>
  <c r="G81" i="2" l="1"/>
  <c r="B81" i="2" s="1"/>
  <c r="L81" i="2"/>
  <c r="E81" i="2"/>
  <c r="D81" i="2" s="1"/>
  <c r="C81" i="2" s="1"/>
  <c r="G82" i="2" l="1"/>
  <c r="B82" i="2" s="1"/>
  <c r="L82" i="2"/>
  <c r="E82" i="2"/>
  <c r="D82" i="2" s="1"/>
  <c r="C82" i="2" s="1"/>
  <c r="G83" i="2" l="1"/>
  <c r="B83" i="2" s="1"/>
  <c r="L83" i="2"/>
  <c r="E83" i="2"/>
  <c r="D83" i="2" s="1"/>
  <c r="C83" i="2" s="1"/>
  <c r="G84" i="2" l="1"/>
  <c r="B84" i="2" s="1"/>
  <c r="L84" i="2"/>
  <c r="E84" i="2"/>
  <c r="D84" i="2" s="1"/>
  <c r="C84" i="2" s="1"/>
  <c r="G85" i="2" l="1"/>
  <c r="B85" i="2" s="1"/>
  <c r="L85" i="2"/>
  <c r="E85" i="2"/>
  <c r="D85" i="2" s="1"/>
  <c r="C85" i="2" s="1"/>
  <c r="G86" i="2" l="1"/>
  <c r="B86" i="2" s="1"/>
  <c r="L86" i="2"/>
  <c r="E86" i="2"/>
  <c r="D86" i="2" s="1"/>
  <c r="C86" i="2" s="1"/>
  <c r="G87" i="2" l="1"/>
  <c r="B87" i="2" s="1"/>
  <c r="L87" i="2"/>
  <c r="E87" i="2"/>
  <c r="D87" i="2" s="1"/>
  <c r="C87" i="2" s="1"/>
  <c r="G88" i="2" l="1"/>
  <c r="B88" i="2" s="1"/>
  <c r="L88" i="2"/>
  <c r="E88" i="2"/>
  <c r="D88" i="2" s="1"/>
  <c r="C88" i="2" s="1"/>
  <c r="G89" i="2" l="1"/>
  <c r="B89" i="2" s="1"/>
  <c r="L89" i="2"/>
  <c r="E89" i="2"/>
  <c r="D89" i="2" s="1"/>
  <c r="C89" i="2" s="1"/>
  <c r="G90" i="2" l="1"/>
  <c r="B90" i="2" s="1"/>
  <c r="L90" i="2"/>
  <c r="E90" i="2"/>
  <c r="D90" i="2" s="1"/>
  <c r="C90" i="2" s="1"/>
  <c r="G91" i="2" l="1"/>
  <c r="B91" i="2" s="1"/>
  <c r="L91" i="2"/>
  <c r="E91" i="2"/>
  <c r="D91" i="2" s="1"/>
  <c r="C91" i="2" s="1"/>
  <c r="G92" i="2" l="1"/>
  <c r="B92" i="2" s="1"/>
  <c r="L92" i="2"/>
  <c r="E92" i="2"/>
  <c r="D92" i="2" s="1"/>
  <c r="C92" i="2" s="1"/>
  <c r="G93" i="2" l="1"/>
  <c r="B93" i="2" s="1"/>
  <c r="L93" i="2"/>
  <c r="E93" i="2"/>
  <c r="D93" i="2" s="1"/>
  <c r="C93" i="2" s="1"/>
  <c r="G94" i="2" l="1"/>
  <c r="B94" i="2" s="1"/>
  <c r="L94" i="2"/>
  <c r="E94" i="2"/>
  <c r="D94" i="2" s="1"/>
  <c r="C94" i="2" s="1"/>
  <c r="G95" i="2" l="1"/>
  <c r="B95" i="2" s="1"/>
  <c r="L95" i="2"/>
  <c r="E95" i="2"/>
  <c r="D95" i="2" s="1"/>
  <c r="C95" i="2" s="1"/>
  <c r="G96" i="2" l="1"/>
  <c r="B96" i="2" s="1"/>
  <c r="L96" i="2"/>
  <c r="E96" i="2"/>
  <c r="D96" i="2" s="1"/>
  <c r="C96" i="2" s="1"/>
  <c r="G97" i="2" l="1"/>
  <c r="B97" i="2" s="1"/>
  <c r="L97" i="2"/>
  <c r="E97" i="2"/>
  <c r="D97" i="2" s="1"/>
  <c r="C97" i="2" s="1"/>
  <c r="G98" i="2" l="1"/>
  <c r="B98" i="2" s="1"/>
  <c r="L98" i="2"/>
  <c r="E98" i="2"/>
  <c r="D98" i="2" s="1"/>
  <c r="C98" i="2" s="1"/>
  <c r="G99" i="2" l="1"/>
  <c r="B99" i="2" s="1"/>
  <c r="L99" i="2"/>
  <c r="E99" i="2"/>
  <c r="D99" i="2" s="1"/>
  <c r="C99" i="2" s="1"/>
  <c r="G100" i="2" l="1"/>
  <c r="B100" i="2" s="1"/>
  <c r="L100" i="2"/>
  <c r="E100" i="2"/>
  <c r="D100" i="2" s="1"/>
  <c r="C100" i="2" s="1"/>
  <c r="G101" i="2" l="1"/>
  <c r="B101" i="2" s="1"/>
  <c r="L101" i="2"/>
  <c r="E101" i="2"/>
  <c r="D101" i="2" s="1"/>
  <c r="C101" i="2" s="1"/>
  <c r="G102" i="2" l="1"/>
  <c r="B102" i="2" s="1"/>
  <c r="L102" i="2"/>
  <c r="E102" i="2"/>
  <c r="D102" i="2" s="1"/>
  <c r="C102" i="2" s="1"/>
  <c r="G103" i="2" l="1"/>
  <c r="B103" i="2" s="1"/>
  <c r="L103" i="2"/>
  <c r="E103" i="2"/>
  <c r="D103" i="2" s="1"/>
  <c r="C103" i="2" s="1"/>
  <c r="G104" i="2" l="1"/>
  <c r="B104" i="2" s="1"/>
  <c r="L104" i="2"/>
  <c r="E104" i="2"/>
  <c r="D104" i="2" s="1"/>
  <c r="C104" i="2" s="1"/>
  <c r="G105" i="2" l="1"/>
  <c r="B105" i="2" s="1"/>
  <c r="L105" i="2"/>
  <c r="E105" i="2"/>
  <c r="D105" i="2" s="1"/>
  <c r="C105" i="2" s="1"/>
  <c r="G106" i="2" l="1"/>
  <c r="B106" i="2" s="1"/>
  <c r="L106" i="2"/>
  <c r="E106" i="2"/>
  <c r="D106" i="2" s="1"/>
  <c r="C106" i="2" s="1"/>
  <c r="G107" i="2" l="1"/>
  <c r="B107" i="2" s="1"/>
  <c r="L107" i="2"/>
  <c r="E107" i="2"/>
  <c r="D107" i="2" s="1"/>
  <c r="C107" i="2" s="1"/>
  <c r="G108" i="2" l="1"/>
  <c r="B108" i="2" s="1"/>
  <c r="L108" i="2"/>
  <c r="E108" i="2"/>
  <c r="D108" i="2" s="1"/>
  <c r="C108" i="2" s="1"/>
  <c r="G109" i="2" l="1"/>
  <c r="B109" i="2" s="1"/>
  <c r="L109" i="2"/>
  <c r="E109" i="2"/>
  <c r="D109" i="2" s="1"/>
  <c r="C109" i="2" s="1"/>
  <c r="G110" i="2" l="1"/>
  <c r="B110" i="2" s="1"/>
  <c r="L110" i="2"/>
  <c r="E110" i="2"/>
  <c r="D110" i="2" s="1"/>
  <c r="C110" i="2" s="1"/>
  <c r="G111" i="2" l="1"/>
  <c r="B111" i="2" s="1"/>
  <c r="L111" i="2"/>
  <c r="E111" i="2"/>
  <c r="D111" i="2" s="1"/>
  <c r="C111" i="2" s="1"/>
  <c r="G112" i="2" l="1"/>
  <c r="B112" i="2" s="1"/>
  <c r="L112" i="2"/>
  <c r="E112" i="2"/>
  <c r="D112" i="2" s="1"/>
  <c r="C112" i="2" s="1"/>
  <c r="G113" i="2" l="1"/>
  <c r="B113" i="2" s="1"/>
  <c r="L113" i="2"/>
  <c r="E113" i="2"/>
  <c r="D113" i="2" s="1"/>
  <c r="C113" i="2" s="1"/>
  <c r="G114" i="2" l="1"/>
  <c r="B114" i="2" s="1"/>
  <c r="L114" i="2"/>
  <c r="E114" i="2"/>
  <c r="D114" i="2" s="1"/>
  <c r="C114" i="2" s="1"/>
  <c r="G115" i="2" l="1"/>
  <c r="B115" i="2" s="1"/>
  <c r="L115" i="2"/>
  <c r="E115" i="2"/>
  <c r="D115" i="2" s="1"/>
  <c r="C115" i="2" s="1"/>
  <c r="G116" i="2" l="1"/>
  <c r="B116" i="2" s="1"/>
  <c r="L116" i="2"/>
  <c r="E116" i="2"/>
  <c r="D116" i="2" s="1"/>
  <c r="C116" i="2" s="1"/>
  <c r="G117" i="2" l="1"/>
  <c r="B117" i="2" s="1"/>
  <c r="L117" i="2"/>
  <c r="E117" i="2"/>
  <c r="D117" i="2" s="1"/>
  <c r="C117" i="2" s="1"/>
  <c r="G118" i="2" l="1"/>
  <c r="B118" i="2" s="1"/>
  <c r="L118" i="2"/>
  <c r="E118" i="2"/>
  <c r="D118" i="2" s="1"/>
  <c r="C118" i="2" s="1"/>
  <c r="G119" i="2" l="1"/>
  <c r="B119" i="2" s="1"/>
  <c r="L119" i="2"/>
  <c r="E119" i="2"/>
  <c r="D119" i="2" s="1"/>
  <c r="C119" i="2" s="1"/>
  <c r="G120" i="2" l="1"/>
  <c r="B120" i="2" s="1"/>
  <c r="L120" i="2"/>
  <c r="E120" i="2"/>
  <c r="D120" i="2" s="1"/>
  <c r="C120" i="2" s="1"/>
  <c r="G121" i="2" l="1"/>
  <c r="B121" i="2" s="1"/>
  <c r="L121" i="2"/>
  <c r="E121" i="2"/>
  <c r="D121" i="2" s="1"/>
  <c r="C121" i="2" s="1"/>
  <c r="G122" i="2" l="1"/>
  <c r="B122" i="2" s="1"/>
  <c r="L122" i="2"/>
  <c r="E122" i="2"/>
  <c r="D122" i="2" s="1"/>
  <c r="C122" i="2" s="1"/>
  <c r="G123" i="2" l="1"/>
  <c r="B123" i="2" s="1"/>
  <c r="L123" i="2"/>
  <c r="E123" i="2"/>
  <c r="D123" i="2" s="1"/>
  <c r="C123" i="2" s="1"/>
  <c r="G124" i="2" l="1"/>
  <c r="B124" i="2" s="1"/>
  <c r="L124" i="2"/>
  <c r="E124" i="2"/>
  <c r="D124" i="2" s="1"/>
  <c r="C124" i="2" s="1"/>
  <c r="G125" i="2" l="1"/>
  <c r="B125" i="2" s="1"/>
  <c r="L125" i="2"/>
  <c r="E125" i="2"/>
  <c r="D125" i="2" s="1"/>
  <c r="C125" i="2" s="1"/>
  <c r="G126" i="2" l="1"/>
  <c r="B126" i="2" s="1"/>
  <c r="L126" i="2"/>
  <c r="E126" i="2"/>
  <c r="D126" i="2" s="1"/>
  <c r="C126" i="2" s="1"/>
  <c r="G127" i="2" l="1"/>
  <c r="B127" i="2" s="1"/>
  <c r="L127" i="2"/>
  <c r="E127" i="2"/>
  <c r="D127" i="2" s="1"/>
  <c r="C127" i="2" s="1"/>
  <c r="G128" i="2" l="1"/>
  <c r="B128" i="2" s="1"/>
  <c r="L128" i="2"/>
  <c r="E128" i="2"/>
  <c r="D128" i="2" s="1"/>
  <c r="C128" i="2" s="1"/>
  <c r="G129" i="2" l="1"/>
  <c r="B129" i="2" s="1"/>
  <c r="L129" i="2"/>
  <c r="E129" i="2"/>
  <c r="D129" i="2" s="1"/>
  <c r="C129" i="2" s="1"/>
  <c r="G130" i="2" l="1"/>
  <c r="B130" i="2" s="1"/>
  <c r="L130" i="2"/>
  <c r="E130" i="2"/>
  <c r="D130" i="2" s="1"/>
  <c r="C130" i="2" s="1"/>
  <c r="G131" i="2" l="1"/>
  <c r="B131" i="2" s="1"/>
  <c r="L131" i="2"/>
  <c r="E131" i="2"/>
  <c r="D131" i="2" s="1"/>
  <c r="C131" i="2" s="1"/>
  <c r="G132" i="2" l="1"/>
  <c r="B132" i="2" s="1"/>
  <c r="L132" i="2"/>
  <c r="E132" i="2"/>
  <c r="D132" i="2" s="1"/>
  <c r="C132" i="2" s="1"/>
  <c r="G133" i="2" l="1"/>
  <c r="B133" i="2" s="1"/>
  <c r="L133" i="2"/>
  <c r="E133" i="2"/>
  <c r="D133" i="2" s="1"/>
  <c r="C133" i="2" s="1"/>
  <c r="G134" i="2" l="1"/>
  <c r="B134" i="2" s="1"/>
  <c r="L134" i="2"/>
  <c r="E134" i="2"/>
  <c r="D134" i="2" s="1"/>
  <c r="C134" i="2" s="1"/>
  <c r="G135" i="2" l="1"/>
  <c r="B135" i="2" s="1"/>
  <c r="L135" i="2"/>
  <c r="E135" i="2"/>
  <c r="D135" i="2" s="1"/>
  <c r="C135" i="2" s="1"/>
  <c r="G136" i="2" l="1"/>
  <c r="B136" i="2" s="1"/>
  <c r="L136" i="2"/>
  <c r="E136" i="2"/>
  <c r="D136" i="2" s="1"/>
  <c r="C136" i="2" s="1"/>
  <c r="G137" i="2" l="1"/>
  <c r="B137" i="2" s="1"/>
  <c r="L137" i="2"/>
  <c r="E137" i="2"/>
  <c r="D137" i="2" s="1"/>
  <c r="C137" i="2" s="1"/>
  <c r="G138" i="2" l="1"/>
  <c r="B138" i="2" s="1"/>
  <c r="L138" i="2"/>
  <c r="E138" i="2"/>
  <c r="D138" i="2" s="1"/>
  <c r="C138" i="2" s="1"/>
  <c r="G139" i="2" l="1"/>
  <c r="B139" i="2" s="1"/>
  <c r="L139" i="2"/>
  <c r="E139" i="2"/>
  <c r="D139" i="2" s="1"/>
  <c r="C139" i="2" s="1"/>
  <c r="G140" i="2" l="1"/>
  <c r="B140" i="2" s="1"/>
  <c r="L140" i="2"/>
  <c r="E140" i="2"/>
  <c r="D140" i="2" s="1"/>
  <c r="C140" i="2" s="1"/>
  <c r="G141" i="2" l="1"/>
  <c r="B141" i="2" s="1"/>
  <c r="L141" i="2"/>
  <c r="E141" i="2"/>
  <c r="D141" i="2" s="1"/>
  <c r="C141" i="2" s="1"/>
  <c r="G142" i="2" l="1"/>
  <c r="B142" i="2" s="1"/>
  <c r="L142" i="2"/>
  <c r="E142" i="2"/>
  <c r="D142" i="2" s="1"/>
  <c r="C142" i="2" s="1"/>
  <c r="G143" i="2" l="1"/>
  <c r="B143" i="2" s="1"/>
  <c r="L143" i="2"/>
  <c r="E143" i="2"/>
  <c r="D143" i="2" s="1"/>
  <c r="C143" i="2" s="1"/>
  <c r="G144" i="2" l="1"/>
  <c r="B144" i="2" s="1"/>
  <c r="L144" i="2"/>
  <c r="E144" i="2"/>
  <c r="D144" i="2" s="1"/>
  <c r="C144" i="2" s="1"/>
  <c r="G145" i="2" l="1"/>
  <c r="B145" i="2" s="1"/>
  <c r="L145" i="2"/>
  <c r="E145" i="2"/>
  <c r="D145" i="2" s="1"/>
  <c r="C145" i="2" s="1"/>
  <c r="G146" i="2" l="1"/>
  <c r="B146" i="2" s="1"/>
  <c r="L146" i="2"/>
  <c r="E146" i="2"/>
  <c r="D146" i="2" s="1"/>
  <c r="C146" i="2" s="1"/>
  <c r="G147" i="2" l="1"/>
  <c r="B147" i="2" s="1"/>
  <c r="L147" i="2"/>
  <c r="E147" i="2"/>
  <c r="D147" i="2" s="1"/>
  <c r="C147" i="2" s="1"/>
  <c r="G148" i="2" l="1"/>
  <c r="B148" i="2" s="1"/>
  <c r="L148" i="2"/>
  <c r="E148" i="2"/>
  <c r="D148" i="2" s="1"/>
  <c r="C148" i="2" s="1"/>
  <c r="G149" i="2" l="1"/>
  <c r="B149" i="2" s="1"/>
  <c r="L149" i="2"/>
  <c r="E149" i="2"/>
  <c r="D149" i="2" s="1"/>
  <c r="C149" i="2" s="1"/>
  <c r="G150" i="2" l="1"/>
  <c r="B150" i="2" s="1"/>
  <c r="L150" i="2"/>
  <c r="E150" i="2"/>
  <c r="D150" i="2" s="1"/>
  <c r="C150" i="2" s="1"/>
  <c r="G151" i="2" l="1"/>
  <c r="B151" i="2" s="1"/>
  <c r="L151" i="2"/>
  <c r="E151" i="2"/>
  <c r="D151" i="2" s="1"/>
  <c r="C151" i="2" s="1"/>
  <c r="G152" i="2" l="1"/>
  <c r="B152" i="2" s="1"/>
  <c r="L152" i="2"/>
  <c r="E152" i="2"/>
  <c r="D152" i="2" s="1"/>
  <c r="C152" i="2" s="1"/>
  <c r="G153" i="2" l="1"/>
  <c r="B153" i="2" s="1"/>
  <c r="L153" i="2"/>
  <c r="E153" i="2"/>
  <c r="D153" i="2" s="1"/>
  <c r="C153" i="2" s="1"/>
  <c r="G154" i="2" l="1"/>
  <c r="B154" i="2" s="1"/>
  <c r="L154" i="2"/>
  <c r="E154" i="2"/>
  <c r="D154" i="2" s="1"/>
  <c r="C154" i="2" s="1"/>
  <c r="G155" i="2" l="1"/>
  <c r="B155" i="2" s="1"/>
  <c r="L155" i="2"/>
  <c r="E155" i="2"/>
  <c r="D155" i="2" s="1"/>
  <c r="C155" i="2" s="1"/>
  <c r="G156" i="2" l="1"/>
  <c r="B156" i="2" s="1"/>
  <c r="L156" i="2"/>
  <c r="E156" i="2"/>
  <c r="D156" i="2" s="1"/>
  <c r="C156" i="2" s="1"/>
  <c r="G157" i="2" l="1"/>
  <c r="B157" i="2" s="1"/>
  <c r="L157" i="2"/>
  <c r="E157" i="2"/>
  <c r="D157" i="2" s="1"/>
  <c r="C157" i="2" s="1"/>
  <c r="G158" i="2" l="1"/>
  <c r="B158" i="2" s="1"/>
  <c r="L158" i="2"/>
  <c r="E158" i="2"/>
  <c r="D158" i="2" s="1"/>
  <c r="C158" i="2" s="1"/>
  <c r="G159" i="2" l="1"/>
  <c r="B159" i="2" s="1"/>
  <c r="L159" i="2"/>
  <c r="E159" i="2"/>
  <c r="D159" i="2" s="1"/>
  <c r="C159" i="2" s="1"/>
  <c r="G160" i="2" l="1"/>
  <c r="B160" i="2" s="1"/>
  <c r="L160" i="2"/>
  <c r="E160" i="2"/>
  <c r="D160" i="2" s="1"/>
  <c r="C160" i="2" s="1"/>
  <c r="G161" i="2" l="1"/>
  <c r="B161" i="2" s="1"/>
  <c r="L161" i="2"/>
  <c r="E161" i="2"/>
  <c r="D161" i="2" s="1"/>
  <c r="C161" i="2" s="1"/>
  <c r="G162" i="2" l="1"/>
  <c r="B162" i="2" s="1"/>
  <c r="L162" i="2"/>
  <c r="E162" i="2"/>
  <c r="D162" i="2" s="1"/>
  <c r="C162" i="2" s="1"/>
  <c r="G163" i="2" l="1"/>
  <c r="B163" i="2" s="1"/>
  <c r="L163" i="2"/>
  <c r="E163" i="2"/>
  <c r="D163" i="2" s="1"/>
  <c r="C163" i="2" s="1"/>
  <c r="G164" i="2" l="1"/>
  <c r="B164" i="2" s="1"/>
  <c r="L164" i="2"/>
  <c r="E164" i="2"/>
  <c r="D164" i="2" s="1"/>
  <c r="C164" i="2" s="1"/>
  <c r="G165" i="2" l="1"/>
  <c r="B165" i="2" s="1"/>
  <c r="L165" i="2"/>
  <c r="E165" i="2"/>
  <c r="D165" i="2" s="1"/>
  <c r="C165" i="2" s="1"/>
  <c r="G166" i="2" l="1"/>
  <c r="B166" i="2" s="1"/>
  <c r="L166" i="2"/>
  <c r="E166" i="2"/>
  <c r="D166" i="2" s="1"/>
  <c r="C166" i="2" s="1"/>
  <c r="G167" i="2" l="1"/>
  <c r="B167" i="2" s="1"/>
  <c r="L167" i="2"/>
  <c r="E167" i="2"/>
  <c r="D167" i="2" s="1"/>
  <c r="C167" i="2" s="1"/>
  <c r="G168" i="2" l="1"/>
  <c r="B168" i="2" s="1"/>
  <c r="L168" i="2"/>
  <c r="E168" i="2"/>
  <c r="D168" i="2" s="1"/>
  <c r="C168" i="2" s="1"/>
  <c r="G169" i="2" l="1"/>
  <c r="B169" i="2" s="1"/>
  <c r="L169" i="2"/>
  <c r="E169" i="2"/>
  <c r="D169" i="2" s="1"/>
  <c r="C169" i="2" s="1"/>
  <c r="G170" i="2" l="1"/>
  <c r="B170" i="2" s="1"/>
  <c r="L170" i="2"/>
  <c r="E170" i="2"/>
  <c r="D170" i="2" s="1"/>
  <c r="C170" i="2" s="1"/>
  <c r="G171" i="2" l="1"/>
  <c r="B171" i="2" s="1"/>
  <c r="L171" i="2"/>
  <c r="E171" i="2"/>
  <c r="D171" i="2" s="1"/>
  <c r="C171" i="2" s="1"/>
  <c r="G172" i="2" l="1"/>
  <c r="B172" i="2" s="1"/>
  <c r="L172" i="2"/>
  <c r="E172" i="2"/>
  <c r="D172" i="2" s="1"/>
  <c r="C172" i="2" s="1"/>
  <c r="G173" i="2" l="1"/>
  <c r="B173" i="2" s="1"/>
  <c r="L173" i="2"/>
  <c r="E173" i="2"/>
  <c r="D173" i="2" s="1"/>
  <c r="C173" i="2" s="1"/>
  <c r="G174" i="2" l="1"/>
  <c r="B174" i="2" s="1"/>
  <c r="L174" i="2"/>
  <c r="E174" i="2"/>
  <c r="D174" i="2" s="1"/>
  <c r="C174" i="2" s="1"/>
  <c r="G175" i="2" l="1"/>
  <c r="B175" i="2" s="1"/>
  <c r="L175" i="2"/>
  <c r="E175" i="2"/>
  <c r="D175" i="2" s="1"/>
  <c r="C175" i="2" s="1"/>
  <c r="G176" i="2" l="1"/>
  <c r="B176" i="2" s="1"/>
  <c r="L176" i="2"/>
  <c r="E176" i="2"/>
  <c r="D176" i="2" s="1"/>
  <c r="C176" i="2" s="1"/>
  <c r="G177" i="2" l="1"/>
  <c r="B177" i="2" s="1"/>
  <c r="L177" i="2"/>
  <c r="E177" i="2"/>
  <c r="D177" i="2" s="1"/>
  <c r="C177" i="2" s="1"/>
  <c r="G178" i="2" l="1"/>
  <c r="B178" i="2" s="1"/>
  <c r="L178" i="2"/>
  <c r="E178" i="2"/>
  <c r="D178" i="2" s="1"/>
  <c r="C178" i="2" s="1"/>
  <c r="G179" i="2" l="1"/>
  <c r="B179" i="2" s="1"/>
  <c r="L179" i="2"/>
  <c r="E179" i="2"/>
  <c r="D179" i="2" s="1"/>
  <c r="C179" i="2" s="1"/>
  <c r="G180" i="2" l="1"/>
  <c r="B180" i="2" s="1"/>
  <c r="L180" i="2"/>
  <c r="E180" i="2"/>
  <c r="D180" i="2" s="1"/>
  <c r="C180" i="2" s="1"/>
  <c r="G181" i="2" l="1"/>
  <c r="B181" i="2" s="1"/>
  <c r="L181" i="2"/>
  <c r="E181" i="2"/>
  <c r="D181" i="2" s="1"/>
  <c r="C181" i="2" s="1"/>
  <c r="G182" i="2" l="1"/>
  <c r="B182" i="2" s="1"/>
  <c r="L182" i="2"/>
  <c r="E182" i="2"/>
  <c r="D182" i="2" s="1"/>
  <c r="C182" i="2" s="1"/>
  <c r="G183" i="2" l="1"/>
  <c r="B183" i="2" s="1"/>
  <c r="L183" i="2"/>
  <c r="E183" i="2"/>
  <c r="D183" i="2" s="1"/>
  <c r="C183" i="2" s="1"/>
  <c r="G184" i="2" l="1"/>
  <c r="B184" i="2" s="1"/>
  <c r="L184" i="2"/>
  <c r="E184" i="2"/>
  <c r="D184" i="2" s="1"/>
  <c r="C184" i="2" s="1"/>
  <c r="G185" i="2" l="1"/>
  <c r="B185" i="2" s="1"/>
  <c r="L185" i="2"/>
  <c r="E185" i="2"/>
  <c r="D185" i="2" s="1"/>
  <c r="C185" i="2" s="1"/>
  <c r="G186" i="2" l="1"/>
  <c r="B186" i="2" s="1"/>
  <c r="L186" i="2"/>
  <c r="E186" i="2"/>
  <c r="D186" i="2" s="1"/>
  <c r="C186" i="2" s="1"/>
  <c r="G187" i="2" l="1"/>
  <c r="B187" i="2" s="1"/>
  <c r="L187" i="2"/>
  <c r="E187" i="2"/>
  <c r="D187" i="2" s="1"/>
  <c r="C187" i="2" s="1"/>
  <c r="G188" i="2" l="1"/>
  <c r="B188" i="2" s="1"/>
  <c r="L188" i="2"/>
  <c r="E188" i="2"/>
  <c r="D188" i="2" s="1"/>
  <c r="C188" i="2" s="1"/>
  <c r="G189" i="2" l="1"/>
  <c r="B189" i="2" s="1"/>
  <c r="L189" i="2"/>
  <c r="E189" i="2"/>
  <c r="D189" i="2" s="1"/>
  <c r="C189" i="2" s="1"/>
  <c r="G190" i="2" l="1"/>
  <c r="B190" i="2" s="1"/>
  <c r="L190" i="2"/>
  <c r="E190" i="2"/>
  <c r="D190" i="2" s="1"/>
  <c r="C190" i="2" s="1"/>
  <c r="G191" i="2" l="1"/>
  <c r="B191" i="2" s="1"/>
  <c r="L191" i="2"/>
  <c r="E191" i="2"/>
  <c r="D191" i="2" s="1"/>
  <c r="C191" i="2" s="1"/>
  <c r="G192" i="2" l="1"/>
  <c r="B192" i="2" s="1"/>
  <c r="L192" i="2"/>
  <c r="E192" i="2"/>
  <c r="D192" i="2" s="1"/>
  <c r="C192" i="2" s="1"/>
  <c r="G193" i="2" l="1"/>
  <c r="B193" i="2" s="1"/>
  <c r="L193" i="2"/>
  <c r="E193" i="2"/>
  <c r="D193" i="2" s="1"/>
  <c r="C193" i="2" s="1"/>
  <c r="G194" i="2" l="1"/>
  <c r="B194" i="2" s="1"/>
  <c r="L194" i="2"/>
  <c r="E194" i="2"/>
  <c r="D194" i="2" s="1"/>
  <c r="C194" i="2" s="1"/>
  <c r="G195" i="2" l="1"/>
  <c r="B195" i="2" s="1"/>
  <c r="L195" i="2"/>
  <c r="E195" i="2"/>
  <c r="D195" i="2" s="1"/>
  <c r="C195" i="2" s="1"/>
  <c r="G196" i="2" l="1"/>
  <c r="B196" i="2" s="1"/>
  <c r="L196" i="2"/>
  <c r="E196" i="2"/>
  <c r="D196" i="2" s="1"/>
  <c r="C196" i="2" s="1"/>
  <c r="G197" i="2" l="1"/>
  <c r="B197" i="2" s="1"/>
  <c r="L197" i="2"/>
  <c r="E197" i="2"/>
  <c r="D197" i="2" s="1"/>
  <c r="C197" i="2" s="1"/>
  <c r="G198" i="2" l="1"/>
  <c r="B198" i="2" s="1"/>
  <c r="L198" i="2"/>
  <c r="E198" i="2"/>
  <c r="D198" i="2" s="1"/>
  <c r="C198" i="2" s="1"/>
  <c r="G199" i="2" l="1"/>
  <c r="B199" i="2" s="1"/>
  <c r="L199" i="2"/>
  <c r="E199" i="2"/>
  <c r="D199" i="2" s="1"/>
  <c r="C199" i="2" s="1"/>
  <c r="G200" i="2" l="1"/>
  <c r="B200" i="2" s="1"/>
  <c r="L200" i="2"/>
  <c r="E200" i="2"/>
  <c r="D200" i="2" s="1"/>
  <c r="C200" i="2" s="1"/>
  <c r="G201" i="2" l="1"/>
  <c r="B201" i="2" s="1"/>
  <c r="L201" i="2"/>
  <c r="E201" i="2"/>
  <c r="D201" i="2" s="1"/>
  <c r="C201" i="2" s="1"/>
  <c r="G202" i="2" l="1"/>
  <c r="B202" i="2" s="1"/>
  <c r="L202" i="2"/>
  <c r="E202" i="2"/>
  <c r="D202" i="2" s="1"/>
  <c r="C202" i="2" s="1"/>
  <c r="G203" i="2" l="1"/>
  <c r="B203" i="2" s="1"/>
  <c r="L203" i="2"/>
  <c r="E203" i="2"/>
  <c r="D203" i="2" s="1"/>
  <c r="C203" i="2" s="1"/>
  <c r="G204" i="2" l="1"/>
  <c r="B204" i="2" s="1"/>
  <c r="L204" i="2"/>
  <c r="E204" i="2"/>
  <c r="D204" i="2" s="1"/>
  <c r="C204" i="2" s="1"/>
  <c r="G205" i="2" l="1"/>
  <c r="B205" i="2" s="1"/>
  <c r="L205" i="2"/>
  <c r="E205" i="2"/>
  <c r="D205" i="2" s="1"/>
  <c r="C205" i="2" s="1"/>
  <c r="G206" i="2" l="1"/>
  <c r="B206" i="2" s="1"/>
  <c r="L206" i="2"/>
  <c r="E206" i="2"/>
  <c r="D206" i="2" s="1"/>
  <c r="C206" i="2" s="1"/>
  <c r="G207" i="2" l="1"/>
  <c r="B207" i="2" s="1"/>
  <c r="L207" i="2"/>
  <c r="E207" i="2"/>
  <c r="D207" i="2" s="1"/>
  <c r="C207" i="2" s="1"/>
  <c r="G208" i="2" l="1"/>
  <c r="B208" i="2" s="1"/>
  <c r="L208" i="2"/>
  <c r="E208" i="2"/>
  <c r="D208" i="2" s="1"/>
  <c r="C208" i="2" s="1"/>
  <c r="G209" i="2" l="1"/>
  <c r="B209" i="2" s="1"/>
  <c r="L209" i="2"/>
  <c r="E209" i="2"/>
  <c r="D209" i="2" s="1"/>
  <c r="C209" i="2" s="1"/>
  <c r="G210" i="2" l="1"/>
  <c r="B210" i="2" s="1"/>
  <c r="L210" i="2"/>
  <c r="E210" i="2"/>
  <c r="D210" i="2" s="1"/>
  <c r="C210" i="2" s="1"/>
  <c r="G211" i="2" l="1"/>
  <c r="B211" i="2" s="1"/>
  <c r="L211" i="2"/>
  <c r="E211" i="2"/>
  <c r="D211" i="2" s="1"/>
  <c r="C211" i="2" s="1"/>
  <c r="G212" i="2" l="1"/>
  <c r="B212" i="2" s="1"/>
  <c r="L212" i="2"/>
  <c r="E212" i="2"/>
  <c r="D212" i="2" s="1"/>
  <c r="C212" i="2" s="1"/>
  <c r="G213" i="2" l="1"/>
  <c r="B213" i="2" s="1"/>
  <c r="L213" i="2"/>
  <c r="E213" i="2"/>
  <c r="D213" i="2" s="1"/>
  <c r="C213" i="2" s="1"/>
  <c r="G214" i="2" l="1"/>
  <c r="B214" i="2" s="1"/>
  <c r="L214" i="2"/>
  <c r="E214" i="2"/>
  <c r="D214" i="2" s="1"/>
  <c r="C214" i="2" s="1"/>
  <c r="G215" i="2" l="1"/>
  <c r="B215" i="2" s="1"/>
  <c r="L215" i="2"/>
  <c r="E215" i="2"/>
  <c r="D215" i="2" s="1"/>
  <c r="C215" i="2" s="1"/>
  <c r="G216" i="2" l="1"/>
  <c r="B216" i="2" s="1"/>
  <c r="L216" i="2"/>
  <c r="E216" i="2"/>
  <c r="D216" i="2" s="1"/>
  <c r="C216" i="2" s="1"/>
  <c r="G217" i="2" l="1"/>
  <c r="B217" i="2" s="1"/>
  <c r="L217" i="2"/>
  <c r="E217" i="2"/>
  <c r="D217" i="2" s="1"/>
  <c r="C217" i="2" s="1"/>
  <c r="G218" i="2" l="1"/>
  <c r="B218" i="2" s="1"/>
  <c r="L218" i="2"/>
  <c r="E218" i="2"/>
  <c r="D218" i="2" s="1"/>
  <c r="C218" i="2" s="1"/>
  <c r="G219" i="2" l="1"/>
  <c r="B219" i="2" s="1"/>
  <c r="L219" i="2"/>
  <c r="E219" i="2"/>
  <c r="D219" i="2" s="1"/>
  <c r="C219" i="2" s="1"/>
  <c r="G220" i="2" l="1"/>
  <c r="B220" i="2" s="1"/>
  <c r="L220" i="2"/>
  <c r="E220" i="2"/>
  <c r="D220" i="2" s="1"/>
  <c r="C220" i="2" s="1"/>
  <c r="G221" i="2" l="1"/>
  <c r="B221" i="2" s="1"/>
  <c r="L221" i="2"/>
  <c r="E221" i="2"/>
  <c r="D221" i="2" s="1"/>
  <c r="C221" i="2" s="1"/>
  <c r="G222" i="2" l="1"/>
  <c r="B222" i="2" s="1"/>
  <c r="L222" i="2"/>
  <c r="E222" i="2"/>
  <c r="D222" i="2" s="1"/>
  <c r="C222" i="2" s="1"/>
  <c r="G223" i="2" l="1"/>
  <c r="B223" i="2" s="1"/>
  <c r="L223" i="2"/>
  <c r="E223" i="2"/>
  <c r="D223" i="2" s="1"/>
  <c r="C223" i="2" s="1"/>
  <c r="G224" i="2" l="1"/>
  <c r="B224" i="2" s="1"/>
  <c r="L224" i="2"/>
  <c r="E224" i="2"/>
  <c r="D224" i="2" s="1"/>
  <c r="C224" i="2" s="1"/>
  <c r="G225" i="2" l="1"/>
  <c r="B225" i="2" s="1"/>
  <c r="L225" i="2"/>
  <c r="E225" i="2"/>
  <c r="D225" i="2" s="1"/>
  <c r="C225" i="2" s="1"/>
  <c r="G226" i="2" l="1"/>
  <c r="B226" i="2" s="1"/>
  <c r="L226" i="2"/>
  <c r="E226" i="2"/>
  <c r="D226" i="2" s="1"/>
  <c r="C226" i="2" s="1"/>
  <c r="G227" i="2" l="1"/>
  <c r="B227" i="2" s="1"/>
  <c r="L227" i="2"/>
  <c r="E227" i="2"/>
  <c r="D227" i="2" s="1"/>
  <c r="C227" i="2" s="1"/>
  <c r="G228" i="2" l="1"/>
  <c r="B228" i="2" s="1"/>
  <c r="L228" i="2"/>
  <c r="E228" i="2"/>
  <c r="D228" i="2" s="1"/>
  <c r="C228" i="2" s="1"/>
  <c r="G229" i="2" l="1"/>
  <c r="B229" i="2" s="1"/>
  <c r="L229" i="2"/>
  <c r="E229" i="2"/>
  <c r="D229" i="2" s="1"/>
  <c r="C229" i="2" s="1"/>
  <c r="G230" i="2" l="1"/>
  <c r="B230" i="2" s="1"/>
  <c r="L230" i="2"/>
  <c r="E230" i="2"/>
  <c r="D230" i="2" s="1"/>
  <c r="C230" i="2" s="1"/>
  <c r="G231" i="2" l="1"/>
  <c r="B231" i="2" s="1"/>
  <c r="L231" i="2"/>
  <c r="E231" i="2"/>
  <c r="D231" i="2" s="1"/>
  <c r="C231" i="2" s="1"/>
  <c r="G232" i="2" l="1"/>
  <c r="B232" i="2" s="1"/>
  <c r="L232" i="2"/>
  <c r="E232" i="2"/>
  <c r="D232" i="2" s="1"/>
  <c r="C232" i="2" s="1"/>
  <c r="G233" i="2" l="1"/>
  <c r="B233" i="2" s="1"/>
  <c r="L233" i="2"/>
  <c r="E233" i="2"/>
  <c r="D233" i="2" s="1"/>
  <c r="C233" i="2" s="1"/>
  <c r="G234" i="2" l="1"/>
  <c r="B234" i="2" s="1"/>
  <c r="L234" i="2"/>
  <c r="E234" i="2"/>
  <c r="D234" i="2" s="1"/>
  <c r="C234" i="2" s="1"/>
  <c r="G235" i="2" l="1"/>
  <c r="B235" i="2" s="1"/>
  <c r="L235" i="2"/>
  <c r="E235" i="2"/>
  <c r="D235" i="2" s="1"/>
  <c r="C235" i="2" s="1"/>
  <c r="G236" i="2" l="1"/>
  <c r="B236" i="2" s="1"/>
  <c r="L236" i="2"/>
  <c r="E236" i="2"/>
  <c r="D236" i="2" s="1"/>
  <c r="C236" i="2" s="1"/>
  <c r="G237" i="2" l="1"/>
  <c r="B237" i="2" s="1"/>
  <c r="L237" i="2"/>
  <c r="E237" i="2"/>
  <c r="D237" i="2" s="1"/>
  <c r="C237" i="2" s="1"/>
  <c r="G238" i="2" l="1"/>
  <c r="B238" i="2" s="1"/>
  <c r="L238" i="2"/>
  <c r="E238" i="2"/>
  <c r="D238" i="2" s="1"/>
  <c r="C238" i="2" s="1"/>
  <c r="G239" i="2" l="1"/>
  <c r="B239" i="2" s="1"/>
  <c r="L239" i="2"/>
  <c r="E239" i="2"/>
  <c r="D239" i="2" s="1"/>
  <c r="C239" i="2" s="1"/>
  <c r="G240" i="2" l="1"/>
  <c r="B240" i="2" s="1"/>
  <c r="L240" i="2"/>
  <c r="E240" i="2"/>
  <c r="D240" i="2" s="1"/>
  <c r="C240" i="2" s="1"/>
  <c r="G241" i="2" l="1"/>
  <c r="B241" i="2" s="1"/>
  <c r="L241" i="2"/>
  <c r="E241" i="2"/>
  <c r="D241" i="2" s="1"/>
  <c r="C241" i="2" s="1"/>
  <c r="G242" i="2" l="1"/>
  <c r="B242" i="2" s="1"/>
  <c r="L242" i="2"/>
  <c r="E242" i="2"/>
  <c r="D242" i="2" s="1"/>
  <c r="C242" i="2" s="1"/>
  <c r="G243" i="2" l="1"/>
  <c r="B243" i="2" s="1"/>
  <c r="L243" i="2"/>
  <c r="E243" i="2"/>
  <c r="D243" i="2" s="1"/>
  <c r="C243" i="2" s="1"/>
  <c r="G244" i="2" l="1"/>
  <c r="B244" i="2" s="1"/>
  <c r="L244" i="2"/>
  <c r="E244" i="2"/>
  <c r="D244" i="2" s="1"/>
  <c r="C244" i="2" s="1"/>
  <c r="G245" i="2" l="1"/>
  <c r="B245" i="2" s="1"/>
  <c r="L245" i="2"/>
  <c r="E245" i="2"/>
  <c r="D245" i="2" s="1"/>
  <c r="C245" i="2" s="1"/>
  <c r="G246" i="2" l="1"/>
  <c r="B246" i="2" s="1"/>
  <c r="L246" i="2"/>
  <c r="E246" i="2"/>
  <c r="D246" i="2" s="1"/>
  <c r="C246" i="2" s="1"/>
  <c r="G247" i="2" l="1"/>
  <c r="B247" i="2" s="1"/>
  <c r="L247" i="2"/>
  <c r="E247" i="2"/>
  <c r="D247" i="2" s="1"/>
  <c r="C247" i="2" s="1"/>
  <c r="G248" i="2" l="1"/>
  <c r="B248" i="2" s="1"/>
  <c r="L248" i="2"/>
  <c r="E248" i="2"/>
  <c r="D248" i="2" s="1"/>
  <c r="C248" i="2" s="1"/>
  <c r="G249" i="2" l="1"/>
  <c r="B249" i="2" s="1"/>
  <c r="L249" i="2"/>
  <c r="E249" i="2"/>
  <c r="D249" i="2" s="1"/>
  <c r="C249" i="2" s="1"/>
  <c r="G250" i="2" l="1"/>
  <c r="B250" i="2" s="1"/>
  <c r="L250" i="2"/>
  <c r="E250" i="2"/>
  <c r="D250" i="2" s="1"/>
  <c r="C250" i="2" s="1"/>
  <c r="G251" i="2" l="1"/>
  <c r="B251" i="2" s="1"/>
  <c r="L251" i="2"/>
  <c r="E251" i="2"/>
  <c r="D251" i="2" s="1"/>
  <c r="C251" i="2" s="1"/>
  <c r="G252" i="2" l="1"/>
  <c r="B252" i="2" s="1"/>
  <c r="L252" i="2"/>
  <c r="E252" i="2"/>
  <c r="D252" i="2" s="1"/>
  <c r="C252" i="2" s="1"/>
  <c r="G253" i="2" l="1"/>
  <c r="B253" i="2" s="1"/>
  <c r="L253" i="2"/>
  <c r="E253" i="2"/>
  <c r="D253" i="2" s="1"/>
  <c r="C253" i="2" s="1"/>
  <c r="G254" i="2" l="1"/>
  <c r="B254" i="2" s="1"/>
  <c r="L254" i="2"/>
  <c r="E254" i="2"/>
  <c r="D254" i="2" s="1"/>
  <c r="C254" i="2" s="1"/>
  <c r="G255" i="2" l="1"/>
  <c r="B255" i="2" s="1"/>
  <c r="L255" i="2"/>
  <c r="E255" i="2"/>
  <c r="D255" i="2" s="1"/>
  <c r="C255" i="2" s="1"/>
  <c r="G256" i="2" l="1"/>
  <c r="B256" i="2" s="1"/>
  <c r="L256" i="2"/>
  <c r="E256" i="2"/>
  <c r="D256" i="2" s="1"/>
  <c r="C256" i="2" s="1"/>
  <c r="G257" i="2" l="1"/>
  <c r="B257" i="2" s="1"/>
  <c r="L257" i="2"/>
  <c r="E257" i="2"/>
  <c r="D257" i="2" s="1"/>
  <c r="C257" i="2" s="1"/>
  <c r="G258" i="2" l="1"/>
  <c r="B258" i="2" s="1"/>
  <c r="L258" i="2"/>
  <c r="E258" i="2"/>
  <c r="D258" i="2" s="1"/>
  <c r="C258" i="2" s="1"/>
  <c r="G259" i="2" l="1"/>
  <c r="B259" i="2" s="1"/>
  <c r="L259" i="2"/>
  <c r="E259" i="2"/>
  <c r="D259" i="2" s="1"/>
  <c r="C259" i="2" s="1"/>
  <c r="G260" i="2" l="1"/>
  <c r="B260" i="2" s="1"/>
  <c r="L260" i="2"/>
  <c r="E260" i="2"/>
  <c r="D260" i="2" s="1"/>
  <c r="C260" i="2" s="1"/>
  <c r="G261" i="2" l="1"/>
  <c r="B261" i="2" s="1"/>
  <c r="L261" i="2"/>
  <c r="E261" i="2"/>
  <c r="D261" i="2" s="1"/>
  <c r="C261" i="2" s="1"/>
  <c r="G262" i="2" l="1"/>
  <c r="B262" i="2" s="1"/>
  <c r="L262" i="2"/>
  <c r="E262" i="2"/>
  <c r="D262" i="2" s="1"/>
  <c r="C262" i="2" s="1"/>
  <c r="G263" i="2" l="1"/>
  <c r="B263" i="2" s="1"/>
  <c r="L263" i="2"/>
  <c r="E263" i="2"/>
  <c r="D263" i="2" s="1"/>
  <c r="C263" i="2" s="1"/>
  <c r="G264" i="2" l="1"/>
  <c r="B264" i="2" s="1"/>
  <c r="L264" i="2"/>
  <c r="E264" i="2"/>
  <c r="D264" i="2" s="1"/>
  <c r="C264" i="2" s="1"/>
  <c r="G265" i="2" l="1"/>
  <c r="B265" i="2" s="1"/>
  <c r="L265" i="2"/>
  <c r="E265" i="2"/>
  <c r="D265" i="2" s="1"/>
  <c r="C265" i="2" s="1"/>
  <c r="G266" i="2" l="1"/>
  <c r="B266" i="2" s="1"/>
  <c r="L266" i="2"/>
  <c r="E266" i="2"/>
  <c r="D266" i="2" s="1"/>
  <c r="C266" i="2" s="1"/>
  <c r="G267" i="2" l="1"/>
  <c r="B267" i="2" s="1"/>
  <c r="L267" i="2"/>
  <c r="E267" i="2"/>
  <c r="D267" i="2" s="1"/>
  <c r="C267" i="2" s="1"/>
  <c r="G268" i="2" l="1"/>
  <c r="B268" i="2" s="1"/>
  <c r="L268" i="2"/>
  <c r="E268" i="2"/>
  <c r="D268" i="2" s="1"/>
  <c r="C268" i="2" s="1"/>
  <c r="G269" i="2" l="1"/>
  <c r="B269" i="2" s="1"/>
  <c r="L269" i="2"/>
  <c r="E269" i="2"/>
  <c r="D269" i="2" s="1"/>
  <c r="C269" i="2" s="1"/>
  <c r="G270" i="2" l="1"/>
  <c r="B270" i="2" s="1"/>
  <c r="L270" i="2"/>
  <c r="E270" i="2"/>
  <c r="D270" i="2" s="1"/>
  <c r="C270" i="2" s="1"/>
  <c r="G271" i="2" l="1"/>
  <c r="B271" i="2" s="1"/>
  <c r="L271" i="2"/>
  <c r="E271" i="2"/>
  <c r="D271" i="2" s="1"/>
  <c r="C271" i="2" s="1"/>
  <c r="G272" i="2" l="1"/>
  <c r="B272" i="2" s="1"/>
  <c r="L272" i="2"/>
  <c r="E272" i="2"/>
  <c r="D272" i="2" s="1"/>
  <c r="C272" i="2" s="1"/>
  <c r="G273" i="2" l="1"/>
  <c r="B273" i="2" s="1"/>
  <c r="L273" i="2"/>
  <c r="E273" i="2"/>
  <c r="D273" i="2" s="1"/>
  <c r="C273" i="2" s="1"/>
  <c r="G274" i="2" l="1"/>
  <c r="B274" i="2" s="1"/>
  <c r="L274" i="2"/>
  <c r="E274" i="2"/>
  <c r="D274" i="2" s="1"/>
  <c r="C274" i="2" s="1"/>
  <c r="G275" i="2" l="1"/>
  <c r="B275" i="2" s="1"/>
  <c r="L275" i="2"/>
  <c r="E275" i="2"/>
  <c r="D275" i="2" s="1"/>
  <c r="C275" i="2" s="1"/>
  <c r="G276" i="2" l="1"/>
  <c r="B276" i="2" s="1"/>
  <c r="L276" i="2"/>
  <c r="E276" i="2"/>
  <c r="D276" i="2" s="1"/>
  <c r="C276" i="2" s="1"/>
  <c r="G277" i="2" l="1"/>
  <c r="B277" i="2" s="1"/>
  <c r="L277" i="2"/>
  <c r="E277" i="2"/>
  <c r="D277" i="2" s="1"/>
  <c r="C277" i="2" s="1"/>
  <c r="G278" i="2" l="1"/>
  <c r="B278" i="2" s="1"/>
  <c r="L278" i="2"/>
  <c r="E278" i="2"/>
  <c r="D278" i="2" s="1"/>
  <c r="C278" i="2" s="1"/>
  <c r="G279" i="2" l="1"/>
  <c r="B279" i="2" s="1"/>
  <c r="L279" i="2"/>
  <c r="E279" i="2"/>
  <c r="D279" i="2" s="1"/>
  <c r="C279" i="2" s="1"/>
  <c r="G280" i="2" l="1"/>
  <c r="B280" i="2" s="1"/>
  <c r="L280" i="2"/>
  <c r="E280" i="2"/>
  <c r="D280" i="2" s="1"/>
  <c r="C280" i="2" s="1"/>
  <c r="G281" i="2" l="1"/>
  <c r="B281" i="2" s="1"/>
  <c r="L281" i="2"/>
  <c r="E281" i="2"/>
  <c r="D281" i="2" s="1"/>
  <c r="C281" i="2" s="1"/>
  <c r="G282" i="2" l="1"/>
  <c r="B282" i="2" s="1"/>
  <c r="L282" i="2"/>
  <c r="E282" i="2"/>
  <c r="D282" i="2" s="1"/>
  <c r="C282" i="2" s="1"/>
  <c r="G283" i="2" l="1"/>
  <c r="B283" i="2" s="1"/>
  <c r="L283" i="2"/>
  <c r="E283" i="2"/>
  <c r="D283" i="2" s="1"/>
  <c r="C283" i="2" s="1"/>
  <c r="G284" i="2" l="1"/>
  <c r="B284" i="2" s="1"/>
  <c r="L284" i="2"/>
  <c r="E284" i="2"/>
  <c r="D284" i="2" s="1"/>
  <c r="C284" i="2" s="1"/>
  <c r="G285" i="2" l="1"/>
  <c r="B285" i="2" s="1"/>
  <c r="L285" i="2"/>
  <c r="E285" i="2"/>
  <c r="D285" i="2" s="1"/>
  <c r="C285" i="2" s="1"/>
  <c r="G286" i="2" l="1"/>
  <c r="B286" i="2" s="1"/>
  <c r="L286" i="2"/>
  <c r="E286" i="2"/>
  <c r="D286" i="2" s="1"/>
  <c r="C286" i="2" s="1"/>
  <c r="G287" i="2" l="1"/>
  <c r="B287" i="2" s="1"/>
  <c r="L287" i="2"/>
  <c r="E287" i="2"/>
  <c r="D287" i="2" s="1"/>
  <c r="C287" i="2" s="1"/>
  <c r="G288" i="2" l="1"/>
  <c r="B288" i="2" s="1"/>
  <c r="L288" i="2"/>
  <c r="E288" i="2"/>
  <c r="D288" i="2" s="1"/>
  <c r="C288" i="2" s="1"/>
  <c r="G289" i="2" l="1"/>
  <c r="B289" i="2" s="1"/>
  <c r="L289" i="2"/>
  <c r="E289" i="2"/>
  <c r="D289" i="2" s="1"/>
  <c r="C289" i="2" s="1"/>
  <c r="G290" i="2" l="1"/>
  <c r="B290" i="2" s="1"/>
  <c r="L290" i="2"/>
  <c r="E290" i="2"/>
  <c r="D290" i="2" s="1"/>
  <c r="C290" i="2" s="1"/>
  <c r="G291" i="2" l="1"/>
  <c r="B291" i="2" s="1"/>
  <c r="L291" i="2"/>
  <c r="E291" i="2"/>
  <c r="D291" i="2" s="1"/>
  <c r="C291" i="2" s="1"/>
  <c r="G292" i="2" l="1"/>
  <c r="B292" i="2" s="1"/>
  <c r="L292" i="2"/>
  <c r="E292" i="2"/>
  <c r="D292" i="2" s="1"/>
  <c r="C292" i="2" s="1"/>
  <c r="G293" i="2" l="1"/>
  <c r="B293" i="2" s="1"/>
  <c r="L293" i="2"/>
  <c r="E293" i="2"/>
  <c r="D293" i="2" s="1"/>
  <c r="C293" i="2" s="1"/>
  <c r="G294" i="2" l="1"/>
  <c r="B294" i="2" s="1"/>
  <c r="L294" i="2"/>
  <c r="E294" i="2"/>
  <c r="D294" i="2" s="1"/>
  <c r="C294" i="2" s="1"/>
  <c r="G295" i="2" l="1"/>
  <c r="B295" i="2" s="1"/>
  <c r="L295" i="2"/>
  <c r="E295" i="2"/>
  <c r="D295" i="2" s="1"/>
  <c r="C295" i="2" s="1"/>
  <c r="G296" i="2" l="1"/>
  <c r="B296" i="2" s="1"/>
  <c r="L296" i="2"/>
  <c r="E296" i="2"/>
  <c r="D296" i="2" s="1"/>
  <c r="C296" i="2" s="1"/>
  <c r="G297" i="2" l="1"/>
  <c r="B297" i="2" s="1"/>
  <c r="L297" i="2"/>
  <c r="E297" i="2"/>
  <c r="D297" i="2" s="1"/>
  <c r="C297" i="2" s="1"/>
  <c r="G298" i="2" l="1"/>
  <c r="B298" i="2" s="1"/>
  <c r="L298" i="2"/>
  <c r="E298" i="2"/>
  <c r="D298" i="2" s="1"/>
  <c r="C298" i="2" s="1"/>
  <c r="G299" i="2" l="1"/>
  <c r="B299" i="2" s="1"/>
  <c r="L299" i="2"/>
  <c r="E299" i="2"/>
  <c r="D299" i="2" s="1"/>
  <c r="C299" i="2" s="1"/>
  <c r="G300" i="2" l="1"/>
  <c r="B300" i="2" s="1"/>
  <c r="L300" i="2"/>
  <c r="E300" i="2"/>
  <c r="D300" i="2" s="1"/>
  <c r="C300" i="2" s="1"/>
  <c r="G301" i="2" l="1"/>
  <c r="B301" i="2" s="1"/>
  <c r="L301" i="2"/>
  <c r="E301" i="2"/>
  <c r="D301" i="2" s="1"/>
  <c r="C301" i="2" s="1"/>
  <c r="G302" i="2" l="1"/>
  <c r="B302" i="2" s="1"/>
  <c r="L302" i="2"/>
  <c r="E302" i="2"/>
  <c r="D302" i="2" s="1"/>
  <c r="C302" i="2" s="1"/>
  <c r="G303" i="2" l="1"/>
  <c r="B303" i="2" s="1"/>
  <c r="L303" i="2"/>
  <c r="E303" i="2"/>
  <c r="D303" i="2" s="1"/>
  <c r="C303" i="2" s="1"/>
  <c r="G304" i="2" l="1"/>
  <c r="B304" i="2" s="1"/>
  <c r="L304" i="2"/>
  <c r="E304" i="2"/>
  <c r="D304" i="2" s="1"/>
  <c r="C304" i="2" s="1"/>
  <c r="G305" i="2" l="1"/>
  <c r="B305" i="2" s="1"/>
  <c r="L305" i="2"/>
  <c r="E305" i="2"/>
  <c r="D305" i="2" s="1"/>
  <c r="C305" i="2" s="1"/>
  <c r="G306" i="2" l="1"/>
  <c r="B306" i="2" s="1"/>
  <c r="L306" i="2"/>
  <c r="E306" i="2"/>
  <c r="D306" i="2" s="1"/>
  <c r="C306" i="2" s="1"/>
  <c r="G307" i="2" l="1"/>
  <c r="B307" i="2" s="1"/>
  <c r="L307" i="2"/>
  <c r="E307" i="2"/>
  <c r="D307" i="2" s="1"/>
  <c r="C307" i="2" s="1"/>
  <c r="G308" i="2" l="1"/>
  <c r="B308" i="2" s="1"/>
  <c r="L308" i="2"/>
  <c r="E308" i="2"/>
  <c r="D308" i="2" s="1"/>
  <c r="C308" i="2" s="1"/>
  <c r="G309" i="2" l="1"/>
  <c r="B309" i="2" s="1"/>
  <c r="L309" i="2"/>
  <c r="E309" i="2"/>
  <c r="D309" i="2" s="1"/>
  <c r="C309" i="2" s="1"/>
  <c r="G310" i="2" l="1"/>
  <c r="B310" i="2" s="1"/>
  <c r="L310" i="2"/>
  <c r="E310" i="2"/>
  <c r="D310" i="2" s="1"/>
  <c r="C310" i="2" s="1"/>
  <c r="G311" i="2" l="1"/>
  <c r="B311" i="2" s="1"/>
  <c r="L311" i="2"/>
  <c r="E311" i="2"/>
  <c r="D311" i="2" s="1"/>
  <c r="C311" i="2" s="1"/>
  <c r="G312" i="2" l="1"/>
  <c r="B312" i="2" s="1"/>
  <c r="L312" i="2"/>
  <c r="E312" i="2"/>
  <c r="D312" i="2" s="1"/>
  <c r="C312" i="2" s="1"/>
  <c r="G313" i="2" l="1"/>
  <c r="B313" i="2" s="1"/>
  <c r="L313" i="2"/>
  <c r="E313" i="2"/>
  <c r="D313" i="2" s="1"/>
  <c r="C313" i="2" s="1"/>
  <c r="G314" i="2" l="1"/>
  <c r="B314" i="2" s="1"/>
  <c r="L314" i="2"/>
  <c r="E314" i="2"/>
  <c r="D314" i="2" s="1"/>
  <c r="C314" i="2" s="1"/>
  <c r="G315" i="2" l="1"/>
  <c r="B315" i="2" s="1"/>
  <c r="L315" i="2"/>
  <c r="E315" i="2"/>
  <c r="D315" i="2" s="1"/>
  <c r="C315" i="2" s="1"/>
  <c r="G316" i="2" l="1"/>
  <c r="B316" i="2" s="1"/>
  <c r="L316" i="2"/>
  <c r="E316" i="2"/>
  <c r="D316" i="2" s="1"/>
  <c r="C316" i="2" s="1"/>
  <c r="G317" i="2" l="1"/>
  <c r="B317" i="2" s="1"/>
  <c r="L317" i="2"/>
  <c r="E317" i="2"/>
  <c r="D317" i="2" s="1"/>
  <c r="C317" i="2" s="1"/>
  <c r="G318" i="2" l="1"/>
  <c r="B318" i="2" s="1"/>
  <c r="L318" i="2"/>
  <c r="E318" i="2"/>
  <c r="D318" i="2" s="1"/>
  <c r="C318" i="2" s="1"/>
  <c r="G319" i="2" l="1"/>
  <c r="B319" i="2" s="1"/>
  <c r="L319" i="2"/>
  <c r="E319" i="2"/>
  <c r="D319" i="2" s="1"/>
  <c r="C319" i="2" s="1"/>
  <c r="G320" i="2" l="1"/>
  <c r="B320" i="2" s="1"/>
  <c r="L320" i="2"/>
  <c r="E320" i="2"/>
  <c r="D320" i="2" s="1"/>
  <c r="C320" i="2" s="1"/>
  <c r="G321" i="2" l="1"/>
  <c r="B321" i="2" s="1"/>
  <c r="L321" i="2"/>
  <c r="E321" i="2"/>
  <c r="D321" i="2" s="1"/>
  <c r="C321" i="2" s="1"/>
  <c r="G322" i="2" l="1"/>
  <c r="B322" i="2" s="1"/>
  <c r="L322" i="2"/>
  <c r="E322" i="2"/>
  <c r="D322" i="2" s="1"/>
  <c r="C322" i="2" s="1"/>
  <c r="G323" i="2" l="1"/>
  <c r="B323" i="2" s="1"/>
  <c r="L323" i="2"/>
  <c r="E323" i="2"/>
  <c r="D323" i="2" s="1"/>
  <c r="C323" i="2" s="1"/>
  <c r="G324" i="2" l="1"/>
  <c r="B324" i="2" s="1"/>
  <c r="L324" i="2"/>
  <c r="E324" i="2"/>
  <c r="D324" i="2" s="1"/>
  <c r="C324" i="2" s="1"/>
  <c r="G325" i="2" l="1"/>
  <c r="B325" i="2" s="1"/>
  <c r="L325" i="2"/>
  <c r="E325" i="2"/>
  <c r="D325" i="2" s="1"/>
  <c r="C325" i="2" s="1"/>
  <c r="G326" i="2" l="1"/>
  <c r="B326" i="2" s="1"/>
  <c r="L326" i="2"/>
  <c r="E326" i="2"/>
  <c r="D326" i="2" s="1"/>
  <c r="C326" i="2" s="1"/>
  <c r="G327" i="2" l="1"/>
  <c r="B327" i="2" s="1"/>
  <c r="L327" i="2"/>
  <c r="E327" i="2"/>
  <c r="D327" i="2" s="1"/>
  <c r="C327" i="2" s="1"/>
  <c r="G328" i="2" l="1"/>
  <c r="B328" i="2" s="1"/>
  <c r="L328" i="2"/>
  <c r="E328" i="2"/>
  <c r="D328" i="2" s="1"/>
  <c r="C328" i="2" s="1"/>
  <c r="G329" i="2" l="1"/>
  <c r="B329" i="2" s="1"/>
  <c r="L329" i="2"/>
  <c r="E329" i="2"/>
  <c r="D329" i="2" s="1"/>
  <c r="C329" i="2" s="1"/>
  <c r="G330" i="2" l="1"/>
  <c r="B330" i="2" s="1"/>
  <c r="L330" i="2"/>
  <c r="E330" i="2"/>
  <c r="D330" i="2" s="1"/>
  <c r="C330" i="2" s="1"/>
  <c r="G331" i="2" l="1"/>
  <c r="B331" i="2" s="1"/>
  <c r="L331" i="2"/>
  <c r="E331" i="2"/>
  <c r="D331" i="2" s="1"/>
  <c r="C331" i="2" s="1"/>
  <c r="G332" i="2" l="1"/>
  <c r="B332" i="2" s="1"/>
  <c r="L332" i="2"/>
  <c r="E332" i="2"/>
  <c r="D332" i="2" s="1"/>
  <c r="C332" i="2" s="1"/>
  <c r="G333" i="2" l="1"/>
  <c r="B333" i="2" s="1"/>
  <c r="L333" i="2"/>
  <c r="E333" i="2"/>
  <c r="D333" i="2" s="1"/>
  <c r="C333" i="2" s="1"/>
  <c r="G334" i="2" l="1"/>
  <c r="B334" i="2" s="1"/>
  <c r="L334" i="2"/>
  <c r="E334" i="2"/>
  <c r="D334" i="2" s="1"/>
  <c r="C334" i="2" s="1"/>
  <c r="G335" i="2" l="1"/>
  <c r="B335" i="2" s="1"/>
  <c r="L335" i="2"/>
  <c r="E335" i="2"/>
  <c r="D335" i="2" s="1"/>
  <c r="C335" i="2" s="1"/>
  <c r="G336" i="2" l="1"/>
  <c r="B336" i="2" s="1"/>
  <c r="L336" i="2"/>
  <c r="E336" i="2"/>
  <c r="D336" i="2" s="1"/>
  <c r="C336" i="2" s="1"/>
  <c r="G337" i="2" l="1"/>
  <c r="B337" i="2" s="1"/>
  <c r="L337" i="2"/>
  <c r="E337" i="2"/>
  <c r="D337" i="2" s="1"/>
  <c r="C337" i="2" s="1"/>
  <c r="G338" i="2" l="1"/>
  <c r="B338" i="2" s="1"/>
  <c r="L338" i="2"/>
  <c r="E338" i="2"/>
  <c r="D338" i="2" s="1"/>
  <c r="C338" i="2" s="1"/>
  <c r="G339" i="2" l="1"/>
  <c r="B339" i="2" s="1"/>
  <c r="L339" i="2"/>
  <c r="E339" i="2"/>
  <c r="D339" i="2" s="1"/>
  <c r="C339" i="2" s="1"/>
  <c r="G340" i="2" l="1"/>
  <c r="B340" i="2" s="1"/>
  <c r="L340" i="2"/>
  <c r="E340" i="2"/>
  <c r="D340" i="2" s="1"/>
  <c r="C340" i="2" s="1"/>
  <c r="G341" i="2" l="1"/>
  <c r="B341" i="2" s="1"/>
  <c r="L341" i="2"/>
  <c r="E341" i="2"/>
  <c r="D341" i="2" s="1"/>
  <c r="C341" i="2" s="1"/>
  <c r="G342" i="2" l="1"/>
  <c r="B342" i="2" s="1"/>
  <c r="L342" i="2"/>
  <c r="E342" i="2"/>
  <c r="D342" i="2" s="1"/>
  <c r="C342" i="2" s="1"/>
  <c r="G343" i="2" l="1"/>
  <c r="B343" i="2" s="1"/>
  <c r="L343" i="2"/>
  <c r="E343" i="2"/>
  <c r="D343" i="2" s="1"/>
  <c r="C343" i="2" s="1"/>
  <c r="G344" i="2" l="1"/>
  <c r="B344" i="2" s="1"/>
  <c r="L344" i="2"/>
  <c r="E344" i="2"/>
  <c r="D344" i="2" s="1"/>
  <c r="C344" i="2" s="1"/>
  <c r="G345" i="2" l="1"/>
  <c r="B345" i="2" s="1"/>
  <c r="L345" i="2"/>
  <c r="E345" i="2"/>
  <c r="D345" i="2" s="1"/>
  <c r="C345" i="2" s="1"/>
  <c r="G346" i="2" l="1"/>
  <c r="B346" i="2" s="1"/>
  <c r="L346" i="2"/>
  <c r="E346" i="2"/>
  <c r="D346" i="2" s="1"/>
  <c r="C346" i="2" s="1"/>
  <c r="G347" i="2" l="1"/>
  <c r="B347" i="2" s="1"/>
  <c r="L347" i="2"/>
  <c r="E347" i="2"/>
  <c r="D347" i="2" s="1"/>
  <c r="C347" i="2" s="1"/>
  <c r="G348" i="2" l="1"/>
  <c r="B348" i="2" s="1"/>
  <c r="L348" i="2"/>
  <c r="E348" i="2"/>
  <c r="D348" i="2" s="1"/>
  <c r="C348" i="2" s="1"/>
  <c r="G349" i="2" l="1"/>
  <c r="B349" i="2" s="1"/>
  <c r="L349" i="2"/>
  <c r="E349" i="2"/>
  <c r="D349" i="2" s="1"/>
  <c r="C349" i="2" s="1"/>
  <c r="G350" i="2" l="1"/>
  <c r="B350" i="2" s="1"/>
  <c r="L350" i="2"/>
  <c r="E350" i="2"/>
  <c r="D350" i="2" s="1"/>
  <c r="C350" i="2" s="1"/>
  <c r="G351" i="2" l="1"/>
  <c r="B351" i="2" s="1"/>
  <c r="L351" i="2"/>
  <c r="E351" i="2"/>
  <c r="D351" i="2" s="1"/>
  <c r="C351" i="2" s="1"/>
  <c r="G352" i="2" l="1"/>
  <c r="B352" i="2" s="1"/>
  <c r="L352" i="2"/>
  <c r="E352" i="2"/>
  <c r="D352" i="2" s="1"/>
  <c r="C352" i="2" s="1"/>
  <c r="G353" i="2" l="1"/>
  <c r="B353" i="2" s="1"/>
  <c r="L353" i="2"/>
  <c r="E353" i="2"/>
  <c r="D353" i="2" s="1"/>
  <c r="C353" i="2" s="1"/>
  <c r="G354" i="2" l="1"/>
  <c r="B354" i="2" s="1"/>
  <c r="L354" i="2"/>
  <c r="E354" i="2"/>
  <c r="D354" i="2" s="1"/>
  <c r="C354" i="2" s="1"/>
  <c r="G355" i="2" l="1"/>
  <c r="B355" i="2" s="1"/>
  <c r="L355" i="2"/>
  <c r="E355" i="2"/>
  <c r="D355" i="2" s="1"/>
  <c r="C355" i="2" s="1"/>
  <c r="G356" i="2" l="1"/>
  <c r="B356" i="2" s="1"/>
  <c r="L356" i="2"/>
  <c r="E356" i="2"/>
  <c r="D356" i="2" s="1"/>
  <c r="C356" i="2" s="1"/>
  <c r="G357" i="2" l="1"/>
  <c r="B357" i="2" s="1"/>
  <c r="L357" i="2"/>
  <c r="E357" i="2"/>
  <c r="D357" i="2" s="1"/>
  <c r="C357" i="2" s="1"/>
  <c r="G358" i="2" l="1"/>
  <c r="B358" i="2" s="1"/>
  <c r="L358" i="2"/>
  <c r="E358" i="2"/>
  <c r="D358" i="2" s="1"/>
  <c r="C358" i="2" s="1"/>
  <c r="G359" i="2" l="1"/>
  <c r="B359" i="2" s="1"/>
  <c r="L359" i="2"/>
  <c r="E359" i="2"/>
  <c r="D359" i="2" s="1"/>
  <c r="C359" i="2" s="1"/>
  <c r="G360" i="2" l="1"/>
  <c r="B360" i="2" s="1"/>
  <c r="L360" i="2"/>
  <c r="E360" i="2"/>
  <c r="D360" i="2" s="1"/>
  <c r="C360" i="2" s="1"/>
  <c r="G361" i="2" l="1"/>
  <c r="B361" i="2" s="1"/>
  <c r="L361" i="2"/>
  <c r="E361" i="2"/>
  <c r="D361" i="2" s="1"/>
  <c r="C361" i="2" s="1"/>
  <c r="G362" i="2" l="1"/>
  <c r="B362" i="2" s="1"/>
  <c r="L362" i="2"/>
  <c r="E362" i="2"/>
  <c r="D362" i="2" s="1"/>
  <c r="C362" i="2" s="1"/>
  <c r="G363" i="2" l="1"/>
  <c r="B363" i="2" s="1"/>
  <c r="L363" i="2"/>
  <c r="E363" i="2"/>
  <c r="D363" i="2" s="1"/>
  <c r="C363" i="2" s="1"/>
  <c r="G364" i="2" l="1"/>
  <c r="B364" i="2" s="1"/>
  <c r="L364" i="2"/>
  <c r="E364" i="2"/>
  <c r="D364" i="2" s="1"/>
  <c r="C364" i="2" s="1"/>
  <c r="G365" i="2" l="1"/>
  <c r="B365" i="2" s="1"/>
  <c r="L365" i="2"/>
  <c r="E365" i="2"/>
  <c r="D365" i="2" s="1"/>
  <c r="C365" i="2" s="1"/>
  <c r="G366" i="2" l="1"/>
  <c r="B366" i="2" s="1"/>
  <c r="L366" i="2"/>
  <c r="E366" i="2"/>
  <c r="D366" i="2" s="1"/>
  <c r="C366" i="2" s="1"/>
  <c r="G367" i="2" l="1"/>
  <c r="B367" i="2" s="1"/>
  <c r="L367" i="2"/>
  <c r="E367" i="2"/>
  <c r="D367" i="2" s="1"/>
  <c r="C367" i="2" s="1"/>
  <c r="G368" i="2" l="1"/>
  <c r="B368" i="2" s="1"/>
  <c r="L368" i="2"/>
  <c r="E368" i="2"/>
  <c r="D368" i="2" s="1"/>
  <c r="C368" i="2" s="1"/>
  <c r="G369" i="2" l="1"/>
  <c r="B369" i="2" s="1"/>
  <c r="L369" i="2"/>
  <c r="E369" i="2"/>
  <c r="D369" i="2" s="1"/>
  <c r="C369" i="2" s="1"/>
  <c r="G370" i="2" l="1"/>
  <c r="B370" i="2" s="1"/>
  <c r="L370" i="2"/>
  <c r="E370" i="2"/>
  <c r="D370" i="2" s="1"/>
  <c r="C370" i="2" s="1"/>
  <c r="G371" i="2" l="1"/>
  <c r="B371" i="2" s="1"/>
  <c r="L371" i="2"/>
  <c r="E371" i="2"/>
  <c r="D371" i="2" s="1"/>
  <c r="C371" i="2" s="1"/>
  <c r="G372" i="2" l="1"/>
  <c r="B372" i="2" s="1"/>
  <c r="L372" i="2"/>
  <c r="E372" i="2"/>
  <c r="D372" i="2" s="1"/>
  <c r="C372" i="2" s="1"/>
  <c r="G373" i="2" l="1"/>
  <c r="B373" i="2" s="1"/>
  <c r="L373" i="2"/>
  <c r="E373" i="2"/>
  <c r="D373" i="2" s="1"/>
  <c r="C373" i="2" s="1"/>
  <c r="G374" i="2" l="1"/>
  <c r="B374" i="2" s="1"/>
  <c r="L374" i="2"/>
  <c r="E374" i="2"/>
  <c r="D374" i="2" s="1"/>
  <c r="C374" i="2" s="1"/>
  <c r="G375" i="2" l="1"/>
  <c r="B375" i="2" s="1"/>
  <c r="L375" i="2"/>
  <c r="E375" i="2"/>
  <c r="D375" i="2" s="1"/>
  <c r="C375" i="2" s="1"/>
  <c r="G376" i="2" l="1"/>
  <c r="B376" i="2" s="1"/>
  <c r="L376" i="2"/>
  <c r="E376" i="2"/>
  <c r="D376" i="2" s="1"/>
  <c r="C376" i="2" s="1"/>
  <c r="L377" i="2" s="1"/>
  <c r="G377" i="2" l="1"/>
  <c r="B377" i="2" s="1"/>
  <c r="E377" i="2"/>
  <c r="D377" i="2" s="1"/>
  <c r="C377" i="2" s="1"/>
  <c r="L378" i="2" s="1"/>
  <c r="G378" i="2" l="1"/>
  <c r="B378" i="2" s="1"/>
  <c r="E378" i="2"/>
  <c r="D378" i="2" s="1"/>
  <c r="C378" i="2" s="1"/>
  <c r="L379" i="2" s="1"/>
  <c r="G379" i="2" l="1"/>
  <c r="B379" i="2" s="1"/>
  <c r="E379" i="2"/>
  <c r="D379" i="2" s="1"/>
  <c r="C379" i="2" s="1"/>
  <c r="L380" i="2" s="1"/>
  <c r="G380" i="2" l="1"/>
  <c r="B380" i="2" s="1"/>
  <c r="E380" i="2"/>
  <c r="D380" i="2" s="1"/>
  <c r="C380" i="2" s="1"/>
  <c r="L381" i="2" s="1"/>
  <c r="G381" i="2" l="1"/>
  <c r="B381" i="2" s="1"/>
  <c r="E381" i="2"/>
  <c r="D381" i="2" s="1"/>
  <c r="C381" i="2" s="1"/>
  <c r="L382" i="2" s="1"/>
  <c r="G382" i="2" l="1"/>
  <c r="B382" i="2" s="1"/>
  <c r="E382" i="2"/>
  <c r="D382" i="2" s="1"/>
  <c r="C382" i="2" s="1"/>
  <c r="L383" i="2" s="1"/>
  <c r="G383" i="2" l="1"/>
  <c r="B383" i="2" s="1"/>
  <c r="E383" i="2"/>
  <c r="D383" i="2" s="1"/>
  <c r="C383" i="2" s="1"/>
  <c r="L384" i="2" s="1"/>
  <c r="G384" i="2" l="1"/>
  <c r="B384" i="2" s="1"/>
  <c r="E384" i="2"/>
  <c r="D384" i="2" s="1"/>
  <c r="C384" i="2" s="1"/>
  <c r="L385" i="2" s="1"/>
  <c r="G385" i="2" l="1"/>
  <c r="B385" i="2" s="1"/>
  <c r="E385" i="2"/>
  <c r="D385" i="2" s="1"/>
  <c r="C385" i="2" s="1"/>
  <c r="L386" i="2" s="1"/>
  <c r="G386" i="2" l="1"/>
  <c r="B386" i="2" s="1"/>
  <c r="E386" i="2"/>
  <c r="D386" i="2" s="1"/>
  <c r="C386" i="2" s="1"/>
  <c r="L387" i="2" s="1"/>
  <c r="G387" i="2" l="1"/>
  <c r="B387" i="2" s="1"/>
  <c r="E387" i="2"/>
  <c r="D387" i="2" s="1"/>
  <c r="C387" i="2" s="1"/>
  <c r="L388" i="2" s="1"/>
  <c r="G388" i="2" l="1"/>
  <c r="B388" i="2" s="1"/>
  <c r="E388" i="2"/>
  <c r="D388" i="2" s="1"/>
  <c r="C388" i="2" s="1"/>
  <c r="L389" i="2" s="1"/>
  <c r="G389" i="2" l="1"/>
  <c r="B389" i="2" s="1"/>
  <c r="E389" i="2"/>
  <c r="D389" i="2" s="1"/>
  <c r="C389" i="2" s="1"/>
  <c r="L390" i="2" s="1"/>
  <c r="G390" i="2" l="1"/>
  <c r="B390" i="2" s="1"/>
  <c r="E390" i="2"/>
  <c r="D390" i="2" s="1"/>
  <c r="C390" i="2" s="1"/>
  <c r="L391" i="2" s="1"/>
  <c r="G391" i="2" l="1"/>
  <c r="B391" i="2" s="1"/>
  <c r="E391" i="2"/>
  <c r="D391" i="2" s="1"/>
  <c r="C391" i="2" s="1"/>
  <c r="L392" i="2" s="1"/>
  <c r="G392" i="2" l="1"/>
  <c r="B392" i="2" s="1"/>
  <c r="E392" i="2"/>
  <c r="D392" i="2" s="1"/>
  <c r="C392" i="2" s="1"/>
  <c r="L393" i="2" s="1"/>
  <c r="G393" i="2" l="1"/>
  <c r="B393" i="2" s="1"/>
  <c r="E393" i="2"/>
  <c r="D393" i="2" s="1"/>
  <c r="C393" i="2" s="1"/>
  <c r="L394" i="2" s="1"/>
  <c r="G394" i="2" l="1"/>
  <c r="B394" i="2" s="1"/>
  <c r="E394" i="2"/>
  <c r="D394" i="2" s="1"/>
  <c r="C394" i="2" s="1"/>
  <c r="L395" i="2" s="1"/>
  <c r="G395" i="2" l="1"/>
  <c r="B395" i="2" s="1"/>
  <c r="E395" i="2"/>
  <c r="D395" i="2" s="1"/>
  <c r="C395" i="2" s="1"/>
  <c r="L396" i="2" s="1"/>
  <c r="G396" i="2" l="1"/>
  <c r="B396" i="2" s="1"/>
  <c r="E396" i="2"/>
  <c r="D396" i="2" s="1"/>
  <c r="C396" i="2" s="1"/>
  <c r="L397" i="2" s="1"/>
  <c r="G397" i="2" l="1"/>
  <c r="B397" i="2" s="1"/>
  <c r="E397" i="2"/>
  <c r="D397" i="2" s="1"/>
  <c r="C397" i="2" s="1"/>
  <c r="L398" i="2" s="1"/>
  <c r="G398" i="2" l="1"/>
  <c r="B398" i="2" s="1"/>
  <c r="E398" i="2"/>
  <c r="D398" i="2" s="1"/>
  <c r="C398" i="2" s="1"/>
  <c r="L399" i="2" s="1"/>
  <c r="G399" i="2" l="1"/>
  <c r="B399" i="2" s="1"/>
  <c r="E399" i="2"/>
  <c r="D399" i="2" s="1"/>
  <c r="C399" i="2" s="1"/>
  <c r="L400" i="2" s="1"/>
  <c r="G400" i="2" l="1"/>
  <c r="B400" i="2" s="1"/>
  <c r="E400" i="2"/>
  <c r="D400" i="2" s="1"/>
  <c r="C400" i="2" s="1"/>
  <c r="L401" i="2" s="1"/>
  <c r="G401" i="2" l="1"/>
  <c r="B401" i="2" s="1"/>
  <c r="E401" i="2"/>
  <c r="D401" i="2" s="1"/>
  <c r="C401" i="2" s="1"/>
  <c r="L402" i="2" s="1"/>
  <c r="G402" i="2" l="1"/>
  <c r="B402" i="2" s="1"/>
  <c r="E402" i="2"/>
  <c r="D402" i="2" s="1"/>
  <c r="C402" i="2" s="1"/>
  <c r="L403" i="2" s="1"/>
  <c r="G403" i="2" l="1"/>
  <c r="B403" i="2" s="1"/>
  <c r="E403" i="2"/>
  <c r="D403" i="2" s="1"/>
  <c r="C403" i="2" s="1"/>
  <c r="L404" i="2" s="1"/>
  <c r="G404" i="2" l="1"/>
  <c r="B404" i="2" s="1"/>
  <c r="E404" i="2"/>
  <c r="D404" i="2" s="1"/>
  <c r="C404" i="2" s="1"/>
  <c r="L405" i="2" s="1"/>
  <c r="G405" i="2" l="1"/>
  <c r="B405" i="2" s="1"/>
  <c r="E405" i="2"/>
  <c r="D405" i="2" s="1"/>
  <c r="C405" i="2" s="1"/>
  <c r="L406" i="2" s="1"/>
  <c r="G406" i="2" l="1"/>
  <c r="B406" i="2" s="1"/>
  <c r="E406" i="2"/>
  <c r="D406" i="2" s="1"/>
  <c r="C406" i="2" s="1"/>
  <c r="L407" i="2" s="1"/>
  <c r="G407" i="2" l="1"/>
  <c r="B407" i="2" s="1"/>
  <c r="E407" i="2"/>
  <c r="D407" i="2" s="1"/>
  <c r="C407" i="2" s="1"/>
  <c r="L408" i="2" s="1"/>
  <c r="G408" i="2" l="1"/>
  <c r="B408" i="2" s="1"/>
  <c r="E408" i="2"/>
  <c r="D408" i="2" s="1"/>
  <c r="C408" i="2" s="1"/>
  <c r="L409" i="2" s="1"/>
  <c r="G409" i="2" l="1"/>
  <c r="B409" i="2" s="1"/>
  <c r="E409" i="2"/>
  <c r="D409" i="2" s="1"/>
  <c r="C409" i="2" s="1"/>
  <c r="L410" i="2" s="1"/>
  <c r="G410" i="2" l="1"/>
  <c r="B410" i="2" s="1"/>
  <c r="E410" i="2"/>
  <c r="D410" i="2" s="1"/>
  <c r="C410" i="2" s="1"/>
  <c r="L411" i="2" s="1"/>
  <c r="G411" i="2" l="1"/>
  <c r="B411" i="2" s="1"/>
  <c r="E411" i="2"/>
  <c r="D411" i="2" s="1"/>
  <c r="C411" i="2" s="1"/>
  <c r="L412" i="2" s="1"/>
  <c r="G412" i="2" l="1"/>
  <c r="B412" i="2" s="1"/>
  <c r="E412" i="2"/>
  <c r="D412" i="2" s="1"/>
  <c r="C412" i="2" s="1"/>
  <c r="L413" i="2" s="1"/>
  <c r="G413" i="2" l="1"/>
  <c r="B413" i="2" s="1"/>
  <c r="E413" i="2"/>
  <c r="D413" i="2" s="1"/>
  <c r="C413" i="2" s="1"/>
  <c r="L414" i="2" s="1"/>
  <c r="G414" i="2" l="1"/>
  <c r="B414" i="2" s="1"/>
  <c r="E414" i="2"/>
  <c r="D414" i="2" s="1"/>
  <c r="C414" i="2" s="1"/>
  <c r="L415" i="2" s="1"/>
  <c r="G415" i="2" l="1"/>
  <c r="B415" i="2" s="1"/>
  <c r="E415" i="2"/>
  <c r="D415" i="2" s="1"/>
  <c r="C415" i="2" s="1"/>
  <c r="L416" i="2" s="1"/>
  <c r="G416" i="2" l="1"/>
  <c r="B416" i="2" s="1"/>
  <c r="E416" i="2"/>
  <c r="D416" i="2" s="1"/>
  <c r="C416" i="2" s="1"/>
  <c r="L417" i="2" s="1"/>
  <c r="G417" i="2" l="1"/>
  <c r="B417" i="2" s="1"/>
  <c r="E417" i="2"/>
  <c r="D417" i="2" s="1"/>
  <c r="C417" i="2" s="1"/>
  <c r="L418" i="2" s="1"/>
  <c r="G418" i="2" l="1"/>
  <c r="B418" i="2" s="1"/>
  <c r="E418" i="2"/>
  <c r="D418" i="2" s="1"/>
  <c r="C418" i="2" s="1"/>
  <c r="L419" i="2" s="1"/>
  <c r="G419" i="2" l="1"/>
  <c r="B419" i="2" s="1"/>
  <c r="E419" i="2"/>
  <c r="D419" i="2" s="1"/>
  <c r="C419" i="2" s="1"/>
  <c r="L420" i="2" s="1"/>
  <c r="G420" i="2" l="1"/>
  <c r="B420" i="2" s="1"/>
  <c r="E420" i="2"/>
  <c r="D420" i="2" s="1"/>
  <c r="C420" i="2" s="1"/>
  <c r="L421" i="2" s="1"/>
  <c r="G421" i="2" l="1"/>
  <c r="B421" i="2" s="1"/>
  <c r="E421" i="2"/>
  <c r="D421" i="2" s="1"/>
  <c r="C421" i="2" s="1"/>
  <c r="L422" i="2" s="1"/>
  <c r="G422" i="2" l="1"/>
  <c r="B422" i="2" s="1"/>
  <c r="E422" i="2"/>
  <c r="D422" i="2" s="1"/>
  <c r="C422" i="2" s="1"/>
  <c r="L423" i="2" s="1"/>
  <c r="G423" i="2" l="1"/>
  <c r="B423" i="2" s="1"/>
  <c r="E423" i="2"/>
  <c r="D423" i="2" s="1"/>
  <c r="C423" i="2" s="1"/>
  <c r="L424" i="2" s="1"/>
  <c r="G424" i="2" l="1"/>
  <c r="B424" i="2" s="1"/>
  <c r="E424" i="2"/>
  <c r="D424" i="2" s="1"/>
  <c r="C424" i="2" s="1"/>
  <c r="L425" i="2" s="1"/>
  <c r="G425" i="2" l="1"/>
  <c r="B425" i="2" s="1"/>
  <c r="E425" i="2"/>
  <c r="D425" i="2" s="1"/>
  <c r="C425" i="2" s="1"/>
  <c r="L426" i="2" s="1"/>
  <c r="G426" i="2" l="1"/>
  <c r="B426" i="2" s="1"/>
  <c r="E426" i="2"/>
  <c r="D426" i="2" s="1"/>
  <c r="C426" i="2" s="1"/>
  <c r="L427" i="2" s="1"/>
  <c r="G427" i="2" l="1"/>
  <c r="B427" i="2" s="1"/>
  <c r="E427" i="2"/>
  <c r="D427" i="2" s="1"/>
  <c r="C427" i="2" s="1"/>
  <c r="L428" i="2" s="1"/>
  <c r="G428" i="2" l="1"/>
  <c r="B428" i="2" s="1"/>
  <c r="E428" i="2"/>
  <c r="D428" i="2" s="1"/>
  <c r="C428" i="2" s="1"/>
  <c r="L429" i="2" s="1"/>
  <c r="G429" i="2" l="1"/>
  <c r="B429" i="2" s="1"/>
  <c r="E429" i="2"/>
  <c r="D429" i="2" s="1"/>
  <c r="C429" i="2" s="1"/>
  <c r="L430" i="2" s="1"/>
  <c r="G430" i="2" l="1"/>
  <c r="B430" i="2" s="1"/>
  <c r="E430" i="2"/>
  <c r="D430" i="2" s="1"/>
  <c r="C430" i="2" s="1"/>
  <c r="L431" i="2" s="1"/>
  <c r="G431" i="2" l="1"/>
  <c r="B431" i="2" s="1"/>
  <c r="E431" i="2"/>
  <c r="D431" i="2" s="1"/>
  <c r="C431" i="2" s="1"/>
  <c r="L432" i="2" s="1"/>
  <c r="G432" i="2" l="1"/>
  <c r="B432" i="2" s="1"/>
  <c r="E432" i="2"/>
  <c r="D432" i="2" s="1"/>
  <c r="C432" i="2" s="1"/>
  <c r="L433" i="2" s="1"/>
  <c r="G433" i="2" l="1"/>
  <c r="B433" i="2" s="1"/>
  <c r="E433" i="2"/>
  <c r="D433" i="2" s="1"/>
  <c r="C433" i="2" s="1"/>
  <c r="L434" i="2" s="1"/>
  <c r="G434" i="2" l="1"/>
  <c r="B434" i="2" s="1"/>
  <c r="E434" i="2"/>
  <c r="D434" i="2" s="1"/>
  <c r="C434" i="2" s="1"/>
  <c r="L435" i="2" s="1"/>
  <c r="G435" i="2" l="1"/>
  <c r="B435" i="2" s="1"/>
  <c r="E435" i="2"/>
  <c r="D435" i="2" s="1"/>
  <c r="C435" i="2" s="1"/>
  <c r="L436" i="2" s="1"/>
  <c r="G436" i="2" l="1"/>
  <c r="B436" i="2" s="1"/>
  <c r="E436" i="2"/>
  <c r="D436" i="2" s="1"/>
  <c r="C436" i="2" s="1"/>
  <c r="L437" i="2" s="1"/>
  <c r="G437" i="2" l="1"/>
  <c r="B437" i="2" s="1"/>
  <c r="E437" i="2"/>
  <c r="D437" i="2" s="1"/>
  <c r="C437" i="2" s="1"/>
  <c r="L438" i="2" s="1"/>
  <c r="G438" i="2" l="1"/>
  <c r="B438" i="2" s="1"/>
  <c r="E438" i="2"/>
  <c r="D438" i="2" s="1"/>
  <c r="C438" i="2" s="1"/>
  <c r="L439" i="2" s="1"/>
  <c r="G439" i="2" l="1"/>
  <c r="B439" i="2" s="1"/>
  <c r="E439" i="2"/>
  <c r="D439" i="2" s="1"/>
  <c r="C439" i="2" s="1"/>
  <c r="L440" i="2" s="1"/>
  <c r="G440" i="2" l="1"/>
  <c r="B440" i="2" s="1"/>
  <c r="E440" i="2"/>
  <c r="D440" i="2" s="1"/>
  <c r="C440" i="2" s="1"/>
  <c r="L441" i="2" s="1"/>
  <c r="G441" i="2" l="1"/>
  <c r="B441" i="2" s="1"/>
  <c r="E441" i="2"/>
  <c r="D441" i="2" s="1"/>
  <c r="C441" i="2" s="1"/>
  <c r="L442" i="2" s="1"/>
  <c r="G442" i="2" l="1"/>
  <c r="B442" i="2" s="1"/>
  <c r="E442" i="2"/>
  <c r="D442" i="2" s="1"/>
  <c r="C442" i="2" s="1"/>
  <c r="L443" i="2" s="1"/>
  <c r="G443" i="2" l="1"/>
  <c r="B443" i="2" s="1"/>
  <c r="E443" i="2"/>
  <c r="D443" i="2" s="1"/>
  <c r="C443" i="2" s="1"/>
  <c r="L444" i="2" s="1"/>
  <c r="G444" i="2" l="1"/>
  <c r="B444" i="2" s="1"/>
  <c r="E444" i="2"/>
  <c r="D444" i="2" s="1"/>
  <c r="C444" i="2" s="1"/>
  <c r="L445" i="2" s="1"/>
  <c r="G445" i="2" l="1"/>
  <c r="B445" i="2" s="1"/>
  <c r="E445" i="2"/>
  <c r="D445" i="2" s="1"/>
  <c r="C445" i="2" s="1"/>
  <c r="L446" i="2" s="1"/>
  <c r="G446" i="2" l="1"/>
  <c r="B446" i="2" s="1"/>
  <c r="E446" i="2"/>
  <c r="D446" i="2" s="1"/>
  <c r="C446" i="2" s="1"/>
  <c r="L447" i="2" s="1"/>
  <c r="G447" i="2" l="1"/>
  <c r="B447" i="2" s="1"/>
  <c r="E447" i="2"/>
  <c r="D447" i="2" s="1"/>
  <c r="C447" i="2" s="1"/>
  <c r="L448" i="2" s="1"/>
  <c r="G448" i="2" l="1"/>
  <c r="B448" i="2" s="1"/>
  <c r="E448" i="2"/>
  <c r="D448" i="2" s="1"/>
  <c r="C448" i="2" s="1"/>
  <c r="L449" i="2" s="1"/>
  <c r="G449" i="2" l="1"/>
  <c r="B449" i="2" s="1"/>
  <c r="E449" i="2"/>
  <c r="D449" i="2" s="1"/>
  <c r="C449" i="2" s="1"/>
  <c r="L450" i="2" s="1"/>
  <c r="G450" i="2" l="1"/>
  <c r="B450" i="2" s="1"/>
  <c r="E450" i="2"/>
  <c r="D450" i="2" s="1"/>
  <c r="C450" i="2" s="1"/>
  <c r="L451" i="2" s="1"/>
  <c r="G451" i="2" l="1"/>
  <c r="B451" i="2" s="1"/>
  <c r="E451" i="2"/>
  <c r="D451" i="2" s="1"/>
  <c r="C451" i="2" s="1"/>
  <c r="L452" i="2" s="1"/>
  <c r="G452" i="2" l="1"/>
  <c r="B452" i="2" s="1"/>
  <c r="E452" i="2"/>
  <c r="D452" i="2" s="1"/>
  <c r="C452" i="2" s="1"/>
  <c r="L453" i="2" s="1"/>
  <c r="G453" i="2" l="1"/>
  <c r="B453" i="2" s="1"/>
  <c r="E453" i="2"/>
  <c r="D453" i="2" s="1"/>
  <c r="C453" i="2" s="1"/>
  <c r="L454" i="2" s="1"/>
  <c r="G454" i="2" l="1"/>
  <c r="B454" i="2" s="1"/>
  <c r="E454" i="2"/>
  <c r="D454" i="2" s="1"/>
  <c r="C454" i="2" s="1"/>
  <c r="L455" i="2" s="1"/>
  <c r="G455" i="2" l="1"/>
  <c r="B455" i="2" s="1"/>
  <c r="E455" i="2"/>
  <c r="D455" i="2" s="1"/>
  <c r="C455" i="2" s="1"/>
  <c r="L456" i="2" s="1"/>
  <c r="G456" i="2" l="1"/>
  <c r="B456" i="2" s="1"/>
  <c r="E456" i="2"/>
  <c r="D456" i="2" s="1"/>
  <c r="C456" i="2" s="1"/>
  <c r="L457" i="2" s="1"/>
  <c r="G457" i="2" l="1"/>
  <c r="B457" i="2" s="1"/>
  <c r="E457" i="2"/>
  <c r="D457" i="2" s="1"/>
  <c r="C457" i="2" s="1"/>
  <c r="L458" i="2" s="1"/>
  <c r="G458" i="2" l="1"/>
  <c r="B458" i="2" s="1"/>
  <c r="E458" i="2"/>
  <c r="D458" i="2" s="1"/>
  <c r="C458" i="2" s="1"/>
  <c r="L459" i="2" s="1"/>
  <c r="G459" i="2" l="1"/>
  <c r="B459" i="2" s="1"/>
  <c r="E459" i="2"/>
  <c r="D459" i="2" s="1"/>
  <c r="C459" i="2" s="1"/>
  <c r="L460" i="2" s="1"/>
  <c r="G460" i="2" l="1"/>
  <c r="B460" i="2" s="1"/>
  <c r="E460" i="2"/>
  <c r="D460" i="2" s="1"/>
  <c r="C460" i="2" s="1"/>
  <c r="L461" i="2" s="1"/>
  <c r="G461" i="2" l="1"/>
  <c r="B461" i="2" s="1"/>
  <c r="E461" i="2"/>
  <c r="D461" i="2" s="1"/>
  <c r="C461" i="2" s="1"/>
  <c r="L462" i="2" s="1"/>
  <c r="G462" i="2" l="1"/>
  <c r="B462" i="2" s="1"/>
  <c r="E462" i="2"/>
  <c r="D462" i="2" s="1"/>
  <c r="C462" i="2" s="1"/>
  <c r="L463" i="2" s="1"/>
  <c r="G463" i="2" l="1"/>
  <c r="B463" i="2" s="1"/>
  <c r="E463" i="2"/>
  <c r="D463" i="2" s="1"/>
  <c r="C463" i="2" s="1"/>
  <c r="L464" i="2" s="1"/>
  <c r="G464" i="2" l="1"/>
  <c r="B464" i="2" s="1"/>
  <c r="E464" i="2"/>
  <c r="D464" i="2" s="1"/>
  <c r="C464" i="2" s="1"/>
  <c r="L465" i="2" s="1"/>
  <c r="G465" i="2" l="1"/>
  <c r="B465" i="2" s="1"/>
  <c r="E465" i="2"/>
  <c r="D465" i="2" s="1"/>
  <c r="C465" i="2" s="1"/>
  <c r="L466" i="2" s="1"/>
  <c r="G466" i="2" l="1"/>
  <c r="B466" i="2" s="1"/>
  <c r="E466" i="2"/>
  <c r="D466" i="2" s="1"/>
  <c r="C466" i="2" s="1"/>
  <c r="L467" i="2" s="1"/>
  <c r="G467" i="2" l="1"/>
  <c r="B467" i="2" s="1"/>
  <c r="E467" i="2"/>
  <c r="D467" i="2" s="1"/>
  <c r="C467" i="2" s="1"/>
  <c r="L468" i="2" s="1"/>
  <c r="G468" i="2" l="1"/>
  <c r="B468" i="2" s="1"/>
  <c r="E468" i="2"/>
  <c r="D468" i="2" s="1"/>
  <c r="C468" i="2" s="1"/>
  <c r="L469" i="2" s="1"/>
  <c r="G469" i="2" l="1"/>
  <c r="B469" i="2" s="1"/>
  <c r="E469" i="2"/>
  <c r="D469" i="2" s="1"/>
  <c r="C469" i="2" s="1"/>
  <c r="L470" i="2" s="1"/>
  <c r="G470" i="2" l="1"/>
  <c r="B470" i="2" s="1"/>
  <c r="E470" i="2"/>
  <c r="D470" i="2" s="1"/>
  <c r="C470" i="2" s="1"/>
  <c r="L471" i="2" s="1"/>
  <c r="G471" i="2" l="1"/>
  <c r="B471" i="2" s="1"/>
  <c r="E471" i="2"/>
  <c r="D471" i="2" s="1"/>
  <c r="C471" i="2" s="1"/>
  <c r="L472" i="2" s="1"/>
  <c r="G472" i="2" l="1"/>
  <c r="B472" i="2" s="1"/>
  <c r="E472" i="2"/>
  <c r="D472" i="2" s="1"/>
  <c r="C472" i="2" s="1"/>
  <c r="L473" i="2" s="1"/>
  <c r="G473" i="2" l="1"/>
  <c r="B473" i="2" s="1"/>
  <c r="E473" i="2"/>
  <c r="D473" i="2" s="1"/>
  <c r="C473" i="2" s="1"/>
  <c r="L474" i="2" s="1"/>
  <c r="G474" i="2" l="1"/>
  <c r="B474" i="2" s="1"/>
  <c r="E474" i="2"/>
  <c r="D474" i="2" s="1"/>
  <c r="C474" i="2" s="1"/>
  <c r="L475" i="2" s="1"/>
  <c r="G475" i="2" l="1"/>
  <c r="B475" i="2" s="1"/>
  <c r="E475" i="2"/>
  <c r="D475" i="2" s="1"/>
  <c r="C475" i="2" s="1"/>
  <c r="L476" i="2" s="1"/>
  <c r="G476" i="2" l="1"/>
  <c r="B476" i="2" s="1"/>
  <c r="E476" i="2"/>
  <c r="D476" i="2" s="1"/>
  <c r="C476" i="2" s="1"/>
  <c r="L477" i="2" s="1"/>
  <c r="G477" i="2" l="1"/>
  <c r="B477" i="2" s="1"/>
  <c r="E477" i="2"/>
  <c r="D477" i="2" s="1"/>
  <c r="C477" i="2" s="1"/>
  <c r="L478" i="2" s="1"/>
  <c r="G478" i="2" l="1"/>
  <c r="B478" i="2" s="1"/>
  <c r="E478" i="2"/>
  <c r="D478" i="2" s="1"/>
  <c r="C478" i="2" s="1"/>
  <c r="L479" i="2" s="1"/>
  <c r="G479" i="2" l="1"/>
  <c r="B479" i="2" s="1"/>
  <c r="E479" i="2"/>
  <c r="D479" i="2" s="1"/>
  <c r="C479" i="2" s="1"/>
  <c r="L480" i="2" s="1"/>
  <c r="G480" i="2" l="1"/>
  <c r="B480" i="2" s="1"/>
  <c r="E480" i="2"/>
  <c r="D480" i="2" s="1"/>
  <c r="C480" i="2" s="1"/>
  <c r="L481" i="2" s="1"/>
  <c r="G481" i="2" l="1"/>
  <c r="B481" i="2" s="1"/>
  <c r="E481" i="2"/>
  <c r="D481" i="2" s="1"/>
  <c r="C481" i="2" s="1"/>
  <c r="L482" i="2" s="1"/>
  <c r="G482" i="2" l="1"/>
  <c r="B482" i="2" s="1"/>
  <c r="E482" i="2"/>
  <c r="D482" i="2" s="1"/>
  <c r="C482" i="2" s="1"/>
  <c r="L483" i="2" s="1"/>
  <c r="G483" i="2" l="1"/>
  <c r="B483" i="2" s="1"/>
  <c r="E483" i="2"/>
  <c r="D483" i="2" s="1"/>
  <c r="C483" i="2" s="1"/>
  <c r="L484" i="2" s="1"/>
  <c r="G484" i="2" l="1"/>
  <c r="B484" i="2" s="1"/>
  <c r="E484" i="2"/>
  <c r="D484" i="2" s="1"/>
  <c r="C484" i="2" s="1"/>
  <c r="L485" i="2" s="1"/>
  <c r="G485" i="2" l="1"/>
  <c r="B485" i="2" s="1"/>
  <c r="E485" i="2"/>
  <c r="D485" i="2" s="1"/>
  <c r="C485" i="2" s="1"/>
  <c r="L486" i="2" s="1"/>
  <c r="G486" i="2" l="1"/>
  <c r="B486" i="2" s="1"/>
  <c r="E486" i="2"/>
  <c r="D486" i="2" s="1"/>
  <c r="C486" i="2" s="1"/>
  <c r="L487" i="2" s="1"/>
  <c r="G487" i="2" l="1"/>
  <c r="B487" i="2" s="1"/>
  <c r="E487" i="2"/>
  <c r="D487" i="2" s="1"/>
  <c r="C487" i="2" s="1"/>
  <c r="L488" i="2" s="1"/>
  <c r="G488" i="2" l="1"/>
  <c r="B488" i="2" s="1"/>
  <c r="E488" i="2"/>
  <c r="D488" i="2" s="1"/>
  <c r="C488" i="2" s="1"/>
  <c r="L489" i="2" s="1"/>
  <c r="G489" i="2" l="1"/>
  <c r="B489" i="2" s="1"/>
  <c r="E489" i="2"/>
  <c r="D489" i="2" s="1"/>
  <c r="C489" i="2" s="1"/>
  <c r="L490" i="2" s="1"/>
  <c r="G490" i="2" l="1"/>
  <c r="B490" i="2" s="1"/>
  <c r="E490" i="2"/>
  <c r="D490" i="2" s="1"/>
  <c r="C490" i="2" s="1"/>
  <c r="L491" i="2" s="1"/>
  <c r="G491" i="2" l="1"/>
  <c r="B491" i="2" s="1"/>
  <c r="E491" i="2"/>
  <c r="D491" i="2" s="1"/>
  <c r="C491" i="2" s="1"/>
  <c r="L492" i="2" s="1"/>
  <c r="G492" i="2" l="1"/>
  <c r="B492" i="2" s="1"/>
  <c r="E492" i="2"/>
  <c r="D492" i="2" s="1"/>
  <c r="C492" i="2" s="1"/>
  <c r="L493" i="2" s="1"/>
  <c r="G493" i="2" l="1"/>
  <c r="B493" i="2" s="1"/>
  <c r="E493" i="2"/>
  <c r="D493" i="2" s="1"/>
  <c r="C493" i="2" s="1"/>
  <c r="L494" i="2" s="1"/>
  <c r="G494" i="2" l="1"/>
  <c r="B494" i="2" s="1"/>
  <c r="E494" i="2"/>
  <c r="D494" i="2" s="1"/>
  <c r="C494" i="2" s="1"/>
  <c r="L495" i="2" s="1"/>
  <c r="G495" i="2" l="1"/>
  <c r="B495" i="2" s="1"/>
  <c r="E495" i="2"/>
  <c r="D495" i="2" s="1"/>
  <c r="C495" i="2" s="1"/>
  <c r="L496" i="2" s="1"/>
  <c r="M13" i="2" l="1"/>
  <c r="F92" i="1" s="1"/>
  <c r="M12" i="2"/>
  <c r="F94" i="1" s="1"/>
  <c r="G496" i="2"/>
  <c r="B496" i="2" s="1"/>
  <c r="C13" i="2" s="1"/>
  <c r="E496" i="2"/>
  <c r="D496" i="2" s="1"/>
  <c r="C496" i="2" s="1"/>
  <c r="F91" i="1" l="1"/>
  <c r="C12" i="2"/>
  <c r="F93" i="1" s="1"/>
  <c r="F17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tc={EDBD126F-EF18-4D1C-8362-F2787441DFF2}</author>
    <author>tc={E7069168-3080-420B-851C-1117DC4EF176}</author>
  </authors>
  <commentList>
    <comment ref="E113" authorId="0" shapeId="0" xr:uid="{EDBD126F-EF18-4D1C-8362-F2787441DFF2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Vždy musí být "OK".</t>
      </text>
    </comment>
    <comment ref="E114" authorId="1" shapeId="0" xr:uid="{E7069168-3080-420B-851C-1117DC4EF17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Vždy musí být "OK".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tc={2C3EB866-89AA-4EDB-959C-AF602D946747}</author>
    <author>tc={561E0F8B-5CD0-456F-B9AE-63F459FDB4D6}</author>
  </authors>
  <commentList>
    <comment ref="E179" authorId="0" shapeId="0" xr:uid="{2C3EB866-89AA-4EDB-959C-AF602D946747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Vždy musí být "OK".</t>
      </text>
    </comment>
    <comment ref="E180" authorId="1" shapeId="0" xr:uid="{561E0F8B-5CD0-456F-B9AE-63F459FDB4D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Vždy musí být "OK".</t>
      </text>
    </comment>
  </commentList>
</comments>
</file>

<file path=xl/sharedStrings.xml><?xml version="1.0" encoding="utf-8"?>
<sst xmlns="http://schemas.openxmlformats.org/spreadsheetml/2006/main" count="735" uniqueCount="202">
  <si>
    <t>Kalkulačka mHypotéka</t>
  </si>
  <si>
    <t>Available income (including household expenses)</t>
  </si>
  <si>
    <t>Free income (including liabilities)</t>
  </si>
  <si>
    <t>Pojištění nízkého vkladu (splatné na začátku)</t>
  </si>
  <si>
    <t>Number of dependants with applicants</t>
  </si>
  <si>
    <t xml:space="preserve">vyska uveru </t>
  </si>
  <si>
    <t>sadzba</t>
  </si>
  <si>
    <t>splatnost</t>
  </si>
  <si>
    <t>LCI</t>
  </si>
  <si>
    <t>Life</t>
  </si>
  <si>
    <t>mesiac</t>
  </si>
  <si>
    <t>CF</t>
  </si>
  <si>
    <t>istina</t>
  </si>
  <si>
    <t>zostatok</t>
  </si>
  <si>
    <t>urok</t>
  </si>
  <si>
    <t>splatka</t>
  </si>
  <si>
    <t>RPSN</t>
  </si>
  <si>
    <t>anuita</t>
  </si>
  <si>
    <t>klesajuce</t>
  </si>
  <si>
    <t xml:space="preserve">celkova zaplatena </t>
  </si>
  <si>
    <t>Příjem v CZK/Příjem v cizí měne</t>
  </si>
  <si>
    <t>Meno klienta</t>
  </si>
  <si>
    <t>Číslo žiadosti</t>
  </si>
  <si>
    <t>Počet žiadatelov</t>
  </si>
  <si>
    <t>Počet žiadatelmi vyživovaných osôb</t>
  </si>
  <si>
    <t>Výška mesačných splátok splátkových úverov</t>
  </si>
  <si>
    <t>Limity kontokorentných úverov</t>
  </si>
  <si>
    <t>Limity kreditných kariet</t>
  </si>
  <si>
    <t>Výška mesačných splátok alimentov, exekúcií a iných záväzkov</t>
  </si>
  <si>
    <t>Žiadaná čiastka úveru v EUR</t>
  </si>
  <si>
    <t>Žiadaná čiastka úveru s Life Insurance</t>
  </si>
  <si>
    <t>Žiadaná doba splátkoveho úveru (v mesiacoch)</t>
  </si>
  <si>
    <t>Štandardná hodnota ukazovateľa LtV (%</t>
  </si>
  <si>
    <t>Skutočná hodnota ukazovateľa LtV (%)</t>
  </si>
  <si>
    <t>Ročná úroková sadzba (%)</t>
  </si>
  <si>
    <t>Maximálna dostupná čiastka úveru na základe finančného profilu v EUR</t>
  </si>
  <si>
    <t>Maximalná dostupná čiastka úveru z ohľadom na hodnotu zabezpečenia úveru a maximálnej hodnoty ukazovateľa LtV</t>
  </si>
  <si>
    <t>Vypočítaná anuitná splátka žiadaného úveru</t>
  </si>
  <si>
    <t>Poistenie Life Insurance zahrnuté do výšky úveru</t>
  </si>
  <si>
    <t>Poistenie Life Insurance nezahrnuté do výšky úveru</t>
  </si>
  <si>
    <t>Prvá klesajúca splátka žiadaného úveru</t>
  </si>
  <si>
    <t>RPMN pre klesajúce splátky</t>
  </si>
  <si>
    <t>RPMN pre anuitne splátky</t>
  </si>
  <si>
    <t>Výška mesačných splátok splátkových úverov v mBank</t>
  </si>
  <si>
    <t>Výška mesačných splátok splátkových úverov v iných bankách</t>
  </si>
  <si>
    <t>Príjem v EUR</t>
  </si>
  <si>
    <t xml:space="preserve">Príjem v cudzej mene  </t>
  </si>
  <si>
    <t>v tom detí</t>
  </si>
  <si>
    <t>Predbežný harmonogram splátok - rovné splátky</t>
  </si>
  <si>
    <t>Výška úveru</t>
  </si>
  <si>
    <t>Úroková sadzba</t>
  </si>
  <si>
    <t>Počet splátok</t>
  </si>
  <si>
    <t>Predbežný harmonogram splátok bude po poskytnutí úveru nahradený harmonogramom splátok dostupným prostredníctvom internet bankingu klienta</t>
  </si>
  <si>
    <t>Číslo splátky</t>
  </si>
  <si>
    <t>Splátka istiny</t>
  </si>
  <si>
    <t>Splátka úroku</t>
  </si>
  <si>
    <t>Mesačná splátka</t>
  </si>
  <si>
    <t>Zostatok istiny</t>
  </si>
  <si>
    <t>EUR</t>
  </si>
  <si>
    <t>Predbežný harmonogram splátok - klesajúce splátky</t>
  </si>
  <si>
    <t>1) LCI nezahrnuté</t>
  </si>
  <si>
    <t>LCI nezahrnuté:</t>
  </si>
  <si>
    <t>LI zahrnuté:</t>
  </si>
  <si>
    <t>LI nezahrnuté:</t>
  </si>
  <si>
    <t>2) LCI zahrnuté,</t>
  </si>
  <si>
    <t>LCI zahrnuté:</t>
  </si>
  <si>
    <t xml:space="preserve">    LI nezahrnuté</t>
  </si>
  <si>
    <t>3) LCI zahrnuté,</t>
  </si>
  <si>
    <t>LI zahrnuté (LCI = 0):</t>
  </si>
  <si>
    <t xml:space="preserve">    LI zahrnuté</t>
  </si>
  <si>
    <t>LI zahrnuté (LCI &gt; 0):</t>
  </si>
  <si>
    <t>?? LCI &gt; 0 ??</t>
  </si>
  <si>
    <t>LI zahrnuté final:</t>
  </si>
  <si>
    <t>4) LCI zahrnuté,</t>
  </si>
  <si>
    <t xml:space="preserve">    LI není</t>
  </si>
  <si>
    <t xml:space="preserve">   Účelový/Neúčelový úver nebo Štandartná/Neštandartná neh.</t>
  </si>
  <si>
    <t>Účel/štandard</t>
  </si>
  <si>
    <t>Neúčel/štandard</t>
  </si>
  <si>
    <t>Účel/neštandard</t>
  </si>
  <si>
    <t>Maximálna hodnota ukazovateľa LtV (%)</t>
  </si>
  <si>
    <t>Štandardná hodnota ukazovateľa LtV (%)</t>
  </si>
  <si>
    <t>Hodnota nehnuteľ. ponúkanej ako zabezpečenie úveru v EUR č.1</t>
  </si>
  <si>
    <t>Volná hodnota nehnuteľnosti č.1</t>
  </si>
  <si>
    <t>Hodnota nehnuteľ. ponúkanej ako zabezpečenie úveru v EUR č.2</t>
  </si>
  <si>
    <t>Volná hodnota nehnuteľnosti č.2</t>
  </si>
  <si>
    <t>Hodnota nehnuteľ. ponúkanej ako zabezpečenie úveru v EUR č.3</t>
  </si>
  <si>
    <t>Volná hodnota nehnuteľnosti č.3</t>
  </si>
  <si>
    <t xml:space="preserve">  Jméno klienta</t>
  </si>
  <si>
    <t>Číslo žádosti</t>
  </si>
  <si>
    <t>Free income for both households (including liabilities)</t>
  </si>
  <si>
    <t xml:space="preserve">   Účelový / Neúčelový úver</t>
  </si>
  <si>
    <t xml:space="preserve">   Poistenie Life Insurance zahrnuté do výšky úveru</t>
  </si>
  <si>
    <t xml:space="preserve">   Poistenie Life Insurance nezahrnuté do výšky úveru</t>
  </si>
  <si>
    <t>RPMN pro anuitní splátky</t>
  </si>
  <si>
    <t>RPMN pro klesající splátky</t>
  </si>
  <si>
    <t>Příjem v CZK</t>
  </si>
  <si>
    <t>Příjem v cizí měne</t>
  </si>
  <si>
    <t>RPMN</t>
  </si>
  <si>
    <t>Cena ZP č. 1</t>
  </si>
  <si>
    <t>Cena ZP č. 2</t>
  </si>
  <si>
    <t>Cena ZP č. 3</t>
  </si>
  <si>
    <t>cena ZP</t>
  </si>
  <si>
    <t>vklad do katastru</t>
  </si>
  <si>
    <t>Katastr 1</t>
  </si>
  <si>
    <t>Katastr 2</t>
  </si>
  <si>
    <t>Katastr 3</t>
  </si>
  <si>
    <t>Poistné č. 1 za dobu splácania</t>
  </si>
  <si>
    <t>Poistné č. 2 za celú dobu splácania</t>
  </si>
  <si>
    <t>poistné za rok</t>
  </si>
  <si>
    <t>poistné za celú dobu</t>
  </si>
  <si>
    <t>Poistné č. 3 za celú dobu splácania</t>
  </si>
  <si>
    <t>Celk. zaplatená čiastka anuitne splátky (vrátane poplatkov)</t>
  </si>
  <si>
    <t>Celk. zaplatená čiastka klesajúce splátky (vrátane poplatkov)</t>
  </si>
  <si>
    <t>Čistý príjem žiadateľa č.1 zo závislej činnosti alebo živnosti</t>
  </si>
  <si>
    <t>Čistý príjem žiadateľa č.1 z inej činnosti</t>
  </si>
  <si>
    <t>Čistý príjem žiadateľa č.2 zo závislej činnosti alebo živnosti</t>
  </si>
  <si>
    <t>Čistý príjem žiadateľa č.2 z inej činnosti</t>
  </si>
  <si>
    <t>Dátum narodenia žiadateľa č. 1</t>
  </si>
  <si>
    <t>Dátum narodenia žiadateľa č. 2</t>
  </si>
  <si>
    <t>Čistý príjem žiadateľa č.3 zo závislej činnosti alebo živnosti</t>
  </si>
  <si>
    <t>Čistý príjem žiadateľa č.3 z inej činnosti</t>
  </si>
  <si>
    <t>Dátum narodenia žiadateľa č. 3</t>
  </si>
  <si>
    <t>Vek žiadateľa č.1 na limity</t>
  </si>
  <si>
    <t>Vek žiadateľa č.1 v mesiacoch</t>
  </si>
  <si>
    <t>Vek žiadateľa č.2 v mesiacoch</t>
  </si>
  <si>
    <t>Vek žiadateľa č.3 v mesiacoch</t>
  </si>
  <si>
    <t>Domácnosť č. 1</t>
  </si>
  <si>
    <t>Domácnosť č. 2</t>
  </si>
  <si>
    <t>Vek žiadateľa č. 1 na limity</t>
  </si>
  <si>
    <t>Dátum narodenia žiadateľa č.1</t>
  </si>
  <si>
    <t>Vek žiadateľa č.2 na limity</t>
  </si>
  <si>
    <t>Vek žiadateľa č.3 na limity</t>
  </si>
  <si>
    <t>Dátum narodenia žiadateľa č. 4</t>
  </si>
  <si>
    <t>Vek žiadateľa č.4 na limity</t>
  </si>
  <si>
    <t>Vek žiadateľa č.4 v mesiacoch</t>
  </si>
  <si>
    <t>Čistý príjem žiadateľa č.4 zo závislej činnosti alebo živnosti</t>
  </si>
  <si>
    <t>Čistý príjem žiadateľa č.4 z inej činnosti</t>
  </si>
  <si>
    <t>Poistné č. 2 ročné</t>
  </si>
  <si>
    <t>Poistné č. 1 ročné</t>
  </si>
  <si>
    <t>Poistné č. 3 ročné</t>
  </si>
  <si>
    <t>LI nezapoč</t>
  </si>
  <si>
    <t>splatka LI</t>
  </si>
  <si>
    <t>Čistý príjem žiadateľa č.1 doba určitá/ neurčitá/dohoda/zahraničie</t>
  </si>
  <si>
    <t>Čistý príjem žiadateľa č.3 doba určitá/ neurčitá/dohoda/zahraničie</t>
  </si>
  <si>
    <t>Čistý príjem žiadateľa č.2 doba určitá/ neurčitá/dohoda/zahraničie</t>
  </si>
  <si>
    <t>Čistý príjem žiadateľa č.4 doba určitá/ neurčitá/dohoda/zahraničie</t>
  </si>
  <si>
    <t>Mesačný čistý príjem domácnosti v EUR (prepočtený dle veku)</t>
  </si>
  <si>
    <t>Mesačný čistý príjem domácnosti v EUR (neprepočtený dle veku)</t>
  </si>
  <si>
    <r>
      <t xml:space="preserve">Mesačný čistý príjem domácnosti v EUR (prepočtený dle veku) </t>
    </r>
    <r>
      <rPr>
        <b/>
        <sz val="10"/>
        <color rgb="FFFF0000"/>
        <rFont val="Arial"/>
        <family val="2"/>
        <charset val="238"/>
      </rPr>
      <t>No.1</t>
    </r>
  </si>
  <si>
    <r>
      <t xml:space="preserve">Mesačný čistý príjem domácnosti v EUR (prepočtený dle veku) </t>
    </r>
    <r>
      <rPr>
        <b/>
        <sz val="10"/>
        <color rgb="FFFF0000"/>
        <rFont val="Arial"/>
        <family val="2"/>
        <charset val="238"/>
      </rPr>
      <t>No.2</t>
    </r>
  </si>
  <si>
    <t>Mesačný čistý príjem domácnosti v EUR (neprepočtený dle veku) No.1</t>
  </si>
  <si>
    <t>Mesačný čistý príjem domácnosti v EUR (neprepočtený dle veku) No.2</t>
  </si>
  <si>
    <t>Expenses - according to Slovak law (COSTS)</t>
  </si>
  <si>
    <t>Expenses - according to the Bank's model (KUGD)</t>
  </si>
  <si>
    <t>Prepočtená výška mesačných splátok alimentov, exekúcií a iných záväzkov</t>
  </si>
  <si>
    <t>DTI</t>
  </si>
  <si>
    <t>Zostatok splátkových úverov</t>
  </si>
  <si>
    <t>Limit revolvingových úverov</t>
  </si>
  <si>
    <t>Využitý limit revolvingových úverov</t>
  </si>
  <si>
    <t>Nevyužitý limit revolvingových úverov</t>
  </si>
  <si>
    <t>Limit kreditných kariet</t>
  </si>
  <si>
    <t>Využitý limit kreditných kariet</t>
  </si>
  <si>
    <t>Nevyužitý limit kreditných kariet</t>
  </si>
  <si>
    <t>Schválená výška úveru</t>
  </si>
  <si>
    <t>Vyhodnotenie DTI</t>
  </si>
  <si>
    <t>v 2.42</t>
  </si>
  <si>
    <t>DSTI (anuitné)</t>
  </si>
  <si>
    <t>Vyhodnotenie DSTI (anuitné)</t>
  </si>
  <si>
    <t>DSTI (klesajúce)</t>
  </si>
  <si>
    <t>Vyhodnotenie DSTI (klesajúce)</t>
  </si>
  <si>
    <t>Minimální věk</t>
  </si>
  <si>
    <t>MIN_VĚK_1</t>
  </si>
  <si>
    <t>MIN_VĚK_2</t>
  </si>
  <si>
    <t>Poistenie LI</t>
  </si>
  <si>
    <t>Splatnosť (anuitné)</t>
  </si>
  <si>
    <t>Splatnosť (klesajúce)</t>
  </si>
  <si>
    <t>DTI limit</t>
  </si>
  <si>
    <t>Mesačný čistý príjem domácnosti v EUR No.2</t>
  </si>
  <si>
    <t>Mesačný čistý príjem domácnosti v EUR  No.1</t>
  </si>
  <si>
    <t>Number of children</t>
  </si>
  <si>
    <t>KUGD_GOSP_1</t>
  </si>
  <si>
    <t>KUGD_GOSP_2</t>
  </si>
  <si>
    <t>KUGD_GOSP</t>
  </si>
  <si>
    <t>KUGD</t>
  </si>
  <si>
    <t>Čistý príjem žiadateľa č.1</t>
  </si>
  <si>
    <t>Čistý príjem žiadateľa č.2</t>
  </si>
  <si>
    <t>Čistý príjem žiadateľa č.3</t>
  </si>
  <si>
    <t>Náklady bývania žiadateľa č. 1</t>
  </si>
  <si>
    <t>Náklady bývania žiadateľa č. 2</t>
  </si>
  <si>
    <t>Náklady bývania žiadateľa č. 3</t>
  </si>
  <si>
    <t>Expenses - according to Slovak law (COSTS) + Housing cost</t>
  </si>
  <si>
    <t>Náklady bývanie žiadateľa č.1</t>
  </si>
  <si>
    <t>Náklady bývanie žiadateľa č.2</t>
  </si>
  <si>
    <t>Náklady bývanie žiadateľa č.3</t>
  </si>
  <si>
    <t>Čistý príjem žiadateľa č.4</t>
  </si>
  <si>
    <t>Náklady bývanie žiadateľa č.4</t>
  </si>
  <si>
    <t>Mesačný čistý príjem domácnosti v EUR</t>
  </si>
  <si>
    <t>Vypočítaná anuitná splátka žiadaného úveru - DSTI</t>
  </si>
  <si>
    <t>Prvá klesajúca splátka žiadaného úveru - DSTI</t>
  </si>
  <si>
    <t>Dátum zadania do systému</t>
  </si>
  <si>
    <t>z toho príjem z výživného a sirotského dôchodku</t>
  </si>
  <si>
    <t>v 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</si>
</sst>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\ &quot;Sk&quot;;[Red]\-#,##0.00\ &quot;Sk&quot;"/>
    <numFmt numFmtId="165" formatCode="#,##0.00\ &quot;Kč&quot;"/>
    <numFmt numFmtId="166" formatCode="#,##0.00\ [$CZK];[Red]\-#,##0.00\ [$CZK]"/>
    <numFmt numFmtId="167" formatCode="#,##0.00\ [$CZK]"/>
    <numFmt numFmtId="168" formatCode="0.0"/>
    <numFmt numFmtId="169" formatCode="#,##0.00\ [$EUR]"/>
    <numFmt numFmtId="170" formatCode="#,##0\ [$SKK]"/>
    <numFmt numFmtId="171" formatCode="#,##0.00\ [$SKK]"/>
    <numFmt numFmtId="172" formatCode="_-* #,##0.00\ [$€-1]_-;\-* #,##0.00\ [$€-1]_-;_-* &quot;-&quot;??\ [$€-1]_-;_-@_-"/>
    <numFmt numFmtId="173" formatCode="#,##0.00\ [$EUR];[Red]\-#,##0.00\ [$EUR]"/>
    <numFmt numFmtId="174" formatCode="#,##0.0000"/>
  </numFmts>
  <fonts count="34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b/>
      <sz val="10"/>
      <name val="Arial"/>
      <family val="2"/>
      <charset val="238"/>
    </font>
    <font>
      <b/>
      <sz val="18"/>
      <name val="Arial"/>
      <family val="2"/>
      <charset val="238"/>
    </font>
    <font>
      <sz val="10"/>
      <color indexed="9"/>
      <name val="Arial"/>
      <family val="2"/>
      <charset val="238"/>
    </font>
    <font>
      <sz val="12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sz val="20"/>
      <name val="Arial"/>
      <family val="2"/>
      <charset val="238"/>
    </font>
    <font>
      <sz val="10"/>
      <color theme="6" tint="0.79998168889431442"/>
      <name val="Arial"/>
      <family val="2"/>
      <charset val="238"/>
    </font>
    <font>
      <sz val="10"/>
      <color theme="9" tint="0.79998168889431442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1"/>
      <name val="Calibri"/>
      <family val="2"/>
      <charset val="238"/>
    </font>
    <font>
      <i/>
      <sz val="10"/>
      <color rgb="FF00B0F0"/>
      <name val="Arial"/>
      <family val="2"/>
      <charset val="238"/>
    </font>
    <font>
      <sz val="12"/>
      <color rgb="FFFF0000"/>
      <name val="Arial"/>
      <family val="2"/>
      <charset val="238"/>
    </font>
    <font>
      <i/>
      <sz val="10"/>
      <name val="Arial"/>
      <family val="2"/>
      <charset val="238"/>
    </font>
    <font>
      <i/>
      <sz val="12"/>
      <name val="Arial"/>
      <family val="2"/>
      <charset val="238"/>
    </font>
    <font>
      <sz val="12"/>
      <color rgb="FFFF0000"/>
      <name val="Arial"/>
      <family val="2"/>
    </font>
    <font>
      <sz val="10"/>
      <color rgb="FF0070C0"/>
      <name val="Arial"/>
      <family val="2"/>
      <charset val="238"/>
    </font>
    <font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492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Alignme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8" xfId="0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horizontal="left"/>
    </xf>
    <xf numFmtId="0" fontId="0" fillId="3" borderId="2" xfId="0" applyFill="1" applyBorder="1"/>
    <xf numFmtId="0" fontId="0" fillId="3" borderId="7" xfId="0" applyFill="1" applyBorder="1"/>
    <xf numFmtId="4" fontId="3" fillId="0" borderId="9" xfId="0" applyNumberFormat="1" applyFont="1" applyBorder="1"/>
    <xf numFmtId="0" fontId="3" fillId="0" borderId="9" xfId="0" applyFont="1" applyBorder="1"/>
    <xf numFmtId="0" fontId="0" fillId="4" borderId="1" xfId="0" applyFill="1" applyBorder="1"/>
    <xf numFmtId="0" fontId="0" fillId="4" borderId="8" xfId="0" applyFill="1" applyBorder="1" applyAlignment="1">
      <alignment horizontal="left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 applyAlignment="1">
      <alignment horizontal="left"/>
    </xf>
    <xf numFmtId="0" fontId="0" fillId="4" borderId="8" xfId="0" applyFill="1" applyBorder="1"/>
    <xf numFmtId="0" fontId="0" fillId="4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0" xfId="0" applyNumberFormat="1" applyFill="1" applyBorder="1" applyAlignment="1">
      <alignment horizontal="left" indent="1"/>
    </xf>
    <xf numFmtId="4" fontId="3" fillId="0" borderId="9" xfId="0" applyNumberFormat="1" applyFont="1" applyBorder="1" applyProtection="1">
      <protection locked="0"/>
    </xf>
    <xf numFmtId="0" fontId="3" fillId="0" borderId="9" xfId="0" applyFont="1" applyBorder="1" applyProtection="1">
      <protection locked="0"/>
    </xf>
    <xf numFmtId="10" fontId="3" fillId="0" borderId="9" xfId="0" applyNumberFormat="1" applyFont="1" applyBorder="1" applyProtection="1">
      <protection locked="0"/>
    </xf>
    <xf numFmtId="4" fontId="0" fillId="0" borderId="0" xfId="0" applyNumberFormat="1"/>
    <xf numFmtId="4" fontId="3" fillId="0" borderId="9" xfId="0" applyNumberFormat="1" applyFont="1" applyBorder="1" applyProtection="1">
      <protection hidden="1"/>
    </xf>
    <xf numFmtId="165" fontId="4" fillId="0" borderId="0" xfId="0" applyNumberFormat="1" applyFont="1" applyBorder="1" applyAlignment="1" applyProtection="1">
      <alignment vertical="center" wrapText="1"/>
    </xf>
    <xf numFmtId="165" fontId="4" fillId="0" borderId="12" xfId="0" applyNumberFormat="1" applyFont="1" applyBorder="1" applyAlignment="1" applyProtection="1">
      <alignment vertical="center" wrapText="1"/>
    </xf>
    <xf numFmtId="165" fontId="4" fillId="0" borderId="13" xfId="0" applyNumberFormat="1" applyFont="1" applyBorder="1" applyAlignment="1" applyProtection="1">
      <alignment vertical="center" wrapText="1"/>
    </xf>
    <xf numFmtId="165" fontId="4" fillId="0" borderId="14" xfId="0" applyNumberFormat="1" applyFont="1" applyBorder="1" applyAlignment="1" applyProtection="1">
      <alignment vertical="center" wrapText="1"/>
    </xf>
    <xf numFmtId="10" fontId="3" fillId="0" borderId="0" xfId="0" applyNumberFormat="1" applyFont="1" applyBorder="1" applyProtection="1">
      <protection locked="0"/>
    </xf>
    <xf numFmtId="0" fontId="1" fillId="0" borderId="0" xfId="0" applyFont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7" xfId="0" applyFill="1" applyBorder="1"/>
    <xf numFmtId="0" fontId="0" fillId="4" borderId="18" xfId="0" applyFill="1" applyBorder="1"/>
    <xf numFmtId="0" fontId="0" fillId="6" borderId="8" xfId="0" applyFill="1" applyBorder="1" applyAlignment="1">
      <alignment horizontal="left"/>
    </xf>
    <xf numFmtId="0" fontId="0" fillId="6" borderId="8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5" xfId="0" applyFill="1" applyBorder="1"/>
    <xf numFmtId="0" fontId="0" fillId="6" borderId="4" xfId="0" applyFill="1" applyBorder="1"/>
    <xf numFmtId="0" fontId="0" fillId="6" borderId="4" xfId="0" applyFill="1" applyBorder="1" applyAlignment="1">
      <alignment horizontal="left"/>
    </xf>
    <xf numFmtId="0" fontId="0" fillId="6" borderId="3" xfId="0" applyFill="1" applyBorder="1"/>
    <xf numFmtId="0" fontId="0" fillId="6" borderId="2" xfId="0" applyFill="1" applyBorder="1"/>
    <xf numFmtId="0" fontId="0" fillId="6" borderId="1" xfId="0" applyFill="1" applyBorder="1"/>
    <xf numFmtId="0" fontId="0" fillId="0" borderId="0" xfId="0" applyProtection="1"/>
    <xf numFmtId="0" fontId="10" fillId="0" borderId="0" xfId="0" applyFont="1" applyProtection="1"/>
    <xf numFmtId="0" fontId="10" fillId="0" borderId="0" xfId="0" applyFont="1" applyAlignment="1" applyProtection="1">
      <alignment horizontal="left"/>
      <protection hidden="1"/>
    </xf>
    <xf numFmtId="165" fontId="11" fillId="0" borderId="0" xfId="0" applyNumberFormat="1" applyFont="1" applyBorder="1" applyAlignment="1" applyProtection="1">
      <alignment vertical="center" wrapText="1"/>
    </xf>
    <xf numFmtId="0" fontId="10" fillId="0" borderId="0" xfId="0" applyFont="1" applyAlignment="1" applyProtection="1">
      <alignment horizontal="left"/>
    </xf>
    <xf numFmtId="0" fontId="10" fillId="0" borderId="0" xfId="0" applyFont="1"/>
    <xf numFmtId="10" fontId="9" fillId="0" borderId="9" xfId="0" applyNumberFormat="1" applyFont="1" applyBorder="1" applyProtection="1">
      <protection hidden="1"/>
    </xf>
    <xf numFmtId="2" fontId="0" fillId="0" borderId="0" xfId="0" applyNumberFormat="1"/>
    <xf numFmtId="0" fontId="8" fillId="0" borderId="0" xfId="0" applyFont="1" applyBorder="1" applyProtection="1">
      <protection locked="0"/>
    </xf>
    <xf numFmtId="0" fontId="12" fillId="0" borderId="0" xfId="0" applyFont="1" applyBorder="1" applyProtection="1">
      <protection locked="0"/>
    </xf>
    <xf numFmtId="10" fontId="10" fillId="0" borderId="0" xfId="1" applyNumberFormat="1" applyFont="1" applyAlignment="1" applyProtection="1">
      <alignment horizontal="left"/>
      <protection locked="0"/>
    </xf>
    <xf numFmtId="168" fontId="10" fillId="0" borderId="0" xfId="1" applyNumberFormat="1" applyFont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4" fontId="4" fillId="0" borderId="9" xfId="0" applyNumberFormat="1" applyFont="1" applyBorder="1" applyProtection="1">
      <protection hidden="1"/>
    </xf>
    <xf numFmtId="0" fontId="0" fillId="4" borderId="0" xfId="0" applyFill="1" applyBorder="1" applyProtection="1">
      <protection hidden="1"/>
    </xf>
    <xf numFmtId="4" fontId="4" fillId="0" borderId="15" xfId="0" applyNumberFormat="1" applyFont="1" applyBorder="1" applyAlignment="1" applyProtection="1">
      <alignment horizontal="right"/>
      <protection hidden="1"/>
    </xf>
    <xf numFmtId="4" fontId="4" fillId="0" borderId="16" xfId="0" applyNumberFormat="1" applyFont="1" applyBorder="1" applyProtection="1">
      <protection hidden="1"/>
    </xf>
    <xf numFmtId="4" fontId="4" fillId="0" borderId="16" xfId="0" applyNumberFormat="1" applyFont="1" applyBorder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8" borderId="25" xfId="0" applyFont="1" applyFill="1" applyBorder="1" applyAlignment="1" applyProtection="1">
      <protection hidden="1"/>
    </xf>
    <xf numFmtId="0" fontId="16" fillId="8" borderId="9" xfId="0" applyFont="1" applyFill="1" applyBorder="1" applyAlignment="1" applyProtection="1">
      <alignment horizontal="center"/>
      <protection hidden="1"/>
    </xf>
    <xf numFmtId="169" fontId="16" fillId="8" borderId="9" xfId="0" applyNumberFormat="1" applyFont="1" applyFill="1" applyBorder="1" applyAlignment="1" applyProtection="1">
      <alignment horizontal="center"/>
      <protection hidden="1"/>
    </xf>
    <xf numFmtId="1" fontId="16" fillId="8" borderId="25" xfId="0" applyNumberFormat="1" applyFont="1" applyFill="1" applyBorder="1" applyAlignment="1" applyProtection="1">
      <alignment horizontal="center"/>
      <protection hidden="1"/>
    </xf>
    <xf numFmtId="1" fontId="16" fillId="8" borderId="26" xfId="0" applyNumberFormat="1" applyFont="1" applyFill="1" applyBorder="1" applyAlignment="1" applyProtection="1">
      <alignment horizontal="center"/>
      <protection hidden="1"/>
    </xf>
    <xf numFmtId="169" fontId="16" fillId="8" borderId="27" xfId="0" applyNumberFormat="1" applyFont="1" applyFill="1" applyBorder="1" applyAlignment="1" applyProtection="1">
      <alignment horizontal="center"/>
      <protection hidden="1"/>
    </xf>
    <xf numFmtId="1" fontId="16" fillId="8" borderId="9" xfId="0" applyNumberFormat="1" applyFont="1" applyFill="1" applyBorder="1" applyAlignment="1" applyProtection="1">
      <alignment horizontal="center"/>
      <protection hidden="1"/>
    </xf>
    <xf numFmtId="1" fontId="16" fillId="8" borderId="15" xfId="0" applyNumberFormat="1" applyFont="1" applyFill="1" applyBorder="1" applyAlignment="1" applyProtection="1">
      <alignment horizontal="center"/>
      <protection hidden="1"/>
    </xf>
    <xf numFmtId="169" fontId="16" fillId="8" borderId="15" xfId="0" applyNumberFormat="1" applyFont="1" applyFill="1" applyBorder="1" applyAlignment="1" applyProtection="1">
      <alignment horizontal="center"/>
      <protection hidden="1"/>
    </xf>
    <xf numFmtId="0" fontId="14" fillId="9" borderId="19" xfId="0" applyFont="1" applyFill="1" applyBorder="1" applyAlignment="1" applyProtection="1">
      <alignment horizontal="left"/>
      <protection hidden="1"/>
    </xf>
    <xf numFmtId="0" fontId="0" fillId="9" borderId="20" xfId="0" applyFill="1" applyBorder="1" applyAlignment="1" applyProtection="1">
      <protection hidden="1"/>
    </xf>
    <xf numFmtId="0" fontId="0" fillId="0" borderId="0" xfId="0" applyProtection="1">
      <protection hidden="1"/>
    </xf>
    <xf numFmtId="0" fontId="0" fillId="9" borderId="21" xfId="0" applyFill="1" applyBorder="1" applyAlignment="1" applyProtection="1">
      <protection hidden="1"/>
    </xf>
    <xf numFmtId="0" fontId="0" fillId="9" borderId="0" xfId="0" applyFill="1" applyBorder="1" applyProtection="1">
      <protection hidden="1"/>
    </xf>
    <xf numFmtId="169" fontId="0" fillId="10" borderId="0" xfId="0" applyNumberFormat="1" applyFill="1" applyBorder="1" applyProtection="1">
      <protection hidden="1"/>
    </xf>
    <xf numFmtId="171" fontId="0" fillId="9" borderId="0" xfId="0" applyNumberFormat="1" applyFill="1" applyBorder="1" applyProtection="1">
      <protection hidden="1"/>
    </xf>
    <xf numFmtId="169" fontId="20" fillId="9" borderId="0" xfId="0" applyNumberFormat="1" applyFont="1" applyFill="1" applyBorder="1" applyProtection="1">
      <protection hidden="1"/>
    </xf>
    <xf numFmtId="10" fontId="0" fillId="10" borderId="0" xfId="0" applyNumberForma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6" fillId="9" borderId="21" xfId="0" applyFont="1" applyFill="1" applyBorder="1" applyAlignment="1" applyProtection="1">
      <alignment horizontal="left"/>
      <protection hidden="1"/>
    </xf>
    <xf numFmtId="14" fontId="0" fillId="9" borderId="0" xfId="0" applyNumberFormat="1" applyFill="1" applyBorder="1" applyProtection="1">
      <protection hidden="1"/>
    </xf>
    <xf numFmtId="0" fontId="0" fillId="9" borderId="22" xfId="0" applyFill="1" applyBorder="1" applyAlignment="1" applyProtection="1">
      <protection hidden="1"/>
    </xf>
    <xf numFmtId="0" fontId="0" fillId="9" borderId="13" xfId="0" applyFill="1" applyBorder="1" applyProtection="1">
      <protection hidden="1"/>
    </xf>
    <xf numFmtId="0" fontId="1" fillId="9" borderId="13" xfId="0" applyFont="1" applyFill="1" applyBorder="1" applyProtection="1">
      <protection hidden="1"/>
    </xf>
    <xf numFmtId="0" fontId="17" fillId="9" borderId="23" xfId="0" applyFont="1" applyFill="1" applyBorder="1" applyAlignment="1" applyProtection="1">
      <alignment horizontal="center"/>
      <protection hidden="1"/>
    </xf>
    <xf numFmtId="0" fontId="17" fillId="9" borderId="24" xfId="0" applyFont="1" applyFill="1" applyBorder="1" applyAlignment="1" applyProtection="1">
      <alignment horizontal="center"/>
      <protection hidden="1"/>
    </xf>
    <xf numFmtId="0" fontId="17" fillId="9" borderId="25" xfId="0" applyFont="1" applyFill="1" applyBorder="1" applyAlignment="1" applyProtection="1">
      <alignment horizontal="center"/>
      <protection hidden="1"/>
    </xf>
    <xf numFmtId="0" fontId="17" fillId="9" borderId="9" xfId="0" applyFont="1" applyFill="1" applyBorder="1" applyAlignment="1" applyProtection="1">
      <alignment horizontal="center"/>
      <protection hidden="1"/>
    </xf>
    <xf numFmtId="0" fontId="16" fillId="9" borderId="25" xfId="0" applyFont="1" applyFill="1" applyBorder="1" applyAlignment="1" applyProtection="1">
      <protection hidden="1"/>
    </xf>
    <xf numFmtId="0" fontId="16" fillId="9" borderId="9" xfId="0" applyFont="1" applyFill="1" applyBorder="1" applyAlignment="1" applyProtection="1">
      <alignment horizontal="center"/>
      <protection hidden="1"/>
    </xf>
    <xf numFmtId="169" fontId="16" fillId="9" borderId="9" xfId="0" applyNumberFormat="1" applyFont="1" applyFill="1" applyBorder="1" applyAlignment="1" applyProtection="1">
      <alignment horizontal="center"/>
      <protection hidden="1"/>
    </xf>
    <xf numFmtId="1" fontId="16" fillId="9" borderId="25" xfId="0" applyNumberFormat="1" applyFont="1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4" fontId="4" fillId="5" borderId="9" xfId="0" applyNumberFormat="1" applyFont="1" applyFill="1" applyBorder="1" applyAlignment="1" applyProtection="1">
      <alignment horizontal="right"/>
      <protection hidden="1"/>
    </xf>
    <xf numFmtId="10" fontId="13" fillId="6" borderId="9" xfId="0" applyNumberFormat="1" applyFont="1" applyFill="1" applyBorder="1" applyProtection="1">
      <protection hidden="1"/>
    </xf>
    <xf numFmtId="0" fontId="14" fillId="8" borderId="19" xfId="0" applyFont="1" applyFill="1" applyBorder="1" applyAlignment="1" applyProtection="1">
      <alignment horizontal="left"/>
    </xf>
    <xf numFmtId="0" fontId="15" fillId="8" borderId="20" xfId="0" applyFont="1" applyFill="1" applyBorder="1" applyAlignment="1" applyProtection="1">
      <alignment horizontal="left"/>
    </xf>
    <xf numFmtId="0" fontId="0" fillId="8" borderId="21" xfId="0" applyFill="1" applyBorder="1" applyAlignment="1" applyProtection="1"/>
    <xf numFmtId="0" fontId="0" fillId="8" borderId="0" xfId="0" applyFill="1" applyBorder="1" applyProtection="1"/>
    <xf numFmtId="170" fontId="0" fillId="8" borderId="0" xfId="0" applyNumberFormat="1" applyFill="1" applyBorder="1" applyProtection="1"/>
    <xf numFmtId="0" fontId="19" fillId="8" borderId="0" xfId="0" applyFont="1" applyFill="1" applyBorder="1" applyProtection="1"/>
    <xf numFmtId="164" fontId="19" fillId="8" borderId="0" xfId="0" applyNumberFormat="1" applyFont="1" applyFill="1" applyBorder="1" applyProtection="1"/>
    <xf numFmtId="0" fontId="16" fillId="8" borderId="21" xfId="0" applyFont="1" applyFill="1" applyBorder="1" applyAlignment="1" applyProtection="1">
      <alignment horizontal="left"/>
    </xf>
    <xf numFmtId="14" fontId="0" fillId="8" borderId="0" xfId="0" applyNumberFormat="1" applyFill="1" applyBorder="1" applyProtection="1"/>
    <xf numFmtId="0" fontId="0" fillId="0" borderId="0" xfId="0" applyBorder="1" applyProtection="1"/>
    <xf numFmtId="0" fontId="0" fillId="8" borderId="22" xfId="0" applyFill="1" applyBorder="1" applyAlignment="1" applyProtection="1"/>
    <xf numFmtId="0" fontId="0" fillId="8" borderId="13" xfId="0" applyFill="1" applyBorder="1" applyProtection="1"/>
    <xf numFmtId="0" fontId="1" fillId="8" borderId="13" xfId="0" applyFont="1" applyFill="1" applyBorder="1" applyProtection="1"/>
    <xf numFmtId="0" fontId="17" fillId="8" borderId="23" xfId="0" applyFont="1" applyFill="1" applyBorder="1" applyAlignment="1" applyProtection="1">
      <alignment horizontal="center"/>
    </xf>
    <xf numFmtId="0" fontId="17" fillId="8" borderId="24" xfId="0" applyFont="1" applyFill="1" applyBorder="1" applyAlignment="1" applyProtection="1">
      <alignment horizontal="center"/>
    </xf>
    <xf numFmtId="0" fontId="17" fillId="8" borderId="25" xfId="0" applyFont="1" applyFill="1" applyBorder="1" applyAlignment="1" applyProtection="1">
      <alignment horizontal="center"/>
    </xf>
    <xf numFmtId="0" fontId="17" fillId="8" borderId="9" xfId="0" applyFont="1" applyFill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69" fontId="16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169" fontId="0" fillId="0" borderId="0" xfId="0" applyNumberFormat="1" applyProtection="1"/>
    <xf numFmtId="169" fontId="0" fillId="7" borderId="0" xfId="0" applyNumberFormat="1" applyFill="1" applyBorder="1" applyProtection="1">
      <protection hidden="1"/>
    </xf>
    <xf numFmtId="10" fontId="0" fillId="7" borderId="0" xfId="0" applyNumberFormat="1" applyFill="1" applyBorder="1" applyProtection="1">
      <protection hidden="1"/>
    </xf>
    <xf numFmtId="0" fontId="0" fillId="7" borderId="0" xfId="0" applyFill="1" applyBorder="1" applyProtection="1">
      <protection hidden="1"/>
    </xf>
    <xf numFmtId="0" fontId="6" fillId="0" borderId="0" xfId="0" applyFont="1" applyProtection="1">
      <protection hidden="1"/>
    </xf>
    <xf numFmtId="4" fontId="0" fillId="0" borderId="0" xfId="0" applyNumberFormat="1" applyProtection="1">
      <protection hidden="1"/>
    </xf>
    <xf numFmtId="10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166" fontId="0" fillId="0" borderId="0" xfId="0" applyNumberFormat="1" applyProtection="1">
      <protection hidden="1"/>
    </xf>
    <xf numFmtId="0" fontId="1" fillId="0" borderId="0" xfId="0" applyFont="1" applyProtection="1">
      <protection hidden="1"/>
    </xf>
    <xf numFmtId="167" fontId="0" fillId="0" borderId="0" xfId="0" applyNumberFormat="1" applyProtection="1">
      <protection hidden="1"/>
    </xf>
    <xf numFmtId="0" fontId="0" fillId="0" borderId="0" xfId="0" applyProtection="1">
      <protection locked="0"/>
    </xf>
    <xf numFmtId="0" fontId="3" fillId="0" borderId="9" xfId="0" applyFont="1" applyBorder="1" applyProtection="1"/>
    <xf numFmtId="14" fontId="3" fillId="0" borderId="9" xfId="0" applyNumberFormat="1" applyFont="1" applyBorder="1" applyProtection="1">
      <protection locked="0"/>
    </xf>
    <xf numFmtId="0" fontId="3" fillId="0" borderId="9" xfId="0" applyNumberFormat="1" applyFont="1" applyBorder="1" applyProtection="1">
      <protection locked="0"/>
    </xf>
    <xf numFmtId="0" fontId="1" fillId="0" borderId="10" xfId="0" applyNumberFormat="1" applyFont="1" applyBorder="1" applyAlignment="1">
      <alignment horizontal="left" indent="1"/>
    </xf>
    <xf numFmtId="0" fontId="0" fillId="0" borderId="11" xfId="0" applyNumberFormat="1" applyBorder="1" applyAlignment="1">
      <alignment horizontal="left" indent="1"/>
    </xf>
    <xf numFmtId="4" fontId="3" fillId="9" borderId="9" xfId="0" applyNumberFormat="1" applyFont="1" applyFill="1" applyBorder="1" applyProtection="1">
      <protection locked="0"/>
    </xf>
    <xf numFmtId="0" fontId="3" fillId="9" borderId="9" xfId="0" applyFont="1" applyFill="1" applyBorder="1" applyProtection="1">
      <protection locked="0"/>
    </xf>
    <xf numFmtId="0" fontId="3" fillId="9" borderId="9" xfId="0" applyFont="1" applyFill="1" applyBorder="1"/>
    <xf numFmtId="4" fontId="3" fillId="9" borderId="9" xfId="0" applyNumberFormat="1" applyFont="1" applyFill="1" applyBorder="1" applyProtection="1">
      <protection hidden="1"/>
    </xf>
    <xf numFmtId="4" fontId="3" fillId="9" borderId="9" xfId="0" applyNumberFormat="1" applyFont="1" applyFill="1" applyBorder="1"/>
    <xf numFmtId="0" fontId="0" fillId="4" borderId="0" xfId="0" applyFill="1" applyBorder="1" applyAlignment="1">
      <alignment horizontal="left"/>
    </xf>
    <xf numFmtId="0" fontId="0" fillId="4" borderId="0" xfId="0" applyFill="1" applyBorder="1"/>
    <xf numFmtId="0" fontId="0" fillId="11" borderId="28" xfId="0" applyFill="1" applyBorder="1"/>
    <xf numFmtId="0" fontId="0" fillId="11" borderId="28" xfId="0" applyFill="1" applyBorder="1" applyAlignment="1">
      <alignment horizontal="left"/>
    </xf>
    <xf numFmtId="4" fontId="3" fillId="8" borderId="9" xfId="0" applyNumberFormat="1" applyFont="1" applyFill="1" applyBorder="1" applyProtection="1">
      <protection locked="0"/>
    </xf>
    <xf numFmtId="0" fontId="3" fillId="8" borderId="9" xfId="0" applyFont="1" applyFill="1" applyBorder="1" applyProtection="1">
      <protection locked="0"/>
    </xf>
    <xf numFmtId="0" fontId="3" fillId="8" borderId="9" xfId="0" applyFont="1" applyFill="1" applyBorder="1"/>
    <xf numFmtId="4" fontId="3" fillId="8" borderId="9" xfId="0" applyNumberFormat="1" applyFont="1" applyFill="1" applyBorder="1" applyProtection="1">
      <protection hidden="1"/>
    </xf>
    <xf numFmtId="4" fontId="3" fillId="8" borderId="9" xfId="0" applyNumberFormat="1" applyFont="1" applyFill="1" applyBorder="1"/>
    <xf numFmtId="4" fontId="3" fillId="0" borderId="9" xfId="0" applyNumberFormat="1" applyFont="1" applyFill="1" applyBorder="1" applyProtection="1">
      <protection hidden="1"/>
    </xf>
    <xf numFmtId="9" fontId="3" fillId="0" borderId="9" xfId="0" applyNumberFormat="1" applyFont="1" applyBorder="1" applyProtection="1">
      <protection locked="0"/>
    </xf>
    <xf numFmtId="9" fontId="9" fillId="0" borderId="9" xfId="0" applyNumberFormat="1" applyFont="1" applyBorder="1" applyProtection="1">
      <protection locked="0"/>
    </xf>
    <xf numFmtId="4" fontId="4" fillId="5" borderId="9" xfId="0" applyNumberFormat="1" applyFont="1" applyFill="1" applyBorder="1" applyAlignment="1">
      <alignment horizontal="right"/>
    </xf>
    <xf numFmtId="10" fontId="13" fillId="6" borderId="9" xfId="0" applyNumberFormat="1" applyFont="1" applyFill="1" applyBorder="1"/>
    <xf numFmtId="9" fontId="1" fillId="0" borderId="0" xfId="0" applyNumberFormat="1" applyFont="1" applyAlignment="1">
      <alignment horizontal="left"/>
    </xf>
    <xf numFmtId="172" fontId="0" fillId="0" borderId="0" xfId="0" applyNumberFormat="1" applyProtection="1">
      <protection hidden="1"/>
    </xf>
    <xf numFmtId="4" fontId="9" fillId="0" borderId="9" xfId="0" applyNumberFormat="1" applyFont="1" applyBorder="1" applyProtection="1">
      <protection locked="0"/>
    </xf>
    <xf numFmtId="14" fontId="3" fillId="9" borderId="9" xfId="0" applyNumberFormat="1" applyFont="1" applyFill="1" applyBorder="1" applyProtection="1">
      <protection locked="0"/>
    </xf>
    <xf numFmtId="9" fontId="9" fillId="0" borderId="9" xfId="0" applyNumberFormat="1" applyFont="1" applyBorder="1" applyAlignment="1" applyProtection="1">
      <alignment horizontal="right"/>
      <protection locked="0" hidden="1"/>
    </xf>
    <xf numFmtId="9" fontId="3" fillId="0" borderId="9" xfId="0" applyNumberFormat="1" applyFont="1" applyBorder="1" applyAlignment="1" applyProtection="1">
      <alignment horizontal="right"/>
      <protection locked="0" hidden="1"/>
    </xf>
    <xf numFmtId="4" fontId="9" fillId="0" borderId="9" xfId="0" applyNumberFormat="1" applyFont="1" applyBorder="1" applyAlignment="1" applyProtection="1">
      <alignment horizontal="right"/>
      <protection locked="0" hidden="1"/>
    </xf>
    <xf numFmtId="4" fontId="1" fillId="0" borderId="0" xfId="0" applyNumberFormat="1" applyFont="1" applyProtection="1">
      <protection hidden="1"/>
    </xf>
    <xf numFmtId="9" fontId="9" fillId="0" borderId="9" xfId="0" applyNumberFormat="1" applyFont="1" applyBorder="1" applyAlignment="1" applyProtection="1">
      <alignment horizontal="right"/>
      <protection hidden="1"/>
    </xf>
    <xf numFmtId="10" fontId="9" fillId="0" borderId="9" xfId="0" applyNumberFormat="1" applyFont="1" applyBorder="1" applyAlignment="1" applyProtection="1">
      <alignment horizontal="right"/>
      <protection hidden="1"/>
    </xf>
    <xf numFmtId="0" fontId="10" fillId="12" borderId="0" xfId="0" applyFont="1" applyFill="1" applyProtection="1"/>
    <xf numFmtId="0" fontId="10" fillId="12" borderId="0" xfId="0" applyFont="1" applyFill="1" applyAlignment="1" applyProtection="1">
      <alignment horizontal="left"/>
    </xf>
    <xf numFmtId="0" fontId="1" fillId="12" borderId="0" xfId="0" applyFont="1" applyFill="1" applyProtection="1">
      <protection hidden="1"/>
    </xf>
    <xf numFmtId="4" fontId="0" fillId="12" borderId="0" xfId="0" applyNumberFormat="1" applyFill="1" applyProtection="1">
      <protection hidden="1"/>
    </xf>
    <xf numFmtId="167" fontId="0" fillId="12" borderId="0" xfId="0" applyNumberFormat="1" applyFill="1" applyProtection="1">
      <protection hidden="1"/>
    </xf>
    <xf numFmtId="0" fontId="10" fillId="12" borderId="0" xfId="0" applyFont="1" applyFill="1" applyAlignment="1" applyProtection="1">
      <alignment horizontal="left"/>
      <protection locked="0"/>
    </xf>
    <xf numFmtId="172" fontId="0" fillId="12" borderId="0" xfId="0" applyNumberFormat="1" applyFill="1" applyProtection="1">
      <protection hidden="1"/>
    </xf>
    <xf numFmtId="4" fontId="3" fillId="12" borderId="9" xfId="0" applyNumberFormat="1" applyFont="1" applyFill="1" applyBorder="1" applyProtection="1">
      <protection hidden="1"/>
    </xf>
    <xf numFmtId="4" fontId="9" fillId="12" borderId="9" xfId="0" applyNumberFormat="1" applyFont="1" applyFill="1" applyBorder="1" applyAlignment="1" applyProtection="1">
      <alignment horizontal="right"/>
      <protection hidden="1"/>
    </xf>
    <xf numFmtId="4" fontId="9" fillId="12" borderId="9" xfId="0" applyNumberFormat="1" applyFont="1" applyFill="1" applyBorder="1" applyProtection="1">
      <protection hidden="1"/>
    </xf>
    <xf numFmtId="4" fontId="3" fillId="0" borderId="9" xfId="0" applyNumberFormat="1" applyFont="1" applyFill="1" applyBorder="1" applyProtection="1">
      <protection locked="0"/>
    </xf>
    <xf numFmtId="4" fontId="9" fillId="0" borderId="9" xfId="0" applyNumberFormat="1" applyFont="1" applyFill="1" applyBorder="1" applyProtection="1">
      <protection locked="0"/>
    </xf>
    <xf numFmtId="4" fontId="9" fillId="0" borderId="9" xfId="0" applyNumberFormat="1" applyFont="1" applyFill="1" applyBorder="1" applyAlignment="1" applyProtection="1">
      <alignment horizontal="right"/>
      <protection locked="0" hidden="1"/>
    </xf>
    <xf numFmtId="4" fontId="3" fillId="0" borderId="11" xfId="0" applyNumberFormat="1" applyFont="1" applyBorder="1" applyProtection="1">
      <protection locked="0"/>
    </xf>
    <xf numFmtId="0" fontId="22" fillId="0" borderId="29" xfId="0" applyNumberFormat="1" applyFont="1" applyBorder="1" applyAlignment="1">
      <alignment horizontal="left" indent="1"/>
    </xf>
    <xf numFmtId="0" fontId="0" fillId="0" borderId="30" xfId="0" applyNumberFormat="1" applyBorder="1" applyAlignment="1">
      <alignment horizontal="left" indent="1"/>
    </xf>
    <xf numFmtId="0" fontId="1" fillId="0" borderId="33" xfId="0" applyNumberFormat="1" applyFont="1" applyBorder="1" applyAlignment="1">
      <alignment horizontal="left" indent="1"/>
    </xf>
    <xf numFmtId="0" fontId="0" fillId="0" borderId="34" xfId="0" applyNumberFormat="1" applyBorder="1" applyAlignment="1">
      <alignment horizontal="left" indent="1"/>
    </xf>
    <xf numFmtId="0" fontId="1" fillId="0" borderId="35" xfId="0" applyNumberFormat="1" applyFont="1" applyBorder="1" applyAlignment="1">
      <alignment horizontal="left" indent="1"/>
    </xf>
    <xf numFmtId="0" fontId="0" fillId="0" borderId="36" xfId="0" applyNumberFormat="1" applyBorder="1" applyAlignment="1">
      <alignment horizontal="left" indent="1"/>
    </xf>
    <xf numFmtId="0" fontId="22" fillId="0" borderId="37" xfId="0" applyNumberFormat="1" applyFont="1" applyBorder="1" applyAlignment="1">
      <alignment horizontal="left" indent="1"/>
    </xf>
    <xf numFmtId="0" fontId="0" fillId="0" borderId="38" xfId="0" applyNumberFormat="1" applyBorder="1" applyAlignment="1">
      <alignment horizontal="left" indent="1"/>
    </xf>
    <xf numFmtId="0" fontId="23" fillId="2" borderId="0" xfId="0" applyFont="1" applyFill="1" applyBorder="1" applyAlignment="1">
      <alignment horizontal="left"/>
    </xf>
    <xf numFmtId="0" fontId="23" fillId="11" borderId="28" xfId="0" applyFont="1" applyFill="1" applyBorder="1" applyAlignment="1">
      <alignment horizontal="left"/>
    </xf>
    <xf numFmtId="0" fontId="22" fillId="8" borderId="29" xfId="0" applyNumberFormat="1" applyFont="1" applyFill="1" applyBorder="1" applyAlignment="1">
      <alignment horizontal="left" indent="1"/>
    </xf>
    <xf numFmtId="0" fontId="0" fillId="8" borderId="30" xfId="0" applyNumberFormat="1" applyFill="1" applyBorder="1" applyAlignment="1">
      <alignment horizontal="left" indent="1"/>
    </xf>
    <xf numFmtId="4" fontId="3" fillId="8" borderId="15" xfId="0" applyNumberFormat="1" applyFont="1" applyFill="1" applyBorder="1" applyProtection="1">
      <protection locked="0"/>
    </xf>
    <xf numFmtId="0" fontId="1" fillId="8" borderId="33" xfId="0" applyNumberFormat="1" applyFont="1" applyFill="1" applyBorder="1" applyAlignment="1">
      <alignment horizontal="left" indent="1"/>
    </xf>
    <xf numFmtId="0" fontId="0" fillId="8" borderId="39" xfId="0" applyNumberFormat="1" applyFill="1" applyBorder="1" applyAlignment="1">
      <alignment horizontal="left" indent="1"/>
    </xf>
    <xf numFmtId="4" fontId="3" fillId="8" borderId="40" xfId="0" applyNumberFormat="1" applyFont="1" applyFill="1" applyBorder="1" applyProtection="1">
      <protection locked="0"/>
    </xf>
    <xf numFmtId="0" fontId="1" fillId="8" borderId="35" xfId="0" applyNumberFormat="1" applyFont="1" applyFill="1" applyBorder="1" applyAlignment="1">
      <alignment horizontal="left" indent="1"/>
    </xf>
    <xf numFmtId="0" fontId="0" fillId="8" borderId="41" xfId="0" applyNumberFormat="1" applyFill="1" applyBorder="1" applyAlignment="1">
      <alignment horizontal="left" indent="1"/>
    </xf>
    <xf numFmtId="4" fontId="3" fillId="8" borderId="42" xfId="0" applyNumberFormat="1" applyFont="1" applyFill="1" applyBorder="1" applyProtection="1">
      <protection locked="0"/>
    </xf>
    <xf numFmtId="0" fontId="22" fillId="8" borderId="37" xfId="0" applyNumberFormat="1" applyFont="1" applyFill="1" applyBorder="1" applyAlignment="1">
      <alignment horizontal="left" indent="1"/>
    </xf>
    <xf numFmtId="0" fontId="0" fillId="8" borderId="38" xfId="0" applyNumberFormat="1" applyFill="1" applyBorder="1" applyAlignment="1">
      <alignment horizontal="left" indent="1"/>
    </xf>
    <xf numFmtId="4" fontId="3" fillId="8" borderId="43" xfId="0" applyNumberFormat="1" applyFont="1" applyFill="1" applyBorder="1" applyProtection="1">
      <protection locked="0"/>
    </xf>
    <xf numFmtId="0" fontId="22" fillId="9" borderId="29" xfId="0" applyNumberFormat="1" applyFont="1" applyFill="1" applyBorder="1" applyAlignment="1">
      <alignment horizontal="left" indent="1"/>
    </xf>
    <xf numFmtId="0" fontId="0" fillId="9" borderId="30" xfId="0" applyNumberFormat="1" applyFill="1" applyBorder="1" applyAlignment="1">
      <alignment horizontal="left" indent="1"/>
    </xf>
    <xf numFmtId="4" fontId="3" fillId="9" borderId="15" xfId="0" applyNumberFormat="1" applyFont="1" applyFill="1" applyBorder="1" applyProtection="1">
      <protection locked="0"/>
    </xf>
    <xf numFmtId="0" fontId="1" fillId="9" borderId="33" xfId="0" applyNumberFormat="1" applyFont="1" applyFill="1" applyBorder="1" applyAlignment="1">
      <alignment horizontal="left" indent="1"/>
    </xf>
    <xf numFmtId="0" fontId="0" fillId="9" borderId="39" xfId="0" applyNumberFormat="1" applyFill="1" applyBorder="1" applyAlignment="1">
      <alignment horizontal="left" indent="1"/>
    </xf>
    <xf numFmtId="4" fontId="3" fillId="9" borderId="40" xfId="0" applyNumberFormat="1" applyFont="1" applyFill="1" applyBorder="1" applyProtection="1">
      <protection locked="0"/>
    </xf>
    <xf numFmtId="0" fontId="1" fillId="9" borderId="35" xfId="0" applyNumberFormat="1" applyFont="1" applyFill="1" applyBorder="1" applyAlignment="1">
      <alignment horizontal="left" indent="1"/>
    </xf>
    <xf numFmtId="0" fontId="0" fillId="9" borderId="41" xfId="0" applyNumberFormat="1" applyFill="1" applyBorder="1" applyAlignment="1">
      <alignment horizontal="left" indent="1"/>
    </xf>
    <xf numFmtId="4" fontId="3" fillId="9" borderId="42" xfId="0" applyNumberFormat="1" applyFont="1" applyFill="1" applyBorder="1" applyProtection="1">
      <protection locked="0"/>
    </xf>
    <xf numFmtId="0" fontId="22" fillId="9" borderId="37" xfId="0" applyNumberFormat="1" applyFont="1" applyFill="1" applyBorder="1" applyAlignment="1">
      <alignment horizontal="left" indent="1"/>
    </xf>
    <xf numFmtId="0" fontId="0" fillId="9" borderId="38" xfId="0" applyNumberFormat="1" applyFill="1" applyBorder="1" applyAlignment="1">
      <alignment horizontal="left" indent="1"/>
    </xf>
    <xf numFmtId="4" fontId="3" fillId="9" borderId="43" xfId="0" applyNumberFormat="1" applyFont="1" applyFill="1" applyBorder="1" applyProtection="1">
      <protection locked="0"/>
    </xf>
    <xf numFmtId="14" fontId="3" fillId="8" borderId="9" xfId="0" applyNumberFormat="1" applyFont="1" applyFill="1" applyBorder="1" applyProtection="1">
      <protection locked="0"/>
    </xf>
    <xf numFmtId="4" fontId="3" fillId="9" borderId="9" xfId="0" applyNumberFormat="1" applyFont="1" applyFill="1" applyBorder="1" applyProtection="1">
      <protection locked="0" hidden="1"/>
    </xf>
    <xf numFmtId="4" fontId="3" fillId="8" borderId="9" xfId="0" applyNumberFormat="1" applyFont="1" applyFill="1" applyBorder="1" applyProtection="1">
      <protection locked="0" hidden="1"/>
    </xf>
    <xf numFmtId="1" fontId="3" fillId="0" borderId="9" xfId="0" applyNumberFormat="1" applyFont="1" applyBorder="1" applyProtection="1">
      <protection locked="0"/>
    </xf>
    <xf numFmtId="0" fontId="1" fillId="12" borderId="0" xfId="0" applyFont="1" applyFill="1"/>
    <xf numFmtId="169" fontId="0" fillId="12" borderId="0" xfId="0" applyNumberFormat="1" applyFill="1"/>
    <xf numFmtId="173" fontId="0" fillId="12" borderId="0" xfId="0" applyNumberFormat="1" applyFill="1" applyProtection="1">
      <protection hidden="1"/>
    </xf>
    <xf numFmtId="0" fontId="1" fillId="0" borderId="0" xfId="0" applyFont="1" applyFill="1" applyProtection="1">
      <protection hidden="1"/>
    </xf>
    <xf numFmtId="4" fontId="0" fillId="0" borderId="0" xfId="0" applyNumberFormat="1" applyFill="1" applyProtection="1">
      <protection hidden="1"/>
    </xf>
    <xf numFmtId="166" fontId="0" fillId="12" borderId="0" xfId="0" applyNumberFormat="1" applyFill="1" applyProtection="1">
      <protection hidden="1"/>
    </xf>
    <xf numFmtId="169" fontId="0" fillId="12" borderId="0" xfId="0" applyNumberFormat="1" applyFill="1" applyProtection="1">
      <protection hidden="1"/>
    </xf>
    <xf numFmtId="0" fontId="25" fillId="0" borderId="0" xfId="0" applyFont="1" applyAlignment="1">
      <alignment vertical="center"/>
    </xf>
    <xf numFmtId="14" fontId="18" fillId="0" borderId="0" xfId="0" applyNumberFormat="1" applyFont="1" applyAlignment="1">
      <alignment horizontal="right"/>
    </xf>
    <xf numFmtId="0" fontId="22" fillId="0" borderId="30" xfId="0" applyNumberFormat="1" applyFont="1" applyBorder="1" applyAlignment="1">
      <alignment horizontal="left" indent="1"/>
    </xf>
    <xf numFmtId="0" fontId="22" fillId="9" borderId="30" xfId="0" applyNumberFormat="1" applyFont="1" applyFill="1" applyBorder="1" applyAlignment="1">
      <alignment horizontal="left" indent="1"/>
    </xf>
    <xf numFmtId="0" fontId="22" fillId="8" borderId="30" xfId="0" applyNumberFormat="1" applyFont="1" applyFill="1" applyBorder="1" applyAlignment="1">
      <alignment horizontal="left" indent="1"/>
    </xf>
    <xf numFmtId="0" fontId="0" fillId="0" borderId="11" xfId="0" applyNumberFormat="1" applyBorder="1" applyAlignment="1">
      <alignment horizontal="left" indent="1"/>
    </xf>
    <xf numFmtId="0" fontId="22" fillId="0" borderId="10" xfId="0" applyNumberFormat="1" applyFont="1" applyBorder="1" applyAlignment="1">
      <alignment horizontal="left" indent="1"/>
    </xf>
    <xf numFmtId="0" fontId="0" fillId="0" borderId="11" xfId="0" applyNumberFormat="1" applyBorder="1" applyAlignment="1">
      <alignment horizontal="left" indent="1"/>
    </xf>
    <xf numFmtId="0" fontId="22" fillId="0" borderId="10" xfId="0" applyNumberFormat="1" applyFont="1" applyBorder="1" applyAlignment="1">
      <alignment horizontal="left" indent="1"/>
    </xf>
    <xf numFmtId="0" fontId="1" fillId="8" borderId="11" xfId="2" applyNumberFormat="1" applyFill="1" applyBorder="1" applyAlignment="1">
      <alignment horizontal="left" indent="1"/>
    </xf>
    <xf numFmtId="0" fontId="1" fillId="9" borderId="11" xfId="2" applyNumberFormat="1" applyFill="1" applyBorder="1" applyAlignment="1">
      <alignment horizontal="left" indent="1"/>
    </xf>
    <xf numFmtId="4" fontId="3" fillId="0" borderId="9" xfId="0" applyNumberFormat="1" applyFont="1" applyBorder="1" applyProtection="1"/>
    <xf numFmtId="0" fontId="22" fillId="9" borderId="10" xfId="2" applyNumberFormat="1" applyFont="1" applyFill="1" applyBorder="1" applyAlignment="1">
      <alignment horizontal="left" indent="1"/>
    </xf>
    <xf numFmtId="0" fontId="22" fillId="8" borderId="10" xfId="2" applyNumberFormat="1" applyFont="1" applyFill="1" applyBorder="1" applyAlignment="1">
      <alignment horizontal="left" indent="1"/>
    </xf>
    <xf numFmtId="0" fontId="6" fillId="14" borderId="44" xfId="0" applyFont="1" applyFill="1" applyBorder="1" applyAlignment="1" applyProtection="1">
      <alignment horizontal="left" vertical="center"/>
      <protection locked="0"/>
    </xf>
    <xf numFmtId="4" fontId="3" fillId="13" borderId="46" xfId="0" applyNumberFormat="1" applyFont="1" applyFill="1" applyBorder="1" applyProtection="1">
      <protection locked="0"/>
    </xf>
    <xf numFmtId="0" fontId="6" fillId="14" borderId="50" xfId="0" applyFont="1" applyFill="1" applyBorder="1" applyAlignment="1" applyProtection="1">
      <alignment horizontal="left" vertical="center"/>
      <protection locked="0"/>
    </xf>
    <xf numFmtId="4" fontId="3" fillId="14" borderId="42" xfId="0" applyNumberFormat="1" applyFont="1" applyFill="1" applyBorder="1" applyProtection="1">
      <protection hidden="1"/>
    </xf>
    <xf numFmtId="0" fontId="6" fillId="14" borderId="52" xfId="0" applyFont="1" applyFill="1" applyBorder="1" applyAlignment="1" applyProtection="1">
      <alignment horizontal="left" vertical="center"/>
      <protection locked="0"/>
    </xf>
    <xf numFmtId="0" fontId="6" fillId="15" borderId="48" xfId="0" applyFont="1" applyFill="1" applyBorder="1" applyAlignment="1" applyProtection="1">
      <alignment horizontal="left" vertical="center"/>
      <protection locked="0"/>
    </xf>
    <xf numFmtId="4" fontId="4" fillId="15" borderId="49" xfId="0" applyNumberFormat="1" applyFont="1" applyFill="1" applyBorder="1" applyAlignment="1" applyProtection="1">
      <alignment horizontal="center" vertical="center"/>
      <protection hidden="1"/>
    </xf>
    <xf numFmtId="0" fontId="6" fillId="15" borderId="47" xfId="0" applyFont="1" applyFill="1" applyBorder="1" applyAlignment="1" applyProtection="1">
      <alignment horizontal="left" vertical="center"/>
      <protection locked="0"/>
    </xf>
    <xf numFmtId="4" fontId="4" fillId="15" borderId="42" xfId="0" applyNumberFormat="1" applyFont="1" applyFill="1" applyBorder="1" applyAlignment="1" applyProtection="1">
      <alignment horizontal="center" vertical="center"/>
      <protection hidden="1"/>
    </xf>
    <xf numFmtId="0" fontId="1" fillId="14" borderId="45" xfId="0" applyFont="1" applyFill="1" applyBorder="1" applyAlignment="1" applyProtection="1">
      <alignment horizontal="left" vertical="center"/>
      <protection locked="0"/>
    </xf>
    <xf numFmtId="0" fontId="1" fillId="14" borderId="47" xfId="0" applyFont="1" applyFill="1" applyBorder="1" applyAlignment="1" applyProtection="1">
      <alignment horizontal="left" vertical="center"/>
      <protection locked="0"/>
    </xf>
    <xf numFmtId="4" fontId="4" fillId="13" borderId="51" xfId="0" applyNumberFormat="1" applyFont="1" applyFill="1" applyBorder="1" applyAlignment="1" applyProtection="1">
      <alignment vertical="center"/>
      <protection locked="0"/>
    </xf>
    <xf numFmtId="4" fontId="4" fillId="14" borderId="40" xfId="0" applyNumberFormat="1" applyFont="1" applyFill="1" applyBorder="1" applyProtection="1">
      <protection hidden="1"/>
    </xf>
    <xf numFmtId="4" fontId="4" fillId="14" borderId="18" xfId="0" applyNumberFormat="1" applyFont="1" applyFill="1" applyBorder="1" applyProtection="1">
      <protection hidden="1"/>
    </xf>
    <xf numFmtId="0" fontId="0" fillId="4" borderId="16" xfId="0" applyFill="1" applyBorder="1"/>
    <xf numFmtId="0" fontId="6" fillId="0" borderId="31" xfId="0" applyFont="1" applyFill="1" applyBorder="1" applyAlignment="1">
      <alignment horizontal="center" vertical="center"/>
    </xf>
    <xf numFmtId="0" fontId="1" fillId="0" borderId="32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Fill="1" applyBorder="1" applyAlignment="1" applyProtection="1">
      <alignment horizontal="right" vertical="center"/>
      <protection locked="0"/>
    </xf>
    <xf numFmtId="0" fontId="0" fillId="4" borderId="15" xfId="0" applyFill="1" applyBorder="1"/>
    <xf numFmtId="0" fontId="6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 applyProtection="1">
      <alignment horizontal="center" vertical="center"/>
      <protection locked="0"/>
    </xf>
    <xf numFmtId="0" fontId="1" fillId="0" borderId="32" xfId="0" applyFont="1" applyFill="1" applyBorder="1" applyAlignment="1" applyProtection="1">
      <alignment horizontal="center" vertical="center"/>
      <protection locked="0"/>
    </xf>
    <xf numFmtId="14" fontId="0" fillId="0" borderId="16" xfId="0" applyNumberFormat="1" applyFill="1" applyBorder="1" applyAlignment="1" applyProtection="1">
      <alignment horizontal="right" vertical="center"/>
      <protection locked="0" hidden="1"/>
    </xf>
    <xf numFmtId="14" fontId="0" fillId="12" borderId="15" xfId="0" applyNumberFormat="1" applyFill="1" applyBorder="1" applyAlignment="1" applyProtection="1">
      <alignment horizontal="right" vertical="center"/>
      <protection locked="0" hidden="1"/>
    </xf>
    <xf numFmtId="14" fontId="3" fillId="0" borderId="9" xfId="0" applyNumberFormat="1" applyFont="1" applyBorder="1" applyProtection="1"/>
    <xf numFmtId="0" fontId="0" fillId="0" borderId="0" xfId="0" applyBorder="1" applyAlignment="1"/>
    <xf numFmtId="14" fontId="1" fillId="0" borderId="16" xfId="0" applyNumberFormat="1" applyFont="1" applyFill="1" applyBorder="1" applyAlignment="1" applyProtection="1">
      <alignment horizontal="right" vertical="center"/>
      <protection locked="0" hidden="1"/>
    </xf>
    <xf numFmtId="14" fontId="1" fillId="12" borderId="15" xfId="0" applyNumberFormat="1" applyFont="1" applyFill="1" applyBorder="1" applyAlignment="1" applyProtection="1">
      <alignment horizontal="right" vertical="center"/>
      <protection locked="0" hidden="1"/>
    </xf>
    <xf numFmtId="4" fontId="4" fillId="12" borderId="15" xfId="0" applyNumberFormat="1" applyFont="1" applyFill="1" applyBorder="1" applyAlignment="1" applyProtection="1">
      <alignment horizontal="right"/>
      <protection hidden="1"/>
    </xf>
    <xf numFmtId="174" fontId="4" fillId="15" borderId="49" xfId="0" applyNumberFormat="1" applyFont="1" applyFill="1" applyBorder="1" applyAlignment="1" applyProtection="1">
      <alignment horizontal="center" vertical="center"/>
      <protection hidden="1"/>
    </xf>
    <xf numFmtId="4" fontId="4" fillId="12" borderId="9" xfId="0" applyNumberFormat="1" applyFont="1" applyFill="1" applyBorder="1" applyProtection="1">
      <protection hidden="1"/>
    </xf>
    <xf numFmtId="0" fontId="0" fillId="16" borderId="2" xfId="0" applyFill="1" applyBorder="1"/>
    <xf numFmtId="0" fontId="0" fillId="16" borderId="7" xfId="0" applyFill="1" applyBorder="1"/>
    <xf numFmtId="4" fontId="4" fillId="12" borderId="16" xfId="0" applyNumberFormat="1" applyFont="1" applyFill="1" applyBorder="1" applyProtection="1">
      <protection hidden="1"/>
    </xf>
    <xf numFmtId="0" fontId="1" fillId="0" borderId="0" xfId="0" applyFont="1"/>
    <xf numFmtId="0" fontId="6" fillId="7" borderId="21" xfId="0" applyFont="1" applyFill="1" applyBorder="1" applyAlignment="1" applyProtection="1">
      <alignment horizontal="left"/>
    </xf>
    <xf numFmtId="0" fontId="6" fillId="10" borderId="21" xfId="0" applyFont="1" applyFill="1" applyBorder="1" applyAlignment="1" applyProtection="1">
      <alignment horizontal="left"/>
      <protection hidden="1"/>
    </xf>
    <xf numFmtId="0" fontId="0" fillId="0" borderId="0" xfId="0" applyBorder="1" applyAlignment="1" applyProtection="1">
      <alignment vertical="top"/>
      <protection locked="0"/>
    </xf>
    <xf numFmtId="10" fontId="4" fillId="15" borderId="49" xfId="1" applyNumberFormat="1" applyFont="1" applyFill="1" applyBorder="1" applyAlignment="1" applyProtection="1">
      <alignment horizontal="center" vertical="center"/>
      <protection hidden="1"/>
    </xf>
    <xf numFmtId="0" fontId="6" fillId="15" borderId="55" xfId="0" applyFont="1" applyFill="1" applyBorder="1" applyAlignment="1" applyProtection="1">
      <alignment horizontal="left" vertical="center"/>
      <protection locked="0"/>
    </xf>
    <xf numFmtId="174" fontId="4" fillId="15" borderId="56" xfId="0" applyNumberFormat="1" applyFont="1" applyFill="1" applyBorder="1" applyAlignment="1" applyProtection="1">
      <alignment horizontal="center" vertical="center"/>
      <protection hidden="1"/>
    </xf>
    <xf numFmtId="0" fontId="0" fillId="11" borderId="4" xfId="0" applyFill="1" applyBorder="1"/>
    <xf numFmtId="0" fontId="0" fillId="11" borderId="4" xfId="0" applyFill="1" applyBorder="1" applyAlignment="1">
      <alignment horizontal="left"/>
    </xf>
    <xf numFmtId="0" fontId="0" fillId="11" borderId="0" xfId="0" applyFill="1" applyBorder="1"/>
    <xf numFmtId="4" fontId="24" fillId="0" borderId="9" xfId="0" applyNumberFormat="1" applyFont="1" applyFill="1" applyBorder="1"/>
    <xf numFmtId="0" fontId="0" fillId="4" borderId="29" xfId="0" applyFill="1" applyBorder="1"/>
    <xf numFmtId="0" fontId="0" fillId="4" borderId="31" xfId="0" applyFill="1" applyBorder="1"/>
    <xf numFmtId="14" fontId="0" fillId="12" borderId="30" xfId="0" applyNumberFormat="1" applyFill="1" applyBorder="1" applyAlignment="1" applyProtection="1">
      <alignment horizontal="right" vertical="center"/>
      <protection locked="0" hidden="1"/>
    </xf>
    <xf numFmtId="14" fontId="0" fillId="0" borderId="32" xfId="0" applyNumberFormat="1" applyFill="1" applyBorder="1" applyAlignment="1" applyProtection="1">
      <alignment horizontal="right" vertical="center"/>
      <protection locked="0" hidden="1"/>
    </xf>
    <xf numFmtId="0" fontId="1" fillId="0" borderId="57" xfId="0" applyFont="1" applyFill="1" applyBorder="1" applyAlignment="1" applyProtection="1">
      <alignment horizontal="center" vertical="center"/>
      <protection locked="0"/>
    </xf>
    <xf numFmtId="0" fontId="1" fillId="0" borderId="58" xfId="0" applyFont="1" applyFill="1" applyBorder="1" applyAlignment="1" applyProtection="1">
      <alignment horizontal="center" vertical="center"/>
      <protection locked="0"/>
    </xf>
    <xf numFmtId="0" fontId="1" fillId="0" borderId="29" xfId="0" applyNumberFormat="1" applyFont="1" applyBorder="1" applyAlignment="1">
      <alignment horizontal="left" indent="1"/>
    </xf>
    <xf numFmtId="0" fontId="22" fillId="0" borderId="11" xfId="0" applyNumberFormat="1" applyFont="1" applyBorder="1" applyAlignment="1">
      <alignment horizontal="left" indent="1"/>
    </xf>
    <xf numFmtId="0" fontId="3" fillId="0" borderId="16" xfId="0" applyFont="1" applyBorder="1" applyProtection="1">
      <protection locked="0"/>
    </xf>
    <xf numFmtId="4" fontId="3" fillId="0" borderId="6" xfId="0" applyNumberFormat="1" applyFont="1" applyBorder="1" applyProtection="1">
      <protection locked="0"/>
    </xf>
    <xf numFmtId="4" fontId="3" fillId="0" borderId="36" xfId="0" applyNumberFormat="1" applyFont="1" applyBorder="1" applyProtection="1">
      <protection locked="0"/>
    </xf>
    <xf numFmtId="0" fontId="3" fillId="0" borderId="15" xfId="0" applyFont="1" applyFill="1" applyBorder="1" applyProtection="1">
      <protection locked="0"/>
    </xf>
    <xf numFmtId="4" fontId="3" fillId="0" borderId="46" xfId="0" applyNumberFormat="1" applyFont="1" applyBorder="1" applyProtection="1">
      <protection locked="0"/>
    </xf>
    <xf numFmtId="4" fontId="3" fillId="0" borderId="46" xfId="0" applyNumberFormat="1" applyFont="1" applyFill="1" applyBorder="1" applyProtection="1">
      <protection locked="0"/>
    </xf>
    <xf numFmtId="4" fontId="3" fillId="0" borderId="46" xfId="0" applyNumberFormat="1" applyFont="1" applyFill="1" applyBorder="1" applyProtection="1">
      <protection hidden="1"/>
    </xf>
    <xf numFmtId="4" fontId="3" fillId="12" borderId="40" xfId="0" applyNumberFormat="1" applyFont="1" applyFill="1" applyBorder="1" applyProtection="1">
      <protection locked="0"/>
    </xf>
    <xf numFmtId="4" fontId="9" fillId="12" borderId="40" xfId="0" applyNumberFormat="1" applyFont="1" applyFill="1" applyBorder="1" applyProtection="1">
      <protection locked="0"/>
    </xf>
    <xf numFmtId="0" fontId="22" fillId="0" borderId="59" xfId="0" applyNumberFormat="1" applyFont="1" applyBorder="1" applyAlignment="1">
      <alignment horizontal="left" indent="1"/>
    </xf>
    <xf numFmtId="9" fontId="27" fillId="0" borderId="46" xfId="0" applyNumberFormat="1" applyFont="1" applyBorder="1" applyAlignment="1" applyProtection="1">
      <alignment horizontal="right"/>
      <protection locked="0"/>
    </xf>
    <xf numFmtId="9" fontId="27" fillId="0" borderId="42" xfId="0" applyNumberFormat="1" applyFont="1" applyBorder="1" applyAlignment="1" applyProtection="1">
      <alignment horizontal="right"/>
      <protection hidden="1"/>
    </xf>
    <xf numFmtId="9" fontId="27" fillId="0" borderId="9" xfId="0" applyNumberFormat="1" applyFont="1" applyBorder="1" applyAlignment="1" applyProtection="1">
      <alignment horizontal="right"/>
      <protection hidden="1"/>
    </xf>
    <xf numFmtId="9" fontId="27" fillId="0" borderId="16" xfId="0" applyNumberFormat="1" applyFont="1" applyBorder="1" applyAlignment="1" applyProtection="1">
      <alignment horizontal="right"/>
      <protection locked="0"/>
    </xf>
    <xf numFmtId="4" fontId="3" fillId="0" borderId="42" xfId="0" applyNumberFormat="1" applyFont="1" applyFill="1" applyBorder="1" applyProtection="1">
      <protection hidden="1"/>
    </xf>
    <xf numFmtId="0" fontId="1" fillId="9" borderId="44" xfId="0" applyNumberFormat="1" applyFont="1" applyFill="1" applyBorder="1" applyAlignment="1">
      <alignment horizontal="left" indent="1"/>
    </xf>
    <xf numFmtId="0" fontId="0" fillId="9" borderId="62" xfId="0" applyNumberFormat="1" applyFill="1" applyBorder="1" applyAlignment="1">
      <alignment horizontal="left" indent="1"/>
    </xf>
    <xf numFmtId="0" fontId="28" fillId="9" borderId="47" xfId="0" applyNumberFormat="1" applyFont="1" applyFill="1" applyBorder="1" applyAlignment="1">
      <alignment horizontal="left" indent="1"/>
    </xf>
    <xf numFmtId="0" fontId="28" fillId="9" borderId="61" xfId="0" applyNumberFormat="1" applyFont="1" applyFill="1" applyBorder="1" applyAlignment="1">
      <alignment horizontal="left" indent="1"/>
    </xf>
    <xf numFmtId="4" fontId="29" fillId="9" borderId="42" xfId="0" applyNumberFormat="1" applyFont="1" applyFill="1" applyBorder="1" applyProtection="1">
      <protection locked="0"/>
    </xf>
    <xf numFmtId="0" fontId="3" fillId="9" borderId="16" xfId="0" applyFont="1" applyFill="1" applyBorder="1" applyProtection="1">
      <protection locked="0"/>
    </xf>
    <xf numFmtId="0" fontId="26" fillId="9" borderId="61" xfId="0" applyNumberFormat="1" applyFont="1" applyFill="1" applyBorder="1" applyAlignment="1">
      <alignment horizontal="left" indent="1"/>
    </xf>
    <xf numFmtId="4" fontId="30" fillId="9" borderId="15" xfId="0" applyNumberFormat="1" applyFont="1" applyFill="1" applyBorder="1" applyProtection="1">
      <protection locked="0"/>
    </xf>
    <xf numFmtId="0" fontId="1" fillId="8" borderId="44" xfId="0" applyNumberFormat="1" applyFont="1" applyFill="1" applyBorder="1" applyAlignment="1">
      <alignment horizontal="left" indent="1"/>
    </xf>
    <xf numFmtId="0" fontId="0" fillId="8" borderId="62" xfId="0" applyNumberFormat="1" applyFill="1" applyBorder="1" applyAlignment="1">
      <alignment horizontal="left" indent="1"/>
    </xf>
    <xf numFmtId="0" fontId="28" fillId="8" borderId="47" xfId="0" applyNumberFormat="1" applyFont="1" applyFill="1" applyBorder="1" applyAlignment="1">
      <alignment horizontal="left" indent="1"/>
    </xf>
    <xf numFmtId="0" fontId="28" fillId="8" borderId="61" xfId="0" applyNumberFormat="1" applyFont="1" applyFill="1" applyBorder="1" applyAlignment="1">
      <alignment horizontal="left" indent="1"/>
    </xf>
    <xf numFmtId="4" fontId="29" fillId="8" borderId="42" xfId="0" applyNumberFormat="1" applyFont="1" applyFill="1" applyBorder="1" applyProtection="1">
      <protection locked="0"/>
    </xf>
    <xf numFmtId="0" fontId="3" fillId="8" borderId="16" xfId="0" applyFont="1" applyFill="1" applyBorder="1" applyProtection="1">
      <protection locked="0"/>
    </xf>
    <xf numFmtId="0" fontId="3" fillId="0" borderId="15" xfId="0" applyFont="1" applyBorder="1" applyProtection="1">
      <protection locked="0"/>
    </xf>
    <xf numFmtId="9" fontId="27" fillId="0" borderId="16" xfId="0" applyNumberFormat="1" applyFont="1" applyBorder="1" applyProtection="1">
      <protection locked="0"/>
    </xf>
    <xf numFmtId="0" fontId="9" fillId="0" borderId="46" xfId="0" applyNumberFormat="1" applyFont="1" applyFill="1" applyBorder="1" applyAlignment="1" applyProtection="1">
      <alignment horizontal="right"/>
      <protection hidden="1"/>
    </xf>
    <xf numFmtId="0" fontId="9" fillId="0" borderId="42" xfId="0" applyNumberFormat="1" applyFont="1" applyFill="1" applyBorder="1" applyAlignment="1" applyProtection="1">
      <alignment horizontal="right"/>
      <protection hidden="1"/>
    </xf>
    <xf numFmtId="9" fontId="27" fillId="0" borderId="15" xfId="0" applyNumberFormat="1" applyFont="1" applyBorder="1" applyAlignment="1" applyProtection="1">
      <alignment horizontal="right"/>
      <protection hidden="1"/>
    </xf>
    <xf numFmtId="9" fontId="27" fillId="0" borderId="16" xfId="0" applyNumberFormat="1" applyFont="1" applyFill="1" applyBorder="1" applyProtection="1">
      <protection locked="0"/>
    </xf>
    <xf numFmtId="4" fontId="9" fillId="0" borderId="46" xfId="0" applyNumberFormat="1" applyFont="1" applyBorder="1" applyProtection="1">
      <protection locked="0"/>
    </xf>
    <xf numFmtId="9" fontId="27" fillId="0" borderId="15" xfId="0" applyNumberFormat="1" applyFont="1" applyFill="1" applyBorder="1" applyAlignment="1" applyProtection="1">
      <alignment horizontal="right"/>
      <protection hidden="1"/>
    </xf>
    <xf numFmtId="4" fontId="9" fillId="0" borderId="46" xfId="0" applyNumberFormat="1" applyFont="1" applyFill="1" applyBorder="1" applyProtection="1">
      <protection locked="0"/>
    </xf>
    <xf numFmtId="4" fontId="30" fillId="0" borderId="30" xfId="0" applyNumberFormat="1" applyFont="1" applyBorder="1" applyProtection="1">
      <protection locked="0"/>
    </xf>
    <xf numFmtId="4" fontId="30" fillId="8" borderId="9" xfId="0" applyNumberFormat="1" applyFont="1" applyFill="1" applyBorder="1"/>
    <xf numFmtId="4" fontId="30" fillId="9" borderId="9" xfId="0" applyNumberFormat="1" applyFont="1" applyFill="1" applyBorder="1"/>
    <xf numFmtId="4" fontId="22" fillId="0" borderId="9" xfId="0" applyNumberFormat="1" applyFont="1" applyFill="1" applyBorder="1"/>
    <xf numFmtId="0" fontId="22" fillId="0" borderId="9" xfId="0" applyFont="1" applyFill="1" applyBorder="1"/>
    <xf numFmtId="4" fontId="32" fillId="0" borderId="60" xfId="0" applyNumberFormat="1" applyFont="1" applyBorder="1" applyProtection="1">
      <protection locked="0"/>
    </xf>
    <xf numFmtId="0" fontId="31" fillId="9" borderId="45" xfId="0" applyNumberFormat="1" applyFont="1" applyFill="1" applyBorder="1" applyAlignment="1">
      <alignment horizontal="left" indent="1"/>
    </xf>
    <xf numFmtId="0" fontId="31" fillId="9" borderId="9" xfId="0" applyNumberFormat="1" applyFont="1" applyFill="1" applyBorder="1" applyAlignment="1">
      <alignment horizontal="left" indent="1"/>
    </xf>
    <xf numFmtId="4" fontId="32" fillId="9" borderId="46" xfId="0" applyNumberFormat="1" applyFont="1" applyFill="1" applyBorder="1" applyProtection="1">
      <protection locked="0"/>
    </xf>
    <xf numFmtId="0" fontId="31" fillId="9" borderId="16" xfId="0" applyNumberFormat="1" applyFont="1" applyFill="1" applyBorder="1" applyAlignment="1">
      <alignment horizontal="left" indent="1"/>
    </xf>
    <xf numFmtId="0" fontId="31" fillId="8" borderId="45" xfId="0" applyNumberFormat="1" applyFont="1" applyFill="1" applyBorder="1" applyAlignment="1">
      <alignment horizontal="left" indent="1"/>
    </xf>
    <xf numFmtId="0" fontId="31" fillId="8" borderId="9" xfId="0" applyNumberFormat="1" applyFont="1" applyFill="1" applyBorder="1" applyAlignment="1">
      <alignment horizontal="left" indent="1"/>
    </xf>
    <xf numFmtId="4" fontId="32" fillId="8" borderId="46" xfId="0" applyNumberFormat="1" applyFont="1" applyFill="1" applyBorder="1" applyProtection="1">
      <protection locked="0"/>
    </xf>
    <xf numFmtId="2" fontId="3" fillId="0" borderId="40" xfId="0" applyNumberFormat="1" applyFont="1" applyBorder="1" applyProtection="1">
      <protection locked="0"/>
    </xf>
    <xf numFmtId="2" fontId="3" fillId="0" borderId="42" xfId="0" applyNumberFormat="1" applyFont="1" applyBorder="1" applyProtection="1">
      <protection locked="0"/>
    </xf>
    <xf numFmtId="4" fontId="33" fillId="0" borderId="16" xfId="0" applyNumberFormat="1" applyFont="1" applyBorder="1" applyProtection="1">
      <protection hidden="1"/>
    </xf>
    <xf numFmtId="0" fontId="24" fillId="15" borderId="48" xfId="0" applyFont="1" applyFill="1" applyBorder="1" applyAlignment="1" applyProtection="1">
      <alignment horizontal="left" vertical="center"/>
      <protection locked="0"/>
    </xf>
    <xf numFmtId="10" fontId="33" fillId="15" borderId="49" xfId="1" applyNumberFormat="1" applyFont="1" applyFill="1" applyBorder="1" applyAlignment="1" applyProtection="1">
      <alignment horizontal="center" vertical="center"/>
      <protection hidden="1"/>
    </xf>
    <xf numFmtId="0" fontId="24" fillId="15" borderId="47" xfId="0" applyFont="1" applyFill="1" applyBorder="1" applyAlignment="1" applyProtection="1">
      <alignment horizontal="left" vertical="center"/>
      <protection locked="0"/>
    </xf>
    <xf numFmtId="4" fontId="33" fillId="15" borderId="42" xfId="0" applyNumberFormat="1" applyFont="1" applyFill="1" applyBorder="1" applyAlignment="1" applyProtection="1">
      <alignment horizontal="center" vertical="center"/>
      <protection hidden="1"/>
    </xf>
    <xf numFmtId="0" fontId="24" fillId="15" borderId="55" xfId="0" applyFont="1" applyFill="1" applyBorder="1" applyAlignment="1" applyProtection="1">
      <alignment horizontal="left" vertical="center"/>
      <protection locked="0"/>
    </xf>
    <xf numFmtId="4" fontId="33" fillId="15" borderId="49" xfId="0" applyNumberFormat="1" applyFont="1" applyFill="1" applyBorder="1" applyAlignment="1" applyProtection="1">
      <alignment horizontal="center" vertical="center"/>
      <protection hidden="1"/>
    </xf>
    <xf numFmtId="0" fontId="24" fillId="15" borderId="53" xfId="0" applyFont="1" applyFill="1" applyBorder="1" applyAlignment="1" applyProtection="1">
      <alignment horizontal="left" vertical="center"/>
      <protection locked="0"/>
    </xf>
    <xf numFmtId="4" fontId="33" fillId="15" borderId="54" xfId="0" applyNumberFormat="1" applyFont="1" applyFill="1" applyBorder="1" applyAlignment="1" applyProtection="1">
      <alignment horizontal="center" vertical="center"/>
      <protection hidden="1"/>
    </xf>
    <xf numFmtId="4" fontId="33" fillId="15" borderId="56" xfId="0" applyNumberFormat="1" applyFont="1" applyFill="1" applyBorder="1" applyAlignment="1" applyProtection="1">
      <alignment horizontal="center" vertical="center"/>
      <protection hidden="1"/>
    </xf>
    <xf numFmtId="0" fontId="24" fillId="0" borderId="9" xfId="0" applyNumberFormat="1" applyFont="1" applyBorder="1" applyAlignment="1">
      <alignment horizontal="left" indent="1"/>
    </xf>
    <xf numFmtId="0" fontId="6" fillId="0" borderId="10" xfId="0" applyNumberFormat="1" applyFont="1" applyBorder="1" applyAlignment="1">
      <alignment horizontal="left" indent="1"/>
    </xf>
    <xf numFmtId="0" fontId="6" fillId="0" borderId="11" xfId="0" applyNumberFormat="1" applyFont="1" applyBorder="1" applyAlignment="1">
      <alignment horizontal="left" indent="1"/>
    </xf>
    <xf numFmtId="0" fontId="6" fillId="0" borderId="9" xfId="0" applyNumberFormat="1" applyFont="1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24" fillId="0" borderId="10" xfId="0" applyNumberFormat="1" applyFont="1" applyBorder="1" applyAlignment="1">
      <alignment horizontal="left" indent="1"/>
    </xf>
    <xf numFmtId="0" fontId="22" fillId="0" borderId="11" xfId="0" applyFont="1" applyBorder="1" applyAlignment="1">
      <alignment horizontal="left" indent="1"/>
    </xf>
    <xf numFmtId="0" fontId="6" fillId="0" borderId="10" xfId="0" applyNumberFormat="1" applyFont="1" applyBorder="1" applyAlignment="1">
      <alignment horizontal="left" wrapText="1" indent="1"/>
    </xf>
    <xf numFmtId="0" fontId="0" fillId="0" borderId="11" xfId="0" applyBorder="1" applyAlignment="1">
      <alignment horizontal="left" wrapText="1" indent="1"/>
    </xf>
    <xf numFmtId="0" fontId="6" fillId="12" borderId="9" xfId="0" applyNumberFormat="1" applyFont="1" applyFill="1" applyBorder="1" applyAlignment="1">
      <alignment horizontal="left" indent="1"/>
    </xf>
    <xf numFmtId="0" fontId="6" fillId="12" borderId="10" xfId="0" applyNumberFormat="1" applyFont="1" applyFill="1" applyBorder="1" applyAlignment="1">
      <alignment horizontal="left" indent="1"/>
    </xf>
    <xf numFmtId="0" fontId="7" fillId="0" borderId="4" xfId="0" applyFont="1" applyBorder="1" applyAlignment="1">
      <alignment horizontal="right" vertical="center"/>
    </xf>
    <xf numFmtId="0" fontId="1" fillId="0" borderId="31" xfId="0" applyNumberFormat="1" applyFont="1" applyBorder="1" applyAlignment="1">
      <alignment horizontal="left" indent="1"/>
    </xf>
    <xf numFmtId="0" fontId="0" fillId="0" borderId="32" xfId="0" applyNumberFormat="1" applyBorder="1" applyAlignment="1">
      <alignment horizontal="left" indent="1"/>
    </xf>
    <xf numFmtId="0" fontId="1" fillId="0" borderId="9" xfId="0" applyNumberFormat="1" applyFont="1" applyBorder="1" applyAlignment="1">
      <alignment horizontal="left" indent="1"/>
    </xf>
    <xf numFmtId="0" fontId="0" fillId="0" borderId="9" xfId="0" applyNumberFormat="1" applyBorder="1" applyAlignment="1">
      <alignment horizontal="left" indent="1"/>
    </xf>
    <xf numFmtId="0" fontId="5" fillId="0" borderId="10" xfId="0" applyNumberFormat="1" applyFont="1" applyBorder="1" applyAlignment="1">
      <alignment horizontal="left" indent="1"/>
    </xf>
    <xf numFmtId="0" fontId="5" fillId="0" borderId="11" xfId="0" applyNumberFormat="1" applyFont="1" applyBorder="1" applyAlignment="1">
      <alignment horizontal="left" indent="1"/>
    </xf>
    <xf numFmtId="0" fontId="1" fillId="0" borderId="10" xfId="0" applyNumberFormat="1" applyFont="1" applyBorder="1" applyAlignment="1">
      <alignment horizontal="left" indent="1"/>
    </xf>
    <xf numFmtId="0" fontId="0" fillId="0" borderId="11" xfId="0" applyBorder="1"/>
    <xf numFmtId="0" fontId="0" fillId="0" borderId="11" xfId="0" applyNumberFormat="1" applyBorder="1" applyAlignment="1">
      <alignment horizontal="left" indent="1"/>
    </xf>
    <xf numFmtId="0" fontId="22" fillId="0" borderId="10" xfId="0" applyNumberFormat="1" applyFont="1" applyBorder="1" applyAlignment="1">
      <alignment horizontal="left" indent="1"/>
    </xf>
    <xf numFmtId="0" fontId="6" fillId="0" borderId="11" xfId="0" applyNumberFormat="1" applyFont="1" applyBorder="1" applyAlignment="1">
      <alignment horizontal="left" wrapText="1" indent="1"/>
    </xf>
    <xf numFmtId="0" fontId="1" fillId="0" borderId="15" xfId="0" applyNumberFormat="1" applyFont="1" applyFill="1" applyBorder="1" applyAlignment="1">
      <alignment horizontal="left" indent="1"/>
    </xf>
    <xf numFmtId="0" fontId="0" fillId="0" borderId="15" xfId="0" applyNumberFormat="1" applyFill="1" applyBorder="1" applyAlignment="1">
      <alignment horizontal="left" indent="1"/>
    </xf>
    <xf numFmtId="0" fontId="1" fillId="0" borderId="15" xfId="0" applyNumberFormat="1" applyFont="1" applyBorder="1" applyAlignment="1">
      <alignment horizontal="left" indent="1"/>
    </xf>
    <xf numFmtId="0" fontId="0" fillId="0" borderId="15" xfId="0" applyNumberFormat="1" applyBorder="1" applyAlignment="1">
      <alignment horizontal="left" indent="1"/>
    </xf>
    <xf numFmtId="0" fontId="1" fillId="0" borderId="10" xfId="0" applyNumberFormat="1" applyFont="1" applyBorder="1" applyAlignment="1">
      <alignment horizontal="left"/>
    </xf>
    <xf numFmtId="0" fontId="0" fillId="0" borderId="11" xfId="0" applyNumberFormat="1" applyBorder="1" applyAlignment="1">
      <alignment horizontal="left"/>
    </xf>
    <xf numFmtId="0" fontId="22" fillId="0" borderId="9" xfId="0" applyNumberFormat="1" applyFont="1" applyBorder="1" applyAlignment="1">
      <alignment horizontal="left" indent="1"/>
    </xf>
    <xf numFmtId="0" fontId="1" fillId="12" borderId="33" xfId="0" applyNumberFormat="1" applyFont="1" applyFill="1" applyBorder="1" applyAlignment="1">
      <alignment horizontal="left" indent="1"/>
    </xf>
    <xf numFmtId="0" fontId="1" fillId="12" borderId="39" xfId="0" applyNumberFormat="1" applyFont="1" applyFill="1" applyBorder="1" applyAlignment="1">
      <alignment horizontal="left" indent="1"/>
    </xf>
    <xf numFmtId="0" fontId="1" fillId="0" borderId="59" xfId="0" applyNumberFormat="1" applyFont="1" applyBorder="1" applyAlignment="1">
      <alignment horizontal="left" indent="1"/>
    </xf>
    <xf numFmtId="0" fontId="0" fillId="12" borderId="39" xfId="0" applyNumberFormat="1" applyFill="1" applyBorder="1" applyAlignment="1">
      <alignment horizontal="left" indent="1"/>
    </xf>
    <xf numFmtId="0" fontId="22" fillId="0" borderId="59" xfId="0" applyNumberFormat="1" applyFont="1" applyBorder="1" applyAlignment="1">
      <alignment horizontal="left" indent="1"/>
    </xf>
    <xf numFmtId="0" fontId="22" fillId="0" borderId="16" xfId="0" applyNumberFormat="1" applyFont="1" applyBorder="1" applyAlignment="1">
      <alignment horizontal="left" indent="1"/>
    </xf>
    <xf numFmtId="0" fontId="22" fillId="0" borderId="16" xfId="0" applyFont="1" applyBorder="1" applyAlignment="1">
      <alignment horizontal="left" indent="1"/>
    </xf>
    <xf numFmtId="0" fontId="1" fillId="0" borderId="59" xfId="0" applyNumberFormat="1" applyFont="1" applyFill="1" applyBorder="1" applyAlignment="1">
      <alignment horizontal="left" indent="1"/>
    </xf>
    <xf numFmtId="0" fontId="0" fillId="0" borderId="11" xfId="0" applyFill="1" applyBorder="1" applyAlignment="1">
      <alignment horizontal="left" indent="1"/>
    </xf>
    <xf numFmtId="0" fontId="22" fillId="0" borderId="47" xfId="0" applyNumberFormat="1" applyFont="1" applyBorder="1" applyAlignment="1">
      <alignment horizontal="left" indent="1"/>
    </xf>
    <xf numFmtId="0" fontId="22" fillId="0" borderId="61" xfId="0" applyNumberFormat="1" applyFont="1" applyBorder="1" applyAlignment="1">
      <alignment horizontal="left" indent="1"/>
    </xf>
    <xf numFmtId="0" fontId="1" fillId="0" borderId="35" xfId="0" applyNumberFormat="1" applyFont="1" applyFill="1" applyBorder="1" applyAlignment="1">
      <alignment horizontal="left" indent="1"/>
    </xf>
    <xf numFmtId="0" fontId="0" fillId="0" borderId="41" xfId="0" applyFill="1" applyBorder="1" applyAlignment="1">
      <alignment horizontal="left" indent="1"/>
    </xf>
    <xf numFmtId="0" fontId="1" fillId="0" borderId="33" xfId="0" applyNumberFormat="1" applyFont="1" applyBorder="1" applyAlignment="1">
      <alignment horizontal="left" indent="1"/>
    </xf>
    <xf numFmtId="0" fontId="0" fillId="0" borderId="39" xfId="0" applyNumberFormat="1" applyBorder="1" applyAlignment="1">
      <alignment horizontal="left" indent="1"/>
    </xf>
    <xf numFmtId="0" fontId="31" fillId="0" borderId="59" xfId="0" applyNumberFormat="1" applyFont="1" applyBorder="1" applyAlignment="1">
      <alignment horizontal="left" indent="1"/>
    </xf>
    <xf numFmtId="0" fontId="31" fillId="0" borderId="11" xfId="0" applyNumberFormat="1" applyFont="1" applyBorder="1" applyAlignment="1">
      <alignment horizontal="left" indent="1"/>
    </xf>
    <xf numFmtId="0" fontId="1" fillId="0" borderId="35" xfId="0" applyNumberFormat="1" applyFont="1" applyBorder="1" applyAlignment="1">
      <alignment horizontal="left" indent="1"/>
    </xf>
    <xf numFmtId="0" fontId="0" fillId="0" borderId="41" xfId="0" applyNumberFormat="1" applyBorder="1" applyAlignment="1">
      <alignment horizontal="left" indent="1"/>
    </xf>
    <xf numFmtId="0" fontId="1" fillId="12" borderId="10" xfId="0" applyNumberFormat="1" applyFont="1" applyFill="1" applyBorder="1" applyAlignment="1">
      <alignment horizontal="left" indent="1"/>
    </xf>
    <xf numFmtId="0" fontId="1" fillId="0" borderId="10" xfId="0" applyNumberFormat="1" applyFont="1" applyFill="1" applyBorder="1" applyAlignment="1">
      <alignment horizontal="left" indent="1"/>
    </xf>
    <xf numFmtId="0" fontId="0" fillId="0" borderId="1" xfId="0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vertical="top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22" fillId="0" borderId="11" xfId="0" applyNumberFormat="1" applyFont="1" applyBorder="1" applyAlignment="1">
      <alignment horizontal="left" indent="1"/>
    </xf>
    <xf numFmtId="0" fontId="1" fillId="9" borderId="10" xfId="2" applyNumberFormat="1" applyFill="1" applyBorder="1" applyAlignment="1">
      <alignment horizontal="left" indent="1"/>
    </xf>
    <xf numFmtId="0" fontId="1" fillId="9" borderId="11" xfId="2" applyNumberFormat="1" applyFill="1" applyBorder="1" applyAlignment="1">
      <alignment horizontal="left" indent="1"/>
    </xf>
    <xf numFmtId="0" fontId="1" fillId="9" borderId="9" xfId="0" applyNumberFormat="1" applyFont="1" applyFill="1" applyBorder="1" applyAlignment="1">
      <alignment horizontal="left" indent="1"/>
    </xf>
    <xf numFmtId="0" fontId="5" fillId="9" borderId="10" xfId="0" applyNumberFormat="1" applyFont="1" applyFill="1" applyBorder="1" applyAlignment="1">
      <alignment horizontal="left" indent="1"/>
    </xf>
    <xf numFmtId="0" fontId="5" fillId="9" borderId="11" xfId="0" applyNumberFormat="1" applyFont="1" applyFill="1" applyBorder="1" applyAlignment="1">
      <alignment horizontal="left" indent="1"/>
    </xf>
    <xf numFmtId="0" fontId="1" fillId="8" borderId="9" xfId="0" applyNumberFormat="1" applyFont="1" applyFill="1" applyBorder="1" applyAlignment="1">
      <alignment horizontal="left" indent="1"/>
    </xf>
    <xf numFmtId="0" fontId="0" fillId="8" borderId="9" xfId="0" applyNumberFormat="1" applyFill="1" applyBorder="1" applyAlignment="1">
      <alignment horizontal="left" indent="1"/>
    </xf>
    <xf numFmtId="0" fontId="1" fillId="8" borderId="10" xfId="2" applyNumberFormat="1" applyFill="1" applyBorder="1" applyAlignment="1">
      <alignment horizontal="left" indent="1"/>
    </xf>
    <xf numFmtId="0" fontId="1" fillId="8" borderId="11" xfId="2" applyNumberFormat="1" applyFill="1" applyBorder="1" applyAlignment="1">
      <alignment horizontal="left" indent="1"/>
    </xf>
    <xf numFmtId="0" fontId="1" fillId="8" borderId="16" xfId="0" applyNumberFormat="1" applyFont="1" applyFill="1" applyBorder="1" applyAlignment="1">
      <alignment horizontal="left" indent="1"/>
    </xf>
    <xf numFmtId="0" fontId="5" fillId="8" borderId="9" xfId="0" applyNumberFormat="1" applyFont="1" applyFill="1" applyBorder="1" applyAlignment="1">
      <alignment horizontal="left" indent="1"/>
    </xf>
    <xf numFmtId="0" fontId="22" fillId="8" borderId="9" xfId="0" applyNumberFormat="1" applyFont="1" applyFill="1" applyBorder="1" applyAlignment="1">
      <alignment horizontal="left" indent="1"/>
    </xf>
    <xf numFmtId="0" fontId="22" fillId="8" borderId="9" xfId="0" applyFont="1" applyFill="1" applyBorder="1" applyAlignment="1">
      <alignment horizontal="left" indent="1"/>
    </xf>
    <xf numFmtId="0" fontId="22" fillId="0" borderId="10" xfId="0" applyNumberFormat="1" applyFont="1" applyFill="1" applyBorder="1" applyAlignment="1">
      <alignment horizontal="left" indent="1"/>
    </xf>
    <xf numFmtId="0" fontId="22" fillId="0" borderId="11" xfId="0" applyNumberFormat="1" applyFont="1" applyFill="1" applyBorder="1" applyAlignment="1">
      <alignment horizontal="left" indent="1"/>
    </xf>
    <xf numFmtId="0" fontId="1" fillId="9" borderId="16" xfId="0" applyNumberFormat="1" applyFont="1" applyFill="1" applyBorder="1" applyAlignment="1">
      <alignment horizontal="left" indent="1"/>
    </xf>
    <xf numFmtId="0" fontId="5" fillId="9" borderId="9" xfId="0" applyNumberFormat="1" applyFont="1" applyFill="1" applyBorder="1" applyAlignment="1">
      <alignment horizontal="left" indent="1"/>
    </xf>
    <xf numFmtId="0" fontId="22" fillId="9" borderId="9" xfId="0" applyNumberFormat="1" applyFont="1" applyFill="1" applyBorder="1" applyAlignment="1">
      <alignment horizontal="left" indent="1"/>
    </xf>
    <xf numFmtId="0" fontId="0" fillId="9" borderId="9" xfId="0" applyNumberFormat="1" applyFill="1" applyBorder="1" applyAlignment="1">
      <alignment horizontal="left" indent="1"/>
    </xf>
    <xf numFmtId="0" fontId="22" fillId="9" borderId="29" xfId="0" applyNumberFormat="1" applyFont="1" applyFill="1" applyBorder="1" applyAlignment="1">
      <alignment horizontal="left" indent="1"/>
    </xf>
    <xf numFmtId="0" fontId="22" fillId="9" borderId="30" xfId="0" applyNumberFormat="1" applyFont="1" applyFill="1" applyBorder="1" applyAlignment="1">
      <alignment horizontal="left" indent="1"/>
    </xf>
    <xf numFmtId="0" fontId="5" fillId="8" borderId="10" xfId="0" applyNumberFormat="1" applyFont="1" applyFill="1" applyBorder="1" applyAlignment="1">
      <alignment horizontal="left" indent="1"/>
    </xf>
    <xf numFmtId="0" fontId="5" fillId="8" borderId="11" xfId="0" applyNumberFormat="1" applyFont="1" applyFill="1" applyBorder="1" applyAlignment="1">
      <alignment horizontal="left" indent="1"/>
    </xf>
    <xf numFmtId="0" fontId="24" fillId="0" borderId="11" xfId="0" applyNumberFormat="1" applyFont="1" applyBorder="1" applyAlignment="1">
      <alignment horizontal="left" indent="1"/>
    </xf>
    <xf numFmtId="0" fontId="18" fillId="0" borderId="2" xfId="0" applyFont="1" applyBorder="1" applyAlignment="1">
      <alignment horizontal="right"/>
    </xf>
    <xf numFmtId="0" fontId="0" fillId="0" borderId="2" xfId="0" applyBorder="1" applyAlignment="1"/>
    <xf numFmtId="0" fontId="22" fillId="0" borderId="31" xfId="0" applyNumberFormat="1" applyFont="1" applyFill="1" applyBorder="1" applyAlignment="1">
      <alignment horizontal="left" indent="1"/>
    </xf>
    <xf numFmtId="0" fontId="22" fillId="0" borderId="32" xfId="0" applyNumberFormat="1" applyFont="1" applyFill="1" applyBorder="1" applyAlignment="1">
      <alignment horizontal="left" indent="1"/>
    </xf>
    <xf numFmtId="0" fontId="22" fillId="0" borderId="29" xfId="0" applyNumberFormat="1" applyFont="1" applyFill="1" applyBorder="1" applyAlignment="1">
      <alignment horizontal="left" indent="1"/>
    </xf>
    <xf numFmtId="0" fontId="22" fillId="0" borderId="30" xfId="0" applyNumberFormat="1" applyFont="1" applyFill="1" applyBorder="1" applyAlignment="1">
      <alignment horizontal="left" indent="1"/>
    </xf>
    <xf numFmtId="0" fontId="0" fillId="0" borderId="11" xfId="0" applyNumberFormat="1" applyFill="1" applyBorder="1" applyAlignment="1">
      <alignment horizontal="left" indent="1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22" fillId="0" borderId="29" xfId="0" applyNumberFormat="1" applyFont="1" applyBorder="1" applyAlignment="1">
      <alignment horizontal="left" indent="1"/>
    </xf>
    <xf numFmtId="0" fontId="22" fillId="0" borderId="30" xfId="0" applyNumberFormat="1" applyFont="1" applyBorder="1" applyAlignment="1">
      <alignment horizontal="left" indent="1"/>
    </xf>
    <xf numFmtId="0" fontId="22" fillId="0" borderId="31" xfId="0" applyNumberFormat="1" applyFont="1" applyBorder="1" applyAlignment="1">
      <alignment horizontal="left" indent="1"/>
    </xf>
    <xf numFmtId="0" fontId="22" fillId="0" borderId="32" xfId="0" applyNumberFormat="1" applyFont="1" applyBorder="1" applyAlignment="1">
      <alignment horizontal="left" indent="1"/>
    </xf>
    <xf numFmtId="0" fontId="24" fillId="0" borderId="10" xfId="0" applyNumberFormat="1" applyFont="1" applyFill="1" applyBorder="1" applyAlignment="1">
      <alignment horizontal="left" indent="1"/>
    </xf>
    <xf numFmtId="0" fontId="24" fillId="0" borderId="11" xfId="0" applyNumberFormat="1" applyFont="1" applyFill="1" applyBorder="1" applyAlignment="1">
      <alignment horizontal="left" indent="1"/>
    </xf>
    <xf numFmtId="0" fontId="6" fillId="12" borderId="11" xfId="0" applyNumberFormat="1" applyFont="1" applyFill="1" applyBorder="1" applyAlignment="1">
      <alignment horizontal="left" indent="1"/>
    </xf>
    <xf numFmtId="0" fontId="22" fillId="9" borderId="10" xfId="0" applyNumberFormat="1" applyFont="1" applyFill="1" applyBorder="1" applyAlignment="1">
      <alignment horizontal="left" indent="1"/>
    </xf>
    <xf numFmtId="0" fontId="22" fillId="9" borderId="11" xfId="0" applyNumberFormat="1" applyFont="1" applyFill="1" applyBorder="1" applyAlignment="1">
      <alignment horizontal="left" indent="1"/>
    </xf>
    <xf numFmtId="0" fontId="1" fillId="9" borderId="10" xfId="0" applyNumberFormat="1" applyFont="1" applyFill="1" applyBorder="1" applyAlignment="1">
      <alignment horizontal="left" indent="1"/>
    </xf>
    <xf numFmtId="0" fontId="1" fillId="9" borderId="11" xfId="0" applyNumberFormat="1" applyFont="1" applyFill="1" applyBorder="1" applyAlignment="1">
      <alignment horizontal="left" indent="1"/>
    </xf>
    <xf numFmtId="0" fontId="22" fillId="9" borderId="11" xfId="0" applyFont="1" applyFill="1" applyBorder="1" applyAlignment="1">
      <alignment horizontal="left" indent="1"/>
    </xf>
    <xf numFmtId="0" fontId="5" fillId="9" borderId="10" xfId="2" applyNumberFormat="1" applyFont="1" applyFill="1" applyBorder="1" applyAlignment="1">
      <alignment horizontal="left" indent="1"/>
    </xf>
    <xf numFmtId="0" fontId="5" fillId="9" borderId="11" xfId="2" applyNumberFormat="1" applyFont="1" applyFill="1" applyBorder="1" applyAlignment="1">
      <alignment horizontal="left" indent="1"/>
    </xf>
    <xf numFmtId="0" fontId="22" fillId="8" borderId="10" xfId="0" applyNumberFormat="1" applyFont="1" applyFill="1" applyBorder="1" applyAlignment="1">
      <alignment horizontal="left" indent="1"/>
    </xf>
    <xf numFmtId="0" fontId="22" fillId="8" borderId="11" xfId="0" applyNumberFormat="1" applyFont="1" applyFill="1" applyBorder="1" applyAlignment="1">
      <alignment horizontal="left" indent="1"/>
    </xf>
    <xf numFmtId="0" fontId="1" fillId="8" borderId="10" xfId="0" applyNumberFormat="1" applyFont="1" applyFill="1" applyBorder="1" applyAlignment="1">
      <alignment horizontal="left" indent="1"/>
    </xf>
    <xf numFmtId="0" fontId="1" fillId="8" borderId="11" xfId="0" applyNumberFormat="1" applyFont="1" applyFill="1" applyBorder="1" applyAlignment="1">
      <alignment horizontal="left" indent="1"/>
    </xf>
    <xf numFmtId="0" fontId="5" fillId="8" borderId="10" xfId="2" applyNumberFormat="1" applyFont="1" applyFill="1" applyBorder="1" applyAlignment="1">
      <alignment horizontal="left" indent="1"/>
    </xf>
    <xf numFmtId="0" fontId="5" fillId="8" borderId="11" xfId="2" applyNumberFormat="1" applyFont="1" applyFill="1" applyBorder="1" applyAlignment="1">
      <alignment horizontal="left" indent="1"/>
    </xf>
    <xf numFmtId="0" fontId="21" fillId="0" borderId="10" xfId="2" applyNumberFormat="1" applyFont="1" applyFill="1" applyBorder="1" applyAlignment="1">
      <alignment horizontal="left" indent="1"/>
    </xf>
    <xf numFmtId="0" fontId="21" fillId="0" borderId="11" xfId="2" applyNumberFormat="1" applyFont="1" applyFill="1" applyBorder="1" applyAlignment="1">
      <alignment horizontal="left" indent="1"/>
    </xf>
    <xf numFmtId="0" fontId="0" fillId="9" borderId="11" xfId="0" applyNumberFormat="1" applyFill="1" applyBorder="1" applyAlignment="1">
      <alignment horizontal="left" indent="1"/>
    </xf>
    <xf numFmtId="0" fontId="22" fillId="8" borderId="11" xfId="0" applyFont="1" applyFill="1" applyBorder="1" applyAlignment="1">
      <alignment horizontal="left" indent="1"/>
    </xf>
    <xf numFmtId="0" fontId="0" fillId="8" borderId="11" xfId="0" applyNumberFormat="1" applyFill="1" applyBorder="1" applyAlignment="1">
      <alignment horizontal="left" indent="1"/>
    </xf>
    <xf numFmtId="0" fontId="16" fillId="8" borderId="21" xfId="0" applyFont="1" applyFill="1" applyBorder="1" applyAlignment="1" applyProtection="1">
      <alignment horizontal="left" wrapText="1"/>
    </xf>
    <xf numFmtId="0" fontId="16" fillId="8" borderId="0" xfId="0" applyFont="1" applyFill="1" applyBorder="1" applyAlignment="1" applyProtection="1">
      <alignment horizontal="left" wrapText="1"/>
    </xf>
    <xf numFmtId="0" fontId="16" fillId="9" borderId="21" xfId="0" applyFont="1" applyFill="1" applyBorder="1" applyAlignment="1" applyProtection="1">
      <alignment horizontal="left" wrapText="1"/>
      <protection hidden="1"/>
    </xf>
    <xf numFmtId="0" fontId="16" fillId="9" borderId="0" xfId="0" applyFont="1" applyFill="1" applyBorder="1" applyAlignment="1" applyProtection="1">
      <alignment horizontal="left" wrapText="1"/>
      <protection hidden="1"/>
    </xf>
  </cellXfs>
  <cellStyles count="3">
    <cellStyle name="Normální" xfId="0" builtinId="0"/>
    <cellStyle name="normální 2" xfId="2" xr:uid="{00000000-0005-0000-0000-000001000000}"/>
    <cellStyle name="Procenta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/>
      </fill>
    </dxf>
    <dxf>
      <fill>
        <patternFill patternType="lightUp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/>
      </fill>
    </dxf>
    <dxf>
      <fill>
        <patternFill patternType="lightUp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/>
      </fill>
    </dxf>
    <dxf>
      <fill>
        <patternFill patternType="lightUp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Up"/>
      </fill>
    </dxf>
    <dxf>
      <fill>
        <patternFill patternType="lightUp">
          <bgColor indexed="65"/>
        </patternFill>
      </fill>
    </dxf>
    <dxf>
      <fill>
        <patternFill patternType="lightUp"/>
      </fill>
    </dxf>
    <dxf>
      <fill>
        <patternFill patternType="lightUp">
          <bgColor indexed="65"/>
        </patternFill>
      </fill>
    </dxf>
  </dxfs>
  <tableStyles count="0" defaultTableStyle="TableStyleMedium9" defaultPivotStyle="PivotStyleLight16"/>
  <colors>
    <mruColors>
      <color rgb="FFFF0000"/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6" fmlaLink="$C$116" fmlaRange="$D$116:$D$118" noThreeD="1" sel="1" val="0"/>
</file>

<file path=xl/ctrlProps/ctrlProp2.xml><?xml version="1.0" encoding="utf-8"?>
<formControlPr xmlns="http://schemas.microsoft.com/office/spreadsheetml/2009/9/main" objectType="CheckBox" fmlaLink="$I$87" lockText="1" noThreeD="1"/>
</file>

<file path=xl/ctrlProps/ctrlProp3.xml><?xml version="1.0" encoding="utf-8"?>
<formControlPr xmlns="http://schemas.microsoft.com/office/spreadsheetml/2009/9/main" objectType="CheckBox" fmlaLink="$I$88" lockText="1" noThreeD="1"/>
</file>

<file path=xl/ctrlProps/ctrlProp4.xml><?xml version="1.0" encoding="utf-8"?>
<formControlPr xmlns="http://schemas.microsoft.com/office/spreadsheetml/2009/9/main" objectType="Drop" dropStyle="combo" dx="16" fmlaLink="$C$101" fmlaRange="$D$101:$D$102" noThreeD="1" sel="2" val="0"/>
</file>

<file path=xl/ctrlProps/ctrlProp5.xml><?xml version="1.0" encoding="utf-8"?>
<formControlPr xmlns="http://schemas.microsoft.com/office/spreadsheetml/2009/9/main" objectType="Drop" dropStyle="combo" dx="16" fmlaLink="$C$104" fmlaRange="$D$104:$D$105" noThreeD="1" sel="2" val="0"/>
</file>

<file path=xl/ctrlProps/ctrlProp6.xml><?xml version="1.0" encoding="utf-8"?>
<formControlPr xmlns="http://schemas.microsoft.com/office/spreadsheetml/2009/9/main" objectType="CheckBox" fmlaLink="#REF!" lockText="1" noThreeD="1"/>
</file>

<file path=xl/ctrlProps/ctrlProp7.xml><?xml version="1.0" encoding="utf-8"?>
<formControlPr xmlns="http://schemas.microsoft.com/office/spreadsheetml/2009/9/main" objectType="CheckBox" fmlaLink="$I$91" lockText="1" noThreeD="1"/>
</file>

<file path=xl/ctrlProps/ctrlProp8.xml><?xml version="1.0" encoding="utf-8"?>
<formControlPr xmlns="http://schemas.microsoft.com/office/spreadsheetml/2009/9/main" objectType="Drop" dropStyle="combo" dx="16" fmlaLink="$C$100" fmlaRange="$D$101:$D$103" noThreeD="1" sel="1" val="0"/>
</file>

<file path=xl/ctrlProps/ctrlProp9.xml><?xml version="1.0" encoding="utf-8"?>
<formControlPr xmlns="http://schemas.microsoft.com/office/spreadsheetml/2009/9/main" objectType="CheckBox" fmlaLink="$I$90" lockText="1" noThreeD="1"/>
</file>

<file path=xl/ctrlProps/ctrlProp10.xml><?xml version="1.0" encoding="utf-8"?>
<formControlPr xmlns="http://schemas.microsoft.com/office/spreadsheetml/2009/9/main" objectType="CheckBox" fmlaLink="#REF!" lockText="1" noThreeD="1"/>
</file>

<file path=xl/ctrlProps/ctrlProp11.xml><?xml version="1.0" encoding="utf-8"?>
<formControlPr xmlns="http://schemas.microsoft.com/office/spreadsheetml/2009/9/main" objectType="Drop" dropStyle="combo" dx="16" fmlaLink="$C$132" fmlaRange="$D$132:$D$133" noThreeD="1" sel="2" val="0"/>
</file>

<file path=xl/ctrlProps/ctrlProp12.xml><?xml version="1.0" encoding="utf-8"?>
<formControlPr xmlns="http://schemas.microsoft.com/office/spreadsheetml/2009/9/main" objectType="CheckBox" fmlaLink="$I$120" lockText="1" noThreeD="1"/>
</file>

<file path=xl/ctrlProps/ctrlProp13.xml><?xml version="1.0" encoding="utf-8"?>
<formControlPr xmlns="http://schemas.microsoft.com/office/spreadsheetml/2009/9/main" objectType="CheckBox" fmlaLink="$I$120" lockText="1" noThreeD="1"/>
</file>

<file path=xl/ctrlProps/ctrlProp14.xml><?xml version="1.0" encoding="utf-8"?>
<formControlPr xmlns="http://schemas.microsoft.com/office/spreadsheetml/2009/9/main" objectType="CheckBox" fmlaLink="$I$121" lockText="1" noThreeD="1"/>
</file>

<file path=xl/ctrlProps/ctrlProp15.xml><?xml version="1.0" encoding="utf-8"?>
<formControlPr xmlns="http://schemas.microsoft.com/office/spreadsheetml/2009/9/main" objectType="Drop" dropStyle="combo" dx="16" fmlaLink="$C$135" fmlaRange="$D$135:$D$136" noThreeD="1" sel="1" val="0"/>
</file>

<file path=xl/ctrlProps/ctrlProp16.xml><?xml version="1.0" encoding="utf-8"?>
<formControlPr xmlns="http://schemas.microsoft.com/office/spreadsheetml/2009/9/main" objectType="Drop" dropStyle="combo" dx="16" fmlaLink="$C$132" fmlaRange="$D$132:$D$133" noThreeD="1" sel="2" val="0"/>
</file>

<file path=xl/ctrlProps/ctrlProp17.xml><?xml version="1.0" encoding="utf-8"?>
<formControlPr xmlns="http://schemas.microsoft.com/office/spreadsheetml/2009/9/main" objectType="CheckBox" fmlaLink="$I$120" lockText="1" noThreeD="1"/>
</file>

<file path=xl/ctrlProps/ctrlProp18.xml><?xml version="1.0" encoding="utf-8"?>
<formControlPr xmlns="http://schemas.microsoft.com/office/spreadsheetml/2009/9/main" objectType="CheckBox" fmlaLink="$I$121" lockText="1" noThreeD="1"/>
</file>

<file path=xl/ctrlProps/ctrlProp19.xml><?xml version="1.0" encoding="utf-8"?>
<formControlPr xmlns="http://schemas.microsoft.com/office/spreadsheetml/2009/9/main" objectType="Drop" dropStyle="combo" dx="16" fmlaLink="$C$132" fmlaRange="$D$132:$D$133" noThreeD="1" sel="2" val="0"/>
</file>

<file path=xl/ctrlProps/ctrlProp20.xml><?xml version="1.0" encoding="utf-8"?>
<formControlPr xmlns="http://schemas.microsoft.com/office/spreadsheetml/2009/9/main" objectType="CheckBox" fmlaLink="$I$120" lockText="1" noThreeD="1"/>
</file>

<file path=xl/ctrlProps/ctrlProp21.xml><?xml version="1.0" encoding="utf-8"?>
<formControlPr xmlns="http://schemas.microsoft.com/office/spreadsheetml/2009/9/main" objectType="CheckBox" fmlaLink="$I$121" lockText="1" noThreeD="1"/>
</file>

<file path=xl/ctrlProps/ctrlProp22.xml><?xml version="1.0" encoding="utf-8"?>
<formControlPr xmlns="http://schemas.microsoft.com/office/spreadsheetml/2009/9/main" objectType="Drop" dropStyle="combo" dx="16" fmlaLink="$C$132" fmlaRange="$D$132:$D$133" noThreeD="1" sel="2" val="0"/>
</file>

<file path=xl/ctrlProps/ctrlProp23.xml><?xml version="1.0" encoding="utf-8"?>
<formControlPr xmlns="http://schemas.microsoft.com/office/spreadsheetml/2009/9/main" objectType="CheckBox" fmlaLink="$I$120" lockText="1" noThreeD="1"/>
</file>

<file path=xl/ctrlProps/ctrlProp24.xml><?xml version="1.0" encoding="utf-8"?>
<formControlPr xmlns="http://schemas.microsoft.com/office/spreadsheetml/2009/9/main" objectType="CheckBox" fmlaLink="$I$121" lockText="1" noThreeD="1"/>
</file>

<file path=xl/ctrlProps/ctrlProp25.xml><?xml version="1.0" encoding="utf-8"?>
<formControlPr xmlns="http://schemas.microsoft.com/office/spreadsheetml/2009/9/main" objectType="Drop" dropStyle="combo" dx="16" fmlaLink="C132" fmlaRange="$D$132:$D$134" noThreeD="1" sel="3" val="0"/>
</file>

<file path=xl/ctrlProps/ctrlProp26.xml><?xml version="1.0" encoding="utf-8"?>
<formControlPr xmlns="http://schemas.microsoft.com/office/spreadsheetml/2009/9/main" objectType="CheckBox" fmlaLink="$I$121" lockText="1" noThreeD="1"/>
</file>

<file path=xl/ctrlProps/ctrlProp27.xml><?xml version="1.0" encoding="utf-8"?>
<formControlPr xmlns="http://schemas.microsoft.com/office/spreadsheetml/2009/9/main" objectType="CheckBox" fmlaLink="$I$120" lockText="1" noThreeD="1"/>
</file>

<file path=xl/ctrlProps/ctrlProp28.xml><?xml version="1.0" encoding="utf-8"?>
<formControlPr xmlns="http://schemas.microsoft.com/office/spreadsheetml/2009/9/main" objectType="CheckBox" fmlaLink="#REF!" lockText="1" noThreeD="1"/>
</file>

<file path=xl/ctrlProps/ctrlProp29.xml><?xml version="1.0" encoding="utf-8"?>
<formControlPr xmlns="http://schemas.microsoft.com/office/spreadsheetml/2009/9/main" objectType="Drop" dropStyle="combo" dx="16" fmlaLink="$C$132" fmlaRange="$D$132:$D$133" noThreeD="1" sel="1" val="0"/>
</file>

<file path=xl/ctrlProps/ctrlProp30.xml><?xml version="1.0" encoding="utf-8"?>
<formControlPr xmlns="http://schemas.microsoft.com/office/spreadsheetml/2009/9/main" objectType="CheckBox" fmlaLink="$I$121" lockText="1" noThreeD="1"/>
</file>

<file path=xl/ctrlProps/ctrlProp31.xml><?xml version="1.0" encoding="utf-8"?>
<formControlPr xmlns="http://schemas.microsoft.com/office/spreadsheetml/2009/9/main" objectType="CheckBox" fmlaLink="$I$121" lockText="1" noThreeD="1"/>
</file>

<file path=xl/ctrlProps/ctrlProp32.xml><?xml version="1.0" encoding="utf-8"?>
<formControlPr xmlns="http://schemas.microsoft.com/office/spreadsheetml/2009/9/main" objectType="CheckBox" fmlaLink="$I$122" lockText="1" noThreeD="1"/>
</file>

<file path=xl/ctrlProps/ctrlProp33.xml><?xml version="1.0" encoding="utf-8"?>
<formControlPr xmlns="http://schemas.microsoft.com/office/spreadsheetml/2009/9/main" objectType="Drop" dropStyle="combo" dx="16" fmlaLink="$C$135" fmlaRange="$D$135:$D$136" noThreeD="1" sel="2" val="0"/>
</file>

<file path=xl/ctrlProps/ctrlProp34.xml><?xml version="1.0" encoding="utf-8"?>
<formControlPr xmlns="http://schemas.microsoft.com/office/spreadsheetml/2009/9/main" objectType="Drop" dropStyle="combo" dx="16" fmlaLink="$C$132" fmlaRange="$D$132:$D$133" noThreeD="1" sel="1" val="0"/>
</file>

<file path=xl/ctrlProps/ctrlProp35.xml><?xml version="1.0" encoding="utf-8"?>
<formControlPr xmlns="http://schemas.microsoft.com/office/spreadsheetml/2009/9/main" objectType="CheckBox" fmlaLink="$I$121" lockText="1" noThreeD="1"/>
</file>

<file path=xl/ctrlProps/ctrlProp36.xml><?xml version="1.0" encoding="utf-8"?>
<formControlPr xmlns="http://schemas.microsoft.com/office/spreadsheetml/2009/9/main" objectType="CheckBox" fmlaLink="$I$122" lockText="1" noThreeD="1"/>
</file>

<file path=xl/ctrlProps/ctrlProp37.xml><?xml version="1.0" encoding="utf-8"?>
<formControlPr xmlns="http://schemas.microsoft.com/office/spreadsheetml/2009/9/main" objectType="Drop" dropStyle="combo" dx="16" fmlaLink="$C$132" fmlaRange="$D$132:$D$133" noThreeD="1" sel="1" val="0"/>
</file>

<file path=xl/ctrlProps/ctrlProp38.xml><?xml version="1.0" encoding="utf-8"?>
<formControlPr xmlns="http://schemas.microsoft.com/office/spreadsheetml/2009/9/main" objectType="CheckBox" fmlaLink="$I$121" lockText="1" noThreeD="1"/>
</file>

<file path=xl/ctrlProps/ctrlProp39.xml><?xml version="1.0" encoding="utf-8"?>
<formControlPr xmlns="http://schemas.microsoft.com/office/spreadsheetml/2009/9/main" objectType="CheckBox" fmlaLink="$I$122" lockText="1" noThreeD="1"/>
</file>

<file path=xl/ctrlProps/ctrlProp40.xml><?xml version="1.0" encoding="utf-8"?>
<formControlPr xmlns="http://schemas.microsoft.com/office/spreadsheetml/2009/9/main" objectType="Drop" dropStyle="combo" dx="16" fmlaLink="$C$132" fmlaRange="$D$132:$D$133" noThreeD="1" sel="1" val="0"/>
</file>

<file path=xl/ctrlProps/ctrlProp41.xml><?xml version="1.0" encoding="utf-8"?>
<formControlPr xmlns="http://schemas.microsoft.com/office/spreadsheetml/2009/9/main" objectType="CheckBox" fmlaLink="$I$121" lockText="1" noThreeD="1"/>
</file>

<file path=xl/ctrlProps/ctrlProp42.xml><?xml version="1.0" encoding="utf-8"?>
<formControlPr xmlns="http://schemas.microsoft.com/office/spreadsheetml/2009/9/main" objectType="CheckBox" fmlaLink="$I$122" lockText="1" noThreeD="1"/>
</file>

<file path=xl/ctrlProps/ctrlProp43.xml><?xml version="1.0" encoding="utf-8"?>
<formControlPr xmlns="http://schemas.microsoft.com/office/spreadsheetml/2009/9/main" objectType="CheckBox" fmlaLink="$I$121" lockText="1" noThreeD="1"/>
</file>

<file path=xl/ctrlProps/ctrlProp44.xml><?xml version="1.0" encoding="utf-8"?>
<formControlPr xmlns="http://schemas.microsoft.com/office/spreadsheetml/2009/9/main" objectType="CheckBox" fmlaLink="$I$122" lockText="1" noThreeD="1"/>
</file>

<file path=xl/ctrlProps/ctrlProp45.xml><?xml version="1.0" encoding="utf-8"?>
<formControlPr xmlns="http://schemas.microsoft.com/office/spreadsheetml/2009/9/main" objectType="Drop" dropStyle="combo" dx="16" fmlaLink="$C$132" fmlaRange="$D$132:$D$133" noThreeD="1" sel="1" val="0"/>
</file>

<file path=xl/ctrlProps/ctrlProp46.xml><?xml version="1.0" encoding="utf-8"?>
<formControlPr xmlns="http://schemas.microsoft.com/office/spreadsheetml/2009/9/main" objectType="Drop" dropStyle="combo" dx="16" fmlaLink="$C$132" fmlaRange="$D$132:$D$134" noThreeD="1" sel="1" val="0"/>
</file>

<file path=xl/ctrlProps/ctrlProp47.xml><?xml version="1.0" encoding="utf-8"?>
<formControlPr xmlns="http://schemas.microsoft.com/office/spreadsheetml/2009/9/main" objectType="CheckBox" fmlaLink="$I$121" lockText="1" noThreeD="1"/>
</file>

<file path=xl/ctrlProps/ctrlProp48.xml><?xml version="1.0" encoding="utf-8"?>
<formControlPr xmlns="http://schemas.microsoft.com/office/spreadsheetml/2009/9/main" objectType="CheckBox" fmlaLink="$I$12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200819</xdr:colOff>
      <xdr:row>16</xdr:row>
      <xdr:rowOff>143380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9F097B48-85A5-2ED7-D8FE-4672A9247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23850"/>
          <a:ext cx="5687219" cy="3620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95250</xdr:rowOff>
    </xdr:from>
    <xdr:to>
      <xdr:col>4</xdr:col>
      <xdr:colOff>137160</xdr:colOff>
      <xdr:row>0</xdr:row>
      <xdr:rowOff>605790</xdr:rowOff>
    </xdr:to>
    <xdr:pic>
      <xdr:nvPicPr>
        <xdr:cNvPr id="4" name="Obrázek 3" descr="mbank-mass-logo-LABEL-fc-CS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5300" y="95250"/>
          <a:ext cx="1423035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</xdr:row>
          <xdr:rowOff>0</xdr:rowOff>
        </xdr:from>
        <xdr:to>
          <xdr:col>6</xdr:col>
          <xdr:colOff>9525</xdr:colOff>
          <xdr:row>74</xdr:row>
          <xdr:rowOff>9525</xdr:rowOff>
        </xdr:to>
        <xdr:sp macro="" textlink="">
          <xdr:nvSpPr>
            <xdr:cNvPr id="1083" name="Drop Dow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2381250</xdr:colOff>
          <xdr:row>86</xdr:row>
          <xdr:rowOff>9525</xdr:rowOff>
        </xdr:from>
        <xdr:to>
          <xdr:col>4</xdr:col>
          <xdr:colOff>2686050</xdr:colOff>
          <xdr:row>87</xdr:row>
          <xdr:rowOff>28575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2381250</xdr:colOff>
          <xdr:row>86</xdr:row>
          <xdr:rowOff>219075</xdr:rowOff>
        </xdr:from>
        <xdr:to>
          <xdr:col>4</xdr:col>
          <xdr:colOff>2686050</xdr:colOff>
          <xdr:row>90</xdr:row>
          <xdr:rowOff>19050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38100</xdr:rowOff>
    </xdr:from>
    <xdr:to>
      <xdr:col>3</xdr:col>
      <xdr:colOff>19050</xdr:colOff>
      <xdr:row>0</xdr:row>
      <xdr:rowOff>161925</xdr:rowOff>
    </xdr:to>
    <xdr:pic>
      <xdr:nvPicPr>
        <xdr:cNvPr id="2" name="Picture 1" descr="logo_red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52727"/>
            </a:clrFrom>
            <a:clrTo>
              <a:srgbClr val="F52727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38100"/>
          <a:ext cx="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0</xdr:row>
      <xdr:rowOff>76200</xdr:rowOff>
    </xdr:from>
    <xdr:to>
      <xdr:col>4</xdr:col>
      <xdr:colOff>146685</xdr:colOff>
      <xdr:row>0</xdr:row>
      <xdr:rowOff>586740</xdr:rowOff>
    </xdr:to>
    <xdr:pic>
      <xdr:nvPicPr>
        <xdr:cNvPr id="4" name="Obrázek 3" descr="mbank-mass-logo-LABEL-fc-CS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4825" y="76200"/>
          <a:ext cx="1423035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78</xdr:row>
          <xdr:rowOff>0</xdr:rowOff>
        </xdr:from>
        <xdr:to>
          <xdr:col>5</xdr:col>
          <xdr:colOff>0</xdr:colOff>
          <xdr:row>79</xdr:row>
          <xdr:rowOff>9525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79</xdr:row>
          <xdr:rowOff>0</xdr:rowOff>
        </xdr:from>
        <xdr:to>
          <xdr:col>5</xdr:col>
          <xdr:colOff>0</xdr:colOff>
          <xdr:row>80</xdr:row>
          <xdr:rowOff>19050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2419350</xdr:colOff>
          <xdr:row>89</xdr:row>
          <xdr:rowOff>0</xdr:rowOff>
        </xdr:from>
        <xdr:to>
          <xdr:col>5</xdr:col>
          <xdr:colOff>19050</xdr:colOff>
          <xdr:row>90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2419350</xdr:colOff>
          <xdr:row>90</xdr:row>
          <xdr:rowOff>0</xdr:rowOff>
        </xdr:from>
        <xdr:to>
          <xdr:col>5</xdr:col>
          <xdr:colOff>19050</xdr:colOff>
          <xdr:row>91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78</xdr:row>
          <xdr:rowOff>19050</xdr:rowOff>
        </xdr:from>
        <xdr:to>
          <xdr:col>6</xdr:col>
          <xdr:colOff>19050</xdr:colOff>
          <xdr:row>79</xdr:row>
          <xdr:rowOff>28575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2419350</xdr:colOff>
          <xdr:row>89</xdr:row>
          <xdr:rowOff>0</xdr:rowOff>
        </xdr:from>
        <xdr:to>
          <xdr:col>5</xdr:col>
          <xdr:colOff>19050</xdr:colOff>
          <xdr:row>90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38100</xdr:rowOff>
    </xdr:from>
    <xdr:to>
      <xdr:col>3</xdr:col>
      <xdr:colOff>19050</xdr:colOff>
      <xdr:row>1</xdr:row>
      <xdr:rowOff>28575</xdr:rowOff>
    </xdr:to>
    <xdr:pic>
      <xdr:nvPicPr>
        <xdr:cNvPr id="2" name="Picture 1" descr="logo_red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52727"/>
            </a:clrFrom>
            <a:clrTo>
              <a:srgbClr val="F52727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38100"/>
          <a:ext cx="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0</xdr:row>
      <xdr:rowOff>76200</xdr:rowOff>
    </xdr:from>
    <xdr:to>
      <xdr:col>2</xdr:col>
      <xdr:colOff>95250</xdr:colOff>
      <xdr:row>1</xdr:row>
      <xdr:rowOff>28575</xdr:rowOff>
    </xdr:to>
    <xdr:pic>
      <xdr:nvPicPr>
        <xdr:cNvPr id="3" name="Obrázek 2" descr="mbank-mass-logo-LABEL-fc-CS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0550" y="7620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34290</xdr:colOff>
      <xdr:row>0</xdr:row>
      <xdr:rowOff>295275</xdr:rowOff>
    </xdr:from>
    <xdr:to>
      <xdr:col>3</xdr:col>
      <xdr:colOff>34290</xdr:colOff>
      <xdr:row>5</xdr:row>
      <xdr:rowOff>0</xdr:rowOff>
    </xdr:to>
    <xdr:pic>
      <xdr:nvPicPr>
        <xdr:cNvPr id="4" name="Obrázek 3" descr="mbank-mass-logo-LABEL-fc-CS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27710" y="295275"/>
          <a:ext cx="0" cy="1118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183</xdr:row>
          <xdr:rowOff>0</xdr:rowOff>
        </xdr:from>
        <xdr:to>
          <xdr:col>4</xdr:col>
          <xdr:colOff>2162175</xdr:colOff>
          <xdr:row>184</xdr:row>
          <xdr:rowOff>57150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107</xdr:row>
          <xdr:rowOff>0</xdr:rowOff>
        </xdr:from>
        <xdr:to>
          <xdr:col>5</xdr:col>
          <xdr:colOff>0</xdr:colOff>
          <xdr:row>108</xdr:row>
          <xdr:rowOff>95250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183</xdr:row>
          <xdr:rowOff>0</xdr:rowOff>
        </xdr:from>
        <xdr:to>
          <xdr:col>4</xdr:col>
          <xdr:colOff>2162175</xdr:colOff>
          <xdr:row>184</xdr:row>
          <xdr:rowOff>104775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5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183</xdr:row>
          <xdr:rowOff>0</xdr:rowOff>
        </xdr:from>
        <xdr:to>
          <xdr:col>4</xdr:col>
          <xdr:colOff>2162175</xdr:colOff>
          <xdr:row>184</xdr:row>
          <xdr:rowOff>104775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5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183</xdr:row>
          <xdr:rowOff>0</xdr:rowOff>
        </xdr:from>
        <xdr:to>
          <xdr:col>4</xdr:col>
          <xdr:colOff>2162175</xdr:colOff>
          <xdr:row>184</xdr:row>
          <xdr:rowOff>152400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5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108</xdr:row>
          <xdr:rowOff>0</xdr:rowOff>
        </xdr:from>
        <xdr:to>
          <xdr:col>5</xdr:col>
          <xdr:colOff>0</xdr:colOff>
          <xdr:row>109</xdr:row>
          <xdr:rowOff>47625</xdr:rowOff>
        </xdr:to>
        <xdr:sp macro="" textlink="">
          <xdr:nvSpPr>
            <xdr:cNvPr id="9222" name="Drop Dow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5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107</xdr:row>
          <xdr:rowOff>0</xdr:rowOff>
        </xdr:from>
        <xdr:to>
          <xdr:col>5</xdr:col>
          <xdr:colOff>0</xdr:colOff>
          <xdr:row>108</xdr:row>
          <xdr:rowOff>95250</xdr:rowOff>
        </xdr:to>
        <xdr:sp macro="" textlink="">
          <xdr:nvSpPr>
            <xdr:cNvPr id="9223" name="Drop Dow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5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183</xdr:row>
          <xdr:rowOff>0</xdr:rowOff>
        </xdr:from>
        <xdr:to>
          <xdr:col>4</xdr:col>
          <xdr:colOff>2162175</xdr:colOff>
          <xdr:row>184</xdr:row>
          <xdr:rowOff>57150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5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183</xdr:row>
          <xdr:rowOff>0</xdr:rowOff>
        </xdr:from>
        <xdr:to>
          <xdr:col>4</xdr:col>
          <xdr:colOff>2162175</xdr:colOff>
          <xdr:row>184</xdr:row>
          <xdr:rowOff>104775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5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107</xdr:row>
          <xdr:rowOff>0</xdr:rowOff>
        </xdr:from>
        <xdr:to>
          <xdr:col>5</xdr:col>
          <xdr:colOff>0</xdr:colOff>
          <xdr:row>108</xdr:row>
          <xdr:rowOff>66675</xdr:rowOff>
        </xdr:to>
        <xdr:sp macro="" textlink="">
          <xdr:nvSpPr>
            <xdr:cNvPr id="9226" name="Drop Dow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5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2219325</xdr:colOff>
          <xdr:row>183</xdr:row>
          <xdr:rowOff>0</xdr:rowOff>
        </xdr:from>
        <xdr:to>
          <xdr:col>4</xdr:col>
          <xdr:colOff>2219325</xdr:colOff>
          <xdr:row>184</xdr:row>
          <xdr:rowOff>57150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5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2219325</xdr:colOff>
          <xdr:row>183</xdr:row>
          <xdr:rowOff>0</xdr:rowOff>
        </xdr:from>
        <xdr:to>
          <xdr:col>4</xdr:col>
          <xdr:colOff>2219325</xdr:colOff>
          <xdr:row>184</xdr:row>
          <xdr:rowOff>57150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5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2514600</xdr:colOff>
          <xdr:row>107</xdr:row>
          <xdr:rowOff>0</xdr:rowOff>
        </xdr:from>
        <xdr:to>
          <xdr:col>4</xdr:col>
          <xdr:colOff>2514600</xdr:colOff>
          <xdr:row>108</xdr:row>
          <xdr:rowOff>95250</xdr:rowOff>
        </xdr:to>
        <xdr:sp macro="" textlink="">
          <xdr:nvSpPr>
            <xdr:cNvPr id="9229" name="Drop Down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5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2286000</xdr:colOff>
          <xdr:row>119</xdr:row>
          <xdr:rowOff>0</xdr:rowOff>
        </xdr:from>
        <xdr:to>
          <xdr:col>4</xdr:col>
          <xdr:colOff>2286000</xdr:colOff>
          <xdr:row>120</xdr:row>
          <xdr:rowOff>76200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5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2276475</xdr:colOff>
          <xdr:row>119</xdr:row>
          <xdr:rowOff>180975</xdr:rowOff>
        </xdr:from>
        <xdr:to>
          <xdr:col>4</xdr:col>
          <xdr:colOff>2276475</xdr:colOff>
          <xdr:row>123</xdr:row>
          <xdr:rowOff>95250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5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66675</xdr:colOff>
      <xdr:row>0</xdr:row>
      <xdr:rowOff>85725</xdr:rowOff>
    </xdr:from>
    <xdr:to>
      <xdr:col>4</xdr:col>
      <xdr:colOff>203835</xdr:colOff>
      <xdr:row>0</xdr:row>
      <xdr:rowOff>596265</xdr:rowOff>
    </xdr:to>
    <xdr:pic>
      <xdr:nvPicPr>
        <xdr:cNvPr id="20" name="Obrázek 3" descr="mbank-mass-logo-LABEL-fc-CS5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61975" y="85725"/>
          <a:ext cx="1423035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107</xdr:row>
          <xdr:rowOff>9525</xdr:rowOff>
        </xdr:from>
        <xdr:to>
          <xdr:col>6</xdr:col>
          <xdr:colOff>0</xdr:colOff>
          <xdr:row>107</xdr:row>
          <xdr:rowOff>180975</xdr:rowOff>
        </xdr:to>
        <xdr:sp macro="" textlink="">
          <xdr:nvSpPr>
            <xdr:cNvPr id="9236" name="Drop Down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5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2466975</xdr:colOff>
          <xdr:row>120</xdr:row>
          <xdr:rowOff>19050</xdr:rowOff>
        </xdr:from>
        <xdr:to>
          <xdr:col>4</xdr:col>
          <xdr:colOff>2724150</xdr:colOff>
          <xdr:row>120</xdr:row>
          <xdr:rowOff>161925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5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2466975</xdr:colOff>
          <xdr:row>119</xdr:row>
          <xdr:rowOff>0</xdr:rowOff>
        </xdr:from>
        <xdr:to>
          <xdr:col>4</xdr:col>
          <xdr:colOff>2647950</xdr:colOff>
          <xdr:row>119</xdr:row>
          <xdr:rowOff>190500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5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38100</xdr:rowOff>
    </xdr:from>
    <xdr:to>
      <xdr:col>3</xdr:col>
      <xdr:colOff>19050</xdr:colOff>
      <xdr:row>1</xdr:row>
      <xdr:rowOff>0</xdr:rowOff>
    </xdr:to>
    <xdr:pic>
      <xdr:nvPicPr>
        <xdr:cNvPr id="2" name="Picture 1" descr="logo_red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52727"/>
            </a:clrFrom>
            <a:clrTo>
              <a:srgbClr val="F52727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38100"/>
          <a:ext cx="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95250</xdr:colOff>
      <xdr:row>0</xdr:row>
      <xdr:rowOff>76200</xdr:rowOff>
    </xdr:from>
    <xdr:to>
      <xdr:col>2</xdr:col>
      <xdr:colOff>95250</xdr:colOff>
      <xdr:row>1</xdr:row>
      <xdr:rowOff>0</xdr:rowOff>
    </xdr:to>
    <xdr:pic>
      <xdr:nvPicPr>
        <xdr:cNvPr id="3" name="Obrázek 5" descr="mbank-mass-logo-LABEL-fc-CS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0550" y="7620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</xdr:colOff>
      <xdr:row>0</xdr:row>
      <xdr:rowOff>201930</xdr:rowOff>
    </xdr:from>
    <xdr:to>
      <xdr:col>3</xdr:col>
      <xdr:colOff>9525</xdr:colOff>
      <xdr:row>4</xdr:row>
      <xdr:rowOff>43815</xdr:rowOff>
    </xdr:to>
    <xdr:pic>
      <xdr:nvPicPr>
        <xdr:cNvPr id="4" name="Obrázek 6" descr="mbank-mass-logo-LABEL-fc-CS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2945" y="201930"/>
          <a:ext cx="0" cy="1015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184</xdr:row>
          <xdr:rowOff>0</xdr:rowOff>
        </xdr:from>
        <xdr:to>
          <xdr:col>4</xdr:col>
          <xdr:colOff>2162175</xdr:colOff>
          <xdr:row>185</xdr:row>
          <xdr:rowOff>57150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7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109</xdr:row>
          <xdr:rowOff>0</xdr:rowOff>
        </xdr:from>
        <xdr:to>
          <xdr:col>5</xdr:col>
          <xdr:colOff>0</xdr:colOff>
          <xdr:row>110</xdr:row>
          <xdr:rowOff>38100</xdr:rowOff>
        </xdr:to>
        <xdr:sp macro="" textlink="">
          <xdr:nvSpPr>
            <xdr:cNvPr id="12290" name="Drop Dow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7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184</xdr:row>
          <xdr:rowOff>0</xdr:rowOff>
        </xdr:from>
        <xdr:to>
          <xdr:col>4</xdr:col>
          <xdr:colOff>2162175</xdr:colOff>
          <xdr:row>185</xdr:row>
          <xdr:rowOff>104775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7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184</xdr:row>
          <xdr:rowOff>0</xdr:rowOff>
        </xdr:from>
        <xdr:to>
          <xdr:col>4</xdr:col>
          <xdr:colOff>2162175</xdr:colOff>
          <xdr:row>185</xdr:row>
          <xdr:rowOff>104775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7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184</xdr:row>
          <xdr:rowOff>0</xdr:rowOff>
        </xdr:from>
        <xdr:to>
          <xdr:col>4</xdr:col>
          <xdr:colOff>2162175</xdr:colOff>
          <xdr:row>185</xdr:row>
          <xdr:rowOff>152400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7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110</xdr:row>
          <xdr:rowOff>0</xdr:rowOff>
        </xdr:from>
        <xdr:to>
          <xdr:col>5</xdr:col>
          <xdr:colOff>0</xdr:colOff>
          <xdr:row>111</xdr:row>
          <xdr:rowOff>47625</xdr:rowOff>
        </xdr:to>
        <xdr:sp macro="" textlink="">
          <xdr:nvSpPr>
            <xdr:cNvPr id="12294" name="Drop Down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7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109</xdr:row>
          <xdr:rowOff>0</xdr:rowOff>
        </xdr:from>
        <xdr:to>
          <xdr:col>5</xdr:col>
          <xdr:colOff>0</xdr:colOff>
          <xdr:row>110</xdr:row>
          <xdr:rowOff>38100</xdr:rowOff>
        </xdr:to>
        <xdr:sp macro="" textlink="">
          <xdr:nvSpPr>
            <xdr:cNvPr id="12295" name="Drop Down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7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184</xdr:row>
          <xdr:rowOff>0</xdr:rowOff>
        </xdr:from>
        <xdr:to>
          <xdr:col>4</xdr:col>
          <xdr:colOff>2162175</xdr:colOff>
          <xdr:row>185</xdr:row>
          <xdr:rowOff>57150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7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2162175</xdr:colOff>
          <xdr:row>184</xdr:row>
          <xdr:rowOff>0</xdr:rowOff>
        </xdr:from>
        <xdr:to>
          <xdr:col>4</xdr:col>
          <xdr:colOff>2162175</xdr:colOff>
          <xdr:row>185</xdr:row>
          <xdr:rowOff>104775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7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109</xdr:row>
          <xdr:rowOff>0</xdr:rowOff>
        </xdr:from>
        <xdr:to>
          <xdr:col>5</xdr:col>
          <xdr:colOff>0</xdr:colOff>
          <xdr:row>110</xdr:row>
          <xdr:rowOff>66675</xdr:rowOff>
        </xdr:to>
        <xdr:sp macro="" textlink="">
          <xdr:nvSpPr>
            <xdr:cNvPr id="12298" name="Drop Down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7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2219325</xdr:colOff>
          <xdr:row>184</xdr:row>
          <xdr:rowOff>0</xdr:rowOff>
        </xdr:from>
        <xdr:to>
          <xdr:col>4</xdr:col>
          <xdr:colOff>2219325</xdr:colOff>
          <xdr:row>185</xdr:row>
          <xdr:rowOff>57150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7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2219325</xdr:colOff>
          <xdr:row>184</xdr:row>
          <xdr:rowOff>0</xdr:rowOff>
        </xdr:from>
        <xdr:to>
          <xdr:col>4</xdr:col>
          <xdr:colOff>2219325</xdr:colOff>
          <xdr:row>185</xdr:row>
          <xdr:rowOff>57150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7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2514600</xdr:colOff>
          <xdr:row>109</xdr:row>
          <xdr:rowOff>0</xdr:rowOff>
        </xdr:from>
        <xdr:to>
          <xdr:col>4</xdr:col>
          <xdr:colOff>2514600</xdr:colOff>
          <xdr:row>110</xdr:row>
          <xdr:rowOff>38100</xdr:rowOff>
        </xdr:to>
        <xdr:sp macro="" textlink="">
          <xdr:nvSpPr>
            <xdr:cNvPr id="12301" name="Drop Down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7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2286000</xdr:colOff>
          <xdr:row>184</xdr:row>
          <xdr:rowOff>0</xdr:rowOff>
        </xdr:from>
        <xdr:to>
          <xdr:col>6</xdr:col>
          <xdr:colOff>0</xdr:colOff>
          <xdr:row>185</xdr:row>
          <xdr:rowOff>57150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7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2276475</xdr:colOff>
          <xdr:row>184</xdr:row>
          <xdr:rowOff>0</xdr:rowOff>
        </xdr:from>
        <xdr:to>
          <xdr:col>6</xdr:col>
          <xdr:colOff>0</xdr:colOff>
          <xdr:row>185</xdr:row>
          <xdr:rowOff>57150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7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2286000</xdr:colOff>
          <xdr:row>120</xdr:row>
          <xdr:rowOff>0</xdr:rowOff>
        </xdr:from>
        <xdr:to>
          <xdr:col>4</xdr:col>
          <xdr:colOff>2286000</xdr:colOff>
          <xdr:row>121</xdr:row>
          <xdr:rowOff>76200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7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2276475</xdr:colOff>
          <xdr:row>120</xdr:row>
          <xdr:rowOff>180975</xdr:rowOff>
        </xdr:from>
        <xdr:to>
          <xdr:col>4</xdr:col>
          <xdr:colOff>2276475</xdr:colOff>
          <xdr:row>122</xdr:row>
          <xdr:rowOff>57150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7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2505075</xdr:colOff>
          <xdr:row>109</xdr:row>
          <xdr:rowOff>0</xdr:rowOff>
        </xdr:from>
        <xdr:to>
          <xdr:col>4</xdr:col>
          <xdr:colOff>2505075</xdr:colOff>
          <xdr:row>110</xdr:row>
          <xdr:rowOff>38100</xdr:rowOff>
        </xdr:to>
        <xdr:sp macro="" textlink="">
          <xdr:nvSpPr>
            <xdr:cNvPr id="12306" name="Drop Down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7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47625</xdr:colOff>
      <xdr:row>0</xdr:row>
      <xdr:rowOff>66675</xdr:rowOff>
    </xdr:from>
    <xdr:to>
      <xdr:col>4</xdr:col>
      <xdr:colOff>184785</xdr:colOff>
      <xdr:row>0</xdr:row>
      <xdr:rowOff>577215</xdr:rowOff>
    </xdr:to>
    <xdr:pic>
      <xdr:nvPicPr>
        <xdr:cNvPr id="23" name="Obrázek 3" descr="mbank-mass-logo-LABEL-fc-CS5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2925" y="66675"/>
          <a:ext cx="1423035" cy="510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2657475</xdr:colOff>
          <xdr:row>109</xdr:row>
          <xdr:rowOff>9525</xdr:rowOff>
        </xdr:from>
        <xdr:to>
          <xdr:col>6</xdr:col>
          <xdr:colOff>0</xdr:colOff>
          <xdr:row>110</xdr:row>
          <xdr:rowOff>0</xdr:rowOff>
        </xdr:to>
        <xdr:sp macro="" textlink="">
          <xdr:nvSpPr>
            <xdr:cNvPr id="12312" name="Drop Down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7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2419350</xdr:colOff>
          <xdr:row>120</xdr:row>
          <xdr:rowOff>28575</xdr:rowOff>
        </xdr:from>
        <xdr:to>
          <xdr:col>4</xdr:col>
          <xdr:colOff>2600325</xdr:colOff>
          <xdr:row>120</xdr:row>
          <xdr:rowOff>152400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7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2419350</xdr:colOff>
          <xdr:row>121</xdr:row>
          <xdr:rowOff>19050</xdr:rowOff>
        </xdr:from>
        <xdr:to>
          <xdr:col>4</xdr:col>
          <xdr:colOff>2619375</xdr:colOff>
          <xdr:row>121</xdr:row>
          <xdr:rowOff>171450</xdr:rowOff>
        </xdr:to>
        <xdr:sp macro="" textlink="">
          <xdr:nvSpPr>
            <xdr:cNvPr id="12314" name="Check Box 26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00000000-0008-0000-0700-00001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488950</xdr:colOff>
      <xdr:row>1</xdr:row>
      <xdr:rowOff>76200</xdr:rowOff>
    </xdr:from>
    <xdr:to>
      <xdr:col>5</xdr:col>
      <xdr:colOff>809625</xdr:colOff>
      <xdr:row>4</xdr:row>
      <xdr:rowOff>91440</xdr:rowOff>
    </xdr:to>
    <xdr:pic>
      <xdr:nvPicPr>
        <xdr:cNvPr id="3" name="Obrázek 2" descr="mbank-mass-logo-LABEL-fc-CS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8800" y="260350"/>
          <a:ext cx="1273175" cy="4406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1</xdr:row>
      <xdr:rowOff>88900</xdr:rowOff>
    </xdr:from>
    <xdr:to>
      <xdr:col>5</xdr:col>
      <xdr:colOff>819150</xdr:colOff>
      <xdr:row>4</xdr:row>
      <xdr:rowOff>104140</xdr:rowOff>
    </xdr:to>
    <xdr:pic>
      <xdr:nvPicPr>
        <xdr:cNvPr id="5" name="Obrázek 4" descr="mbank-mass-logo-LABEL-fc-CS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5625" y="273050"/>
          <a:ext cx="1285875" cy="4406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Hypo\ratingy\Hypokalkulacka_risk9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"/>
      <sheetName val="rovne_splatky"/>
      <sheetName val="klesajuce_splatky"/>
      <sheetName val="poplatok_LCI"/>
      <sheetName val="volné_LTV"/>
    </sheetNames>
    <sheetDataSet>
      <sheetData sheetId="0">
        <row r="18">
          <cell r="K18" t="b">
            <v>0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broz, Jakub (mBank/DZR)" id="{7E048BFD-A55B-43F5-A4BB-F0FBAC18FC76}" userId="S::Jakub.Ambroz@mbank.cz::0c83e3b6-f35e-49df-a141-fa895c79c62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3" dT="2022-03-30T07:00:01.57" personId="{7E048BFD-A55B-43F5-A4BB-F0FBAC18FC76}" id="{EDBD126F-EF18-4D1C-8362-F2787441DFF2}">
    <text>Vždy musí být "OK".</text>
  </threadedComment>
  <threadedComment ref="E114" dT="2022-03-30T07:00:23.49" personId="{7E048BFD-A55B-43F5-A4BB-F0FBAC18FC76}" id="{E7069168-3080-420B-851C-1117DC4EF176}">
    <text>Vždy musí být "OK".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79" dT="2022-03-30T07:00:01.57" personId="{7E048BFD-A55B-43F5-A4BB-F0FBAC18FC76}" id="{2C3EB866-89AA-4EDB-959C-AF602D946747}">
    <text>Vždy musí být "OK".</text>
  </threadedComment>
  <threadedComment ref="E180" dT="2022-03-30T07:00:23.49" personId="{7E048BFD-A55B-43F5-A4BB-F0FBAC18FC76}" id="{561E0F8B-5CD0-456F-B9AE-63F459FDB4D6}">
    <text>Vždy musí být "OK".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microsoft.com/office/2017/10/relationships/threadedComment" Target="../threadedComments/threadedComment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2.xml"/><Relationship Id="rId13" Type="http://schemas.openxmlformats.org/officeDocument/2006/relationships/ctrlProp" Target="../ctrlProps/ctrlProp37.xml"/><Relationship Id="rId18" Type="http://schemas.openxmlformats.org/officeDocument/2006/relationships/ctrlProp" Target="../ctrlProps/ctrlProp42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45.xml"/><Relationship Id="rId7" Type="http://schemas.openxmlformats.org/officeDocument/2006/relationships/ctrlProp" Target="../ctrlProps/ctrlProp31.xml"/><Relationship Id="rId12" Type="http://schemas.openxmlformats.org/officeDocument/2006/relationships/ctrlProp" Target="../ctrlProps/ctrlProp36.xml"/><Relationship Id="rId17" Type="http://schemas.openxmlformats.org/officeDocument/2006/relationships/ctrlProp" Target="../ctrlProps/ctrlProp41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0.xml"/><Relationship Id="rId20" Type="http://schemas.openxmlformats.org/officeDocument/2006/relationships/ctrlProp" Target="../ctrlProps/ctrlProp4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0.xml"/><Relationship Id="rId11" Type="http://schemas.openxmlformats.org/officeDocument/2006/relationships/ctrlProp" Target="../ctrlProps/ctrlProp35.xml"/><Relationship Id="rId24" Type="http://schemas.openxmlformats.org/officeDocument/2006/relationships/ctrlProp" Target="../ctrlProps/ctrlProp48.xml"/><Relationship Id="rId5" Type="http://schemas.openxmlformats.org/officeDocument/2006/relationships/ctrlProp" Target="../ctrlProps/ctrlProp29.xml"/><Relationship Id="rId15" Type="http://schemas.openxmlformats.org/officeDocument/2006/relationships/ctrlProp" Target="../ctrlProps/ctrlProp39.xml"/><Relationship Id="rId23" Type="http://schemas.openxmlformats.org/officeDocument/2006/relationships/ctrlProp" Target="../ctrlProps/ctrlProp47.xml"/><Relationship Id="rId10" Type="http://schemas.openxmlformats.org/officeDocument/2006/relationships/ctrlProp" Target="../ctrlProps/ctrlProp34.xml"/><Relationship Id="rId19" Type="http://schemas.openxmlformats.org/officeDocument/2006/relationships/ctrlProp" Target="../ctrlProps/ctrlProp43.xml"/><Relationship Id="rId4" Type="http://schemas.openxmlformats.org/officeDocument/2006/relationships/ctrlProp" Target="../ctrlProps/ctrlProp28.xml"/><Relationship Id="rId9" Type="http://schemas.openxmlformats.org/officeDocument/2006/relationships/ctrlProp" Target="../ctrlProps/ctrlProp33.xml"/><Relationship Id="rId14" Type="http://schemas.openxmlformats.org/officeDocument/2006/relationships/ctrlProp" Target="../ctrlProps/ctrlProp38.xml"/><Relationship Id="rId22" Type="http://schemas.openxmlformats.org/officeDocument/2006/relationships/ctrlProp" Target="../ctrlProps/ctrlProp4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3:A27"/>
  <sheetViews>
    <sheetView workbookViewId="0">
      <selection activeCell="H18" sqref="H18"/>
    </sheetView>
  </sheetViews>
  <sheetFormatPr defaultRowHeight="12.75" x14ac:dyDescent="0.2"/>
  <sheetData>
    <row r="13" ht="36" customHeight="1" x14ac:dyDescent="0.2"/>
    <row r="14" ht="63.6" customHeight="1" x14ac:dyDescent="0.2"/>
    <row r="15" ht="34.9" customHeight="1" x14ac:dyDescent="0.2"/>
    <row r="18" ht="31.5" customHeight="1" x14ac:dyDescent="0.2"/>
    <row r="22" ht="12" customHeight="1" x14ac:dyDescent="0.2"/>
    <row r="25" ht="35.65" customHeight="1" x14ac:dyDescent="0.2"/>
    <row r="26" ht="55.9" customHeight="1" x14ac:dyDescent="0.2"/>
    <row r="27" ht="35.65" customHeight="1" x14ac:dyDescent="0.2"/>
  </sheetData>
  <sheetProtection algorithmName="SHA-512" hashValue="DaDIpJl2Tq/uiJgpiunBJ/XGlcML5rCNVUMGmID1nZGGg2KgsUDgJI4EDdZgNnLleAILd5t99GvpA3DAGfce3w==" saltValue="oIB7S3h2mYFxDxCTUEH3ng==" spinCount="100000" sheet="1" objects="1" scenarios="1"/>
  <pageMargins left="0.7" right="0.7" top="0.78740157499999996" bottom="0.78740157499999996" header="0.3" footer="0.3"/>
  <pageSetup paperSize="9" orientation="portrait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1">
    <tabColor indexed="18"/>
    <pageSetUpPr fitToPage="1"/>
  </sheetPr>
  <dimension ref="A1:R143"/>
  <sheetViews>
    <sheetView showGridLines="0" tabSelected="1" topLeftCell="A75" workbookViewId="0">
      <selection activeCell="D104" sqref="D104"/>
    </sheetView>
  </sheetViews>
  <sheetFormatPr defaultColWidth="0" defaultRowHeight="12.75" x14ac:dyDescent="0.2"/>
  <cols>
    <col min="1" max="1" width="6" customWidth="1"/>
    <col min="2" max="2" width="1.42578125" customWidth="1"/>
    <col min="3" max="3" width="2.7109375" customWidth="1"/>
    <col min="4" max="4" width="16.5703125" style="1" customWidth="1"/>
    <col min="5" max="5" width="40.5703125" style="1" customWidth="1"/>
    <col min="6" max="6" width="23.85546875" customWidth="1"/>
    <col min="7" max="7" width="2.7109375" customWidth="1"/>
    <col min="8" max="8" width="1.42578125" customWidth="1"/>
    <col min="9" max="9" width="9.140625" customWidth="1"/>
    <col min="10" max="10" width="2.42578125" customWidth="1"/>
    <col min="11" max="11" width="44.85546875" hidden="1" customWidth="1"/>
  </cols>
  <sheetData>
    <row r="1" spans="2:12" ht="53.25" customHeight="1" thickBot="1" x14ac:dyDescent="0.25">
      <c r="C1" s="380" t="s">
        <v>0</v>
      </c>
      <c r="D1" s="380"/>
      <c r="E1" s="380"/>
      <c r="F1" s="380"/>
      <c r="G1" s="380"/>
    </row>
    <row r="2" spans="2:12" x14ac:dyDescent="0.2">
      <c r="B2" s="5"/>
      <c r="C2" s="13"/>
      <c r="D2" s="14"/>
      <c r="E2" s="14"/>
      <c r="F2" s="13"/>
      <c r="G2" s="13"/>
      <c r="H2" s="11"/>
    </row>
    <row r="3" spans="2:12" ht="15.75" customHeight="1" x14ac:dyDescent="0.4">
      <c r="B3" s="6"/>
      <c r="C3" s="298"/>
      <c r="D3" s="304" t="s">
        <v>199</v>
      </c>
      <c r="E3" s="302"/>
      <c r="F3" s="300">
        <v>45860</v>
      </c>
      <c r="G3" s="271"/>
      <c r="H3" s="12"/>
      <c r="I3" s="240"/>
    </row>
    <row r="4" spans="2:12" ht="12.75" customHeight="1" x14ac:dyDescent="0.4">
      <c r="B4" s="6"/>
      <c r="C4" s="299"/>
      <c r="D4" s="268"/>
      <c r="E4" s="303"/>
      <c r="F4" s="301" t="str">
        <f>IF(ISBLANK(F3),"DÁTUM PODANIA!","OK")</f>
        <v>OK</v>
      </c>
      <c r="G4" s="267"/>
      <c r="H4" s="12"/>
      <c r="I4" s="240"/>
    </row>
    <row r="5" spans="2:12" x14ac:dyDescent="0.2">
      <c r="B5" s="6"/>
      <c r="C5" s="267"/>
      <c r="D5" s="268" t="s">
        <v>22</v>
      </c>
      <c r="E5" s="269"/>
      <c r="F5" s="270"/>
      <c r="G5" s="267"/>
      <c r="H5" s="12"/>
    </row>
    <row r="6" spans="2:12" ht="13.5" thickBot="1" x14ac:dyDescent="0.25">
      <c r="B6" s="6"/>
      <c r="C6" s="15"/>
      <c r="D6" s="16"/>
      <c r="E6" s="16"/>
      <c r="F6" s="15"/>
      <c r="G6" s="15"/>
      <c r="H6" s="12"/>
    </row>
    <row r="7" spans="2:12" ht="15.75" hidden="1" thickBot="1" x14ac:dyDescent="0.25">
      <c r="B7" s="6"/>
      <c r="C7" s="23"/>
      <c r="D7" s="194" t="s">
        <v>196</v>
      </c>
      <c r="E7" s="241"/>
      <c r="F7" s="344">
        <f>MAX(F8+F11+F14+F17-F9-F12-F15-F18,0)</f>
        <v>0</v>
      </c>
      <c r="G7" s="30"/>
      <c r="H7" s="12"/>
      <c r="I7" s="287" t="s">
        <v>170</v>
      </c>
      <c r="L7" s="4"/>
    </row>
    <row r="8" spans="2:12" ht="15" x14ac:dyDescent="0.2">
      <c r="B8" s="6"/>
      <c r="C8" s="23"/>
      <c r="D8" s="412" t="s">
        <v>184</v>
      </c>
      <c r="E8" s="413"/>
      <c r="F8" s="307">
        <v>0</v>
      </c>
      <c r="G8" s="30"/>
      <c r="H8" s="12"/>
      <c r="I8" s="89">
        <f>IF(F20=4,MIN(F22,F24,F26,F28),IF(F20=3,MIN(F22,F24,F26),IF(F20=2,MIN(F22,F24),F22)))</f>
        <v>0</v>
      </c>
    </row>
    <row r="9" spans="2:12" ht="15" x14ac:dyDescent="0.2">
      <c r="B9" s="6"/>
      <c r="C9" s="23"/>
      <c r="D9" s="414" t="s">
        <v>200</v>
      </c>
      <c r="E9" s="415"/>
      <c r="F9" s="349">
        <v>0</v>
      </c>
      <c r="G9" s="30"/>
      <c r="H9" s="12"/>
      <c r="I9" s="89"/>
    </row>
    <row r="10" spans="2:12" ht="15.75" thickBot="1" x14ac:dyDescent="0.25">
      <c r="B10" s="6"/>
      <c r="C10" s="23"/>
      <c r="D10" s="416" t="s">
        <v>191</v>
      </c>
      <c r="E10" s="417"/>
      <c r="F10" s="308">
        <v>0</v>
      </c>
      <c r="G10" s="30"/>
      <c r="H10" s="12"/>
      <c r="I10" s="89"/>
    </row>
    <row r="11" spans="2:12" ht="15" x14ac:dyDescent="0.2">
      <c r="B11" s="6"/>
      <c r="C11" s="23"/>
      <c r="D11" s="412" t="s">
        <v>185</v>
      </c>
      <c r="E11" s="413"/>
      <c r="F11" s="357">
        <v>0</v>
      </c>
      <c r="G11" s="30"/>
      <c r="H11" s="12"/>
      <c r="I11" s="89"/>
    </row>
    <row r="12" spans="2:12" ht="15" x14ac:dyDescent="0.2">
      <c r="B12" s="6"/>
      <c r="C12" s="23"/>
      <c r="D12" s="414" t="s">
        <v>200</v>
      </c>
      <c r="E12" s="415"/>
      <c r="F12" s="349">
        <v>0</v>
      </c>
      <c r="G12" s="30"/>
      <c r="H12" s="12"/>
      <c r="I12" s="89"/>
    </row>
    <row r="13" spans="2:12" ht="15.75" thickBot="1" x14ac:dyDescent="0.25">
      <c r="B13" s="6"/>
      <c r="C13" s="23"/>
      <c r="D13" s="416" t="s">
        <v>192</v>
      </c>
      <c r="E13" s="417"/>
      <c r="F13" s="358">
        <v>0</v>
      </c>
      <c r="G13" s="30"/>
      <c r="H13" s="12"/>
      <c r="I13" s="89"/>
    </row>
    <row r="14" spans="2:12" ht="15" x14ac:dyDescent="0.2">
      <c r="B14" s="6"/>
      <c r="C14" s="23"/>
      <c r="D14" s="412" t="s">
        <v>186</v>
      </c>
      <c r="E14" s="413"/>
      <c r="F14" s="357">
        <v>0</v>
      </c>
      <c r="G14" s="30"/>
      <c r="H14" s="12"/>
      <c r="I14" s="89"/>
    </row>
    <row r="15" spans="2:12" ht="15" x14ac:dyDescent="0.2">
      <c r="B15" s="6"/>
      <c r="C15" s="23"/>
      <c r="D15" s="414" t="s">
        <v>200</v>
      </c>
      <c r="E15" s="415"/>
      <c r="F15" s="349">
        <v>0</v>
      </c>
      <c r="G15" s="30"/>
      <c r="H15" s="12"/>
      <c r="I15" s="89"/>
    </row>
    <row r="16" spans="2:12" ht="15.75" thickBot="1" x14ac:dyDescent="0.25">
      <c r="B16" s="6"/>
      <c r="C16" s="23"/>
      <c r="D16" s="416" t="s">
        <v>193</v>
      </c>
      <c r="E16" s="417"/>
      <c r="F16" s="358">
        <v>0</v>
      </c>
      <c r="G16" s="30"/>
      <c r="H16" s="12"/>
      <c r="I16" s="89"/>
    </row>
    <row r="17" spans="2:12" ht="15" x14ac:dyDescent="0.2">
      <c r="B17" s="6"/>
      <c r="C17" s="23"/>
      <c r="D17" s="412" t="s">
        <v>194</v>
      </c>
      <c r="E17" s="413"/>
      <c r="F17" s="357">
        <v>0</v>
      </c>
      <c r="G17" s="30"/>
      <c r="H17" s="12"/>
      <c r="I17" s="89"/>
    </row>
    <row r="18" spans="2:12" ht="15" x14ac:dyDescent="0.2">
      <c r="B18" s="6"/>
      <c r="C18" s="23"/>
      <c r="D18" s="414" t="s">
        <v>200</v>
      </c>
      <c r="E18" s="415"/>
      <c r="F18" s="349">
        <v>0</v>
      </c>
      <c r="G18" s="30"/>
      <c r="H18" s="12"/>
      <c r="I18" s="89"/>
    </row>
    <row r="19" spans="2:12" ht="15.75" thickBot="1" x14ac:dyDescent="0.25">
      <c r="B19" s="6"/>
      <c r="C19" s="23"/>
      <c r="D19" s="416" t="s">
        <v>195</v>
      </c>
      <c r="E19" s="417"/>
      <c r="F19" s="358">
        <v>0</v>
      </c>
      <c r="G19" s="30"/>
      <c r="H19" s="12"/>
      <c r="I19" s="89"/>
    </row>
    <row r="20" spans="2:12" ht="15" x14ac:dyDescent="0.2">
      <c r="B20" s="6"/>
      <c r="C20" s="23"/>
      <c r="D20" s="381" t="s">
        <v>23</v>
      </c>
      <c r="E20" s="382"/>
      <c r="F20" s="306">
        <v>1</v>
      </c>
      <c r="G20" s="30"/>
      <c r="H20" s="12"/>
      <c r="I20" s="287"/>
    </row>
    <row r="21" spans="2:12" ht="15" x14ac:dyDescent="0.2">
      <c r="B21" s="6"/>
      <c r="C21" s="23"/>
      <c r="D21" s="387" t="s">
        <v>117</v>
      </c>
      <c r="E21" s="389"/>
      <c r="F21" s="147"/>
      <c r="G21" s="30"/>
      <c r="H21" s="12"/>
      <c r="I21" s="89">
        <f>IF(F22&lt;41,8,IF(F22+doba_m/12&lt;65,8,MAX(8-0.25*(F22-40),3)))</f>
        <v>8</v>
      </c>
    </row>
    <row r="22" spans="2:12" ht="15" hidden="1" x14ac:dyDescent="0.2">
      <c r="B22" s="6"/>
      <c r="C22" s="23"/>
      <c r="D22" s="390" t="s">
        <v>122</v>
      </c>
      <c r="E22" s="375"/>
      <c r="F22" s="146">
        <f>IF(F21="",0,IF(AND(DAY(F3)=DAY(F21),MONTH(F3)=MONTH(F21)),YEAR(F3)-YEAR(F21),FLOOR(YEARFRAC(F21,F3,1),1)))</f>
        <v>0</v>
      </c>
      <c r="G22" s="30"/>
      <c r="H22" s="12"/>
      <c r="I22" s="143"/>
      <c r="L22" s="4"/>
    </row>
    <row r="23" spans="2:12" ht="15" x14ac:dyDescent="0.2">
      <c r="B23" s="6"/>
      <c r="C23" s="23"/>
      <c r="D23" s="387" t="s">
        <v>118</v>
      </c>
      <c r="E23" s="389"/>
      <c r="F23" s="147"/>
      <c r="G23" s="30"/>
      <c r="H23" s="12"/>
      <c r="I23" s="143">
        <f>IF(F24&lt;41,8,IF(F24+doba_m/12&lt;65,8,MAX(8-0.25*(F24-40),3)))</f>
        <v>8</v>
      </c>
    </row>
    <row r="24" spans="2:12" ht="15" hidden="1" x14ac:dyDescent="0.2">
      <c r="B24" s="6"/>
      <c r="C24" s="23"/>
      <c r="D24" s="390" t="s">
        <v>130</v>
      </c>
      <c r="E24" s="375"/>
      <c r="F24" s="146">
        <f>IF(F23="",0,IF(AND(DAY(F3)=DAY(F23),MONTH(F3)=MONTH(F23)),YEAR(F3)-YEAR(F23),FLOOR(YEARFRAC(F23,F3,1),1)))</f>
        <v>0</v>
      </c>
      <c r="G24" s="30"/>
      <c r="H24" s="12"/>
      <c r="I24" s="143"/>
      <c r="L24" s="4"/>
    </row>
    <row r="25" spans="2:12" ht="15" x14ac:dyDescent="0.2">
      <c r="B25" s="6"/>
      <c r="C25" s="23"/>
      <c r="D25" s="387" t="s">
        <v>121</v>
      </c>
      <c r="E25" s="389"/>
      <c r="F25" s="147"/>
      <c r="G25" s="30"/>
      <c r="H25" s="12"/>
      <c r="I25" s="143">
        <f>IF(F26&lt;41,8,IF(F26+doba_m/12&lt;65,8,MAX(8-0.25*(F26-40),3)))</f>
        <v>8</v>
      </c>
    </row>
    <row r="26" spans="2:12" ht="15" hidden="1" x14ac:dyDescent="0.2">
      <c r="B26" s="6"/>
      <c r="C26" s="23"/>
      <c r="D26" s="390" t="s">
        <v>131</v>
      </c>
      <c r="E26" s="375"/>
      <c r="F26" s="231">
        <f>IF(F25="",0,IF(AND(DAY(F3)=DAY(F25),MONTH(F3)=MONTH(F25)),YEAR(F3)-YEAR(F25),FLOOR(YEARFRAC(F25,F3,1),1)))</f>
        <v>0</v>
      </c>
      <c r="G26" s="30"/>
      <c r="H26" s="12"/>
      <c r="I26" s="143"/>
    </row>
    <row r="27" spans="2:12" ht="15" x14ac:dyDescent="0.2">
      <c r="B27" s="6"/>
      <c r="C27" s="23"/>
      <c r="D27" s="387" t="s">
        <v>132</v>
      </c>
      <c r="E27" s="389"/>
      <c r="F27" s="147"/>
      <c r="G27" s="30"/>
      <c r="H27" s="12"/>
      <c r="I27" s="89">
        <f>IF(F28&lt;41,8,IF(F28+doba_m/12&lt;65,8,MAX(8-0.25*(F28-40),3)))</f>
        <v>8</v>
      </c>
    </row>
    <row r="28" spans="2:12" ht="15" hidden="1" x14ac:dyDescent="0.2">
      <c r="B28" s="6"/>
      <c r="C28" s="23"/>
      <c r="D28" s="390" t="s">
        <v>133</v>
      </c>
      <c r="E28" s="375"/>
      <c r="F28" s="231">
        <f>IF(F27="",0,IF(AND(DAY(F3)=DAY(F27),MONTH(F3)=MONTH(F27)),YEAR(F3)-YEAR(F27),FLOOR(YEARFRAC(F27,F3,1),1)))</f>
        <v>0</v>
      </c>
      <c r="G28" s="30"/>
      <c r="H28" s="12"/>
    </row>
    <row r="29" spans="2:12" ht="15" x14ac:dyDescent="0.2">
      <c r="B29" s="6"/>
      <c r="C29" s="23"/>
      <c r="D29" s="383" t="s">
        <v>24</v>
      </c>
      <c r="E29" s="384"/>
      <c r="F29" s="33"/>
      <c r="G29" s="30"/>
      <c r="H29" s="12"/>
      <c r="L29" s="1"/>
    </row>
    <row r="30" spans="2:12" ht="15" hidden="1" x14ac:dyDescent="0.2">
      <c r="B30" s="6"/>
      <c r="C30" s="23"/>
      <c r="D30" s="385" t="s">
        <v>4</v>
      </c>
      <c r="E30" s="386"/>
      <c r="F30" s="20">
        <f>$F$20+$F$29</f>
        <v>1</v>
      </c>
      <c r="G30" s="30"/>
      <c r="H30" s="12"/>
      <c r="J30" s="35"/>
      <c r="L30" s="1"/>
    </row>
    <row r="31" spans="2:12" ht="15" x14ac:dyDescent="0.2">
      <c r="B31" s="6"/>
      <c r="C31" s="23"/>
      <c r="D31" s="387" t="s">
        <v>47</v>
      </c>
      <c r="E31" s="388"/>
      <c r="F31" s="33"/>
      <c r="G31" s="30"/>
      <c r="H31" s="12"/>
    </row>
    <row r="32" spans="2:12" ht="15" hidden="1" x14ac:dyDescent="0.2">
      <c r="B32" s="6"/>
      <c r="C32" s="23"/>
      <c r="D32" s="385" t="s">
        <v>1</v>
      </c>
      <c r="E32" s="386"/>
      <c r="F32" s="36">
        <f>MAX(0.95*(F7-MAX($F$34,$F$35)),0)</f>
        <v>0</v>
      </c>
      <c r="G32" s="30"/>
      <c r="H32" s="12"/>
      <c r="I32">
        <f>MIN(MAX(0.95*(F7-MAX($F$34,$F$35)),0),F7*0.75)</f>
        <v>0</v>
      </c>
    </row>
    <row r="33" spans="2:8" ht="15" hidden="1" x14ac:dyDescent="0.2">
      <c r="B33" s="6"/>
      <c r="C33" s="23"/>
      <c r="D33" s="385" t="s">
        <v>152</v>
      </c>
      <c r="E33" s="386"/>
      <c r="F33" s="36">
        <f>IF($F$30=0,0,(284.13+MAX(($F$30-$F$31-1)*198.22+($F$31)*129.74-F9-F12-F15-F18,0)+$F$43))</f>
        <v>284.13</v>
      </c>
      <c r="G33" s="30"/>
      <c r="H33" s="12"/>
    </row>
    <row r="34" spans="2:8" ht="15" hidden="1" x14ac:dyDescent="0.2">
      <c r="B34" s="6"/>
      <c r="C34" s="23"/>
      <c r="D34" s="385" t="s">
        <v>190</v>
      </c>
      <c r="E34" s="386"/>
      <c r="F34" s="19">
        <f>IF($F$30=0,0,($F$33+F10+F13+F16+F19))</f>
        <v>284.13</v>
      </c>
      <c r="G34" s="30"/>
      <c r="H34" s="12"/>
    </row>
    <row r="35" spans="2:8" ht="15" hidden="1" x14ac:dyDescent="0.2">
      <c r="B35" s="6"/>
      <c r="C35" s="23"/>
      <c r="D35" s="385" t="s">
        <v>153</v>
      </c>
      <c r="E35" s="386"/>
      <c r="F35" s="19">
        <f>IF($F$30=0,0,MAX($F$30*((185*($F$30^(-0.4)))^(1-0.4))*(($F$7/$F$30)^(0.4)),0))</f>
        <v>0</v>
      </c>
      <c r="G35" s="30"/>
      <c r="H35" s="12"/>
    </row>
    <row r="36" spans="2:8" ht="13.5" thickBot="1" x14ac:dyDescent="0.25">
      <c r="B36" s="6"/>
      <c r="C36" s="24"/>
      <c r="D36" s="25"/>
      <c r="E36" s="25"/>
      <c r="F36" s="28"/>
      <c r="G36" s="29"/>
      <c r="H36" s="12"/>
    </row>
    <row r="37" spans="2:8" ht="13.5" thickBot="1" x14ac:dyDescent="0.25">
      <c r="B37" s="6"/>
      <c r="C37" s="15"/>
      <c r="D37" s="16"/>
      <c r="E37" s="16"/>
      <c r="F37" s="15"/>
      <c r="G37" s="15"/>
      <c r="H37" s="12"/>
    </row>
    <row r="38" spans="2:8" x14ac:dyDescent="0.2">
      <c r="B38" s="6"/>
      <c r="C38" s="21"/>
      <c r="D38" s="22"/>
      <c r="E38" s="22"/>
      <c r="F38" s="26"/>
      <c r="G38" s="27"/>
      <c r="H38" s="12"/>
    </row>
    <row r="39" spans="2:8" ht="15" x14ac:dyDescent="0.2">
      <c r="B39" s="6"/>
      <c r="C39" s="23"/>
      <c r="D39" s="383" t="s">
        <v>25</v>
      </c>
      <c r="E39" s="384"/>
      <c r="F39" s="32">
        <v>0</v>
      </c>
      <c r="G39" s="30"/>
      <c r="H39" s="12"/>
    </row>
    <row r="40" spans="2:8" ht="15" x14ac:dyDescent="0.2">
      <c r="B40" s="6"/>
      <c r="C40" s="23"/>
      <c r="D40" s="383" t="s">
        <v>26</v>
      </c>
      <c r="E40" s="384"/>
      <c r="F40" s="32">
        <v>0</v>
      </c>
      <c r="G40" s="30"/>
      <c r="H40" s="12"/>
    </row>
    <row r="41" spans="2:8" ht="15" x14ac:dyDescent="0.2">
      <c r="B41" s="6"/>
      <c r="C41" s="23"/>
      <c r="D41" s="383" t="s">
        <v>27</v>
      </c>
      <c r="E41" s="384"/>
      <c r="F41" s="32">
        <v>0</v>
      </c>
      <c r="G41" s="30"/>
      <c r="H41" s="12"/>
    </row>
    <row r="42" spans="2:8" ht="15" x14ac:dyDescent="0.2">
      <c r="B42" s="6"/>
      <c r="C42" s="23"/>
      <c r="D42" s="383" t="s">
        <v>28</v>
      </c>
      <c r="E42" s="384"/>
      <c r="F42" s="32">
        <v>0</v>
      </c>
      <c r="G42" s="30"/>
      <c r="H42" s="12"/>
    </row>
    <row r="43" spans="2:8" ht="15" hidden="1" x14ac:dyDescent="0.2">
      <c r="B43" s="6"/>
      <c r="C43" s="23"/>
      <c r="D43" s="245" t="s">
        <v>154</v>
      </c>
      <c r="E43" s="244"/>
      <c r="F43" s="250">
        <f>IF($F$42=0,0,IF($F$42&gt;30,$F$42,30))</f>
        <v>0</v>
      </c>
      <c r="G43" s="30"/>
      <c r="H43" s="12"/>
    </row>
    <row r="44" spans="2:8" ht="15" hidden="1" x14ac:dyDescent="0.2">
      <c r="B44" s="6"/>
      <c r="C44" s="23"/>
      <c r="D44" s="385" t="s">
        <v>2</v>
      </c>
      <c r="E44" s="386"/>
      <c r="F44" s="19">
        <f>MAX((MIN($F$32,0.75*F7)-$F$39-0.03*$F$40-0.03*$F$41),0)</f>
        <v>0</v>
      </c>
      <c r="G44" s="30"/>
      <c r="H44" s="12"/>
    </row>
    <row r="45" spans="2:8" ht="13.5" thickBot="1" x14ac:dyDescent="0.25">
      <c r="B45" s="6"/>
      <c r="C45" s="24"/>
      <c r="D45" s="25"/>
      <c r="E45" s="25"/>
      <c r="F45" s="28"/>
      <c r="G45" s="29"/>
      <c r="H45" s="12"/>
    </row>
    <row r="46" spans="2:8" ht="13.5" thickBot="1" x14ac:dyDescent="0.25">
      <c r="B46" s="6"/>
      <c r="C46" s="15"/>
      <c r="D46" s="16"/>
      <c r="E46" s="16"/>
      <c r="F46" s="15"/>
      <c r="G46" s="15"/>
      <c r="H46" s="12"/>
    </row>
    <row r="47" spans="2:8" x14ac:dyDescent="0.2">
      <c r="B47" s="6"/>
      <c r="C47" s="21"/>
      <c r="D47" s="22"/>
      <c r="E47" s="22"/>
      <c r="F47" s="26"/>
      <c r="G47" s="27"/>
      <c r="H47" s="12"/>
    </row>
    <row r="48" spans="2:8" ht="15" x14ac:dyDescent="0.2">
      <c r="B48" s="6"/>
      <c r="C48" s="23"/>
      <c r="D48" s="383" t="s">
        <v>29</v>
      </c>
      <c r="E48" s="384"/>
      <c r="F48" s="32">
        <v>0</v>
      </c>
      <c r="G48" s="30"/>
      <c r="H48" s="12"/>
    </row>
    <row r="49" spans="2:8" ht="15" x14ac:dyDescent="0.2">
      <c r="B49" s="6"/>
      <c r="C49" s="23"/>
      <c r="D49" s="383" t="s">
        <v>30</v>
      </c>
      <c r="E49" s="384"/>
      <c r="F49" s="36">
        <f>vyska_uveru+F87</f>
        <v>0</v>
      </c>
      <c r="G49" s="30"/>
      <c r="H49" s="12"/>
    </row>
    <row r="50" spans="2:8" ht="15.75" thickBot="1" x14ac:dyDescent="0.25">
      <c r="B50" s="6"/>
      <c r="C50" s="23"/>
      <c r="D50" s="392" t="s">
        <v>31</v>
      </c>
      <c r="E50" s="393"/>
      <c r="F50" s="309"/>
      <c r="G50" s="30"/>
      <c r="H50" s="12"/>
    </row>
    <row r="51" spans="2:8" ht="15" x14ac:dyDescent="0.2">
      <c r="B51" s="6"/>
      <c r="C51" s="23"/>
      <c r="D51" s="399" t="s">
        <v>81</v>
      </c>
      <c r="E51" s="400"/>
      <c r="F51" s="314">
        <v>0</v>
      </c>
      <c r="G51" s="30"/>
      <c r="H51" s="12"/>
    </row>
    <row r="52" spans="2:8" ht="15" x14ac:dyDescent="0.2">
      <c r="B52" s="6"/>
      <c r="C52" s="23"/>
      <c r="D52" s="401" t="s">
        <v>82</v>
      </c>
      <c r="E52" s="389"/>
      <c r="F52" s="310">
        <v>0</v>
      </c>
      <c r="G52" s="30"/>
      <c r="H52" s="12"/>
    </row>
    <row r="53" spans="2:8" ht="15" x14ac:dyDescent="0.2">
      <c r="B53" s="6"/>
      <c r="C53" s="23"/>
      <c r="D53" s="406" t="s">
        <v>98</v>
      </c>
      <c r="E53" s="407"/>
      <c r="F53" s="311">
        <v>0</v>
      </c>
      <c r="G53" s="30"/>
      <c r="H53" s="12"/>
    </row>
    <row r="54" spans="2:8" ht="15" x14ac:dyDescent="0.2">
      <c r="B54" s="6"/>
      <c r="C54" s="23"/>
      <c r="D54" s="406" t="s">
        <v>138</v>
      </c>
      <c r="E54" s="407"/>
      <c r="F54" s="311">
        <v>0</v>
      </c>
      <c r="G54" s="30"/>
      <c r="H54" s="12"/>
    </row>
    <row r="55" spans="2:8" ht="15.75" thickBot="1" x14ac:dyDescent="0.25">
      <c r="B55" s="6"/>
      <c r="C55" s="23"/>
      <c r="D55" s="406" t="s">
        <v>106</v>
      </c>
      <c r="E55" s="407"/>
      <c r="F55" s="312">
        <f>(F54/12)*doba_m</f>
        <v>0</v>
      </c>
      <c r="G55" s="30"/>
      <c r="H55" s="12"/>
    </row>
    <row r="56" spans="2:8" ht="15" hidden="1" x14ac:dyDescent="0.2">
      <c r="B56" s="6"/>
      <c r="C56" s="23"/>
      <c r="D56" s="315" t="s">
        <v>32</v>
      </c>
      <c r="E56" s="305"/>
      <c r="F56" s="316">
        <v>0.8</v>
      </c>
      <c r="G56" s="30"/>
      <c r="H56" s="12"/>
    </row>
    <row r="57" spans="2:8" ht="15.75" hidden="1" thickBot="1" x14ac:dyDescent="0.25">
      <c r="B57" s="6"/>
      <c r="C57" s="23"/>
      <c r="D57" s="408" t="s">
        <v>79</v>
      </c>
      <c r="E57" s="409"/>
      <c r="F57" s="317">
        <f>IF(F56=80%,90%,IF(F56=70%,"80%",IF(C116=2,"75%","90%")))</f>
        <v>0.9</v>
      </c>
      <c r="G57" s="30"/>
      <c r="H57" s="12"/>
    </row>
    <row r="58" spans="2:8" ht="15" x14ac:dyDescent="0.2">
      <c r="B58" s="6"/>
      <c r="C58" s="23"/>
      <c r="D58" s="399" t="s">
        <v>83</v>
      </c>
      <c r="E58" s="400"/>
      <c r="F58" s="314">
        <v>0</v>
      </c>
      <c r="G58" s="30"/>
      <c r="H58" s="12"/>
    </row>
    <row r="59" spans="2:8" ht="15" x14ac:dyDescent="0.2">
      <c r="B59" s="6"/>
      <c r="C59" s="23"/>
      <c r="D59" s="401" t="s">
        <v>84</v>
      </c>
      <c r="E59" s="389"/>
      <c r="F59" s="310"/>
      <c r="G59" s="30"/>
      <c r="H59" s="12"/>
    </row>
    <row r="60" spans="2:8" ht="15" x14ac:dyDescent="0.2">
      <c r="B60" s="6"/>
      <c r="C60" s="23"/>
      <c r="D60" s="406" t="s">
        <v>99</v>
      </c>
      <c r="E60" s="407"/>
      <c r="F60" s="311"/>
      <c r="G60" s="30"/>
      <c r="H60" s="12"/>
    </row>
    <row r="61" spans="2:8" ht="15" x14ac:dyDescent="0.2">
      <c r="B61" s="6"/>
      <c r="C61" s="23"/>
      <c r="D61" s="406" t="s">
        <v>137</v>
      </c>
      <c r="E61" s="407"/>
      <c r="F61" s="311"/>
      <c r="G61" s="30"/>
      <c r="H61" s="12"/>
    </row>
    <row r="62" spans="2:8" ht="15.75" thickBot="1" x14ac:dyDescent="0.25">
      <c r="B62" s="6"/>
      <c r="C62" s="23"/>
      <c r="D62" s="406" t="s">
        <v>107</v>
      </c>
      <c r="E62" s="407"/>
      <c r="F62" s="312">
        <f>(F61/12)*doba_m</f>
        <v>0</v>
      </c>
      <c r="G62" s="30"/>
      <c r="H62" s="12"/>
    </row>
    <row r="63" spans="2:8" ht="15" hidden="1" x14ac:dyDescent="0.2">
      <c r="B63" s="6"/>
      <c r="C63" s="23"/>
      <c r="D63" s="403" t="s">
        <v>80</v>
      </c>
      <c r="E63" s="375"/>
      <c r="F63" s="316">
        <v>0.7</v>
      </c>
      <c r="G63" s="30"/>
      <c r="H63" s="12"/>
    </row>
    <row r="64" spans="2:8" ht="15.75" hidden="1" thickBot="1" x14ac:dyDescent="0.25">
      <c r="B64" s="6"/>
      <c r="C64" s="23"/>
      <c r="D64" s="408" t="s">
        <v>79</v>
      </c>
      <c r="E64" s="409"/>
      <c r="F64" s="317" t="str">
        <f>IF(F63=80%,100%,IF(F63=70%,"80%",IF(C116=2,"75%","90%")))</f>
        <v>80%</v>
      </c>
      <c r="G64" s="30"/>
      <c r="H64" s="12"/>
    </row>
    <row r="65" spans="1:10" ht="15" x14ac:dyDescent="0.2">
      <c r="B65" s="6"/>
      <c r="C65" s="23"/>
      <c r="D65" s="399" t="s">
        <v>85</v>
      </c>
      <c r="E65" s="402"/>
      <c r="F65" s="313">
        <v>0</v>
      </c>
      <c r="G65" s="30"/>
      <c r="H65" s="12"/>
    </row>
    <row r="66" spans="1:10" ht="15" x14ac:dyDescent="0.2">
      <c r="B66" s="6"/>
      <c r="C66" s="23"/>
      <c r="D66" s="401" t="s">
        <v>86</v>
      </c>
      <c r="E66" s="389"/>
      <c r="F66" s="310"/>
      <c r="G66" s="30"/>
      <c r="H66" s="12"/>
    </row>
    <row r="67" spans="1:10" ht="15" x14ac:dyDescent="0.2">
      <c r="B67" s="6"/>
      <c r="C67" s="23"/>
      <c r="D67" s="406" t="s">
        <v>100</v>
      </c>
      <c r="E67" s="407"/>
      <c r="F67" s="311"/>
      <c r="G67" s="30"/>
      <c r="H67" s="12"/>
    </row>
    <row r="68" spans="1:10" ht="15" x14ac:dyDescent="0.2">
      <c r="B68" s="6"/>
      <c r="C68" s="23"/>
      <c r="D68" s="406" t="s">
        <v>139</v>
      </c>
      <c r="E68" s="407"/>
      <c r="F68" s="311"/>
      <c r="G68" s="30"/>
      <c r="H68" s="12"/>
    </row>
    <row r="69" spans="1:10" ht="15.75" thickBot="1" x14ac:dyDescent="0.25">
      <c r="B69" s="6"/>
      <c r="C69" s="23"/>
      <c r="D69" s="410" t="s">
        <v>110</v>
      </c>
      <c r="E69" s="411"/>
      <c r="F69" s="320">
        <f>(F68/12)*doba_m</f>
        <v>0</v>
      </c>
      <c r="G69" s="30"/>
      <c r="H69" s="12"/>
    </row>
    <row r="70" spans="1:10" ht="15" hidden="1" x14ac:dyDescent="0.2">
      <c r="B70" s="6"/>
      <c r="C70" s="23"/>
      <c r="D70" s="404" t="s">
        <v>80</v>
      </c>
      <c r="E70" s="405"/>
      <c r="F70" s="319">
        <v>0.65</v>
      </c>
      <c r="G70" s="30"/>
      <c r="H70" s="12"/>
    </row>
    <row r="71" spans="1:10" ht="15" hidden="1" x14ac:dyDescent="0.2">
      <c r="B71" s="6"/>
      <c r="C71" s="23"/>
      <c r="D71" s="398" t="s">
        <v>79</v>
      </c>
      <c r="E71" s="398"/>
      <c r="F71" s="318" t="str">
        <f>IF(F70=80%,100%,IF(F70=70%,"80%",IF(C116=2,"75%","90%")))</f>
        <v>90%</v>
      </c>
      <c r="G71" s="30"/>
      <c r="H71" s="12"/>
    </row>
    <row r="72" spans="1:10" ht="15" x14ac:dyDescent="0.2">
      <c r="B72" s="6"/>
      <c r="C72" s="23"/>
      <c r="D72" s="383" t="s">
        <v>33</v>
      </c>
      <c r="E72" s="384"/>
      <c r="F72" s="62">
        <f>IFERROR(IF(ISBLANK($F$52)=TRUE,IF(ISBLANK($F$56)=TRUE,0,(F49/(F51+F58+F65))),(zabezpecenie-F52+F58-F59+F65-F66+vyska_uveru_LI)/(zabezpecenie+F58+F65)),0)</f>
        <v>0</v>
      </c>
      <c r="G72" s="30"/>
      <c r="H72" s="12"/>
    </row>
    <row r="73" spans="1:10" ht="15" x14ac:dyDescent="0.2">
      <c r="B73" s="6"/>
      <c r="C73" s="23"/>
      <c r="D73" s="394" t="s">
        <v>34</v>
      </c>
      <c r="E73" s="395"/>
      <c r="F73" s="34">
        <v>0</v>
      </c>
      <c r="G73" s="30"/>
      <c r="H73" s="12"/>
    </row>
    <row r="74" spans="1:10" ht="15" x14ac:dyDescent="0.2">
      <c r="B74" s="6"/>
      <c r="C74" s="23"/>
      <c r="D74" s="396" t="s">
        <v>75</v>
      </c>
      <c r="E74" s="397"/>
      <c r="F74" s="41"/>
      <c r="G74" s="45"/>
      <c r="H74" s="12"/>
    </row>
    <row r="75" spans="1:10" ht="15" x14ac:dyDescent="0.2">
      <c r="B75" s="6"/>
      <c r="C75" s="23"/>
      <c r="D75" s="387" t="s">
        <v>20</v>
      </c>
      <c r="E75" s="389"/>
      <c r="F75" s="41"/>
      <c r="G75" s="30"/>
      <c r="H75" s="12"/>
    </row>
    <row r="76" spans="1:10" ht="13.5" thickBot="1" x14ac:dyDescent="0.25">
      <c r="B76" s="6"/>
      <c r="C76" s="24"/>
      <c r="D76" s="43"/>
      <c r="E76" s="43"/>
      <c r="F76" s="44"/>
      <c r="G76" s="29"/>
      <c r="H76" s="12"/>
    </row>
    <row r="77" spans="1:10" ht="13.5" thickBot="1" x14ac:dyDescent="0.25">
      <c r="B77" s="7"/>
      <c r="C77" s="8"/>
      <c r="D77" s="9"/>
      <c r="E77" s="9"/>
      <c r="F77" s="8"/>
      <c r="G77" s="8"/>
      <c r="H77" s="10"/>
    </row>
    <row r="78" spans="1:10" ht="13.5" thickBot="1" x14ac:dyDescent="0.25">
      <c r="A78" s="2"/>
      <c r="B78" s="2"/>
      <c r="C78" s="2"/>
      <c r="D78" s="3"/>
      <c r="E78" s="3"/>
      <c r="F78" s="2"/>
      <c r="G78" s="2"/>
      <c r="H78" s="2"/>
      <c r="I78" s="2"/>
      <c r="J78" s="2"/>
    </row>
    <row r="79" spans="1:10" ht="13.5" thickBot="1" x14ac:dyDescent="0.25">
      <c r="A79" s="2"/>
      <c r="B79" s="55"/>
      <c r="C79" s="47"/>
      <c r="D79" s="46"/>
      <c r="E79" s="46"/>
      <c r="F79" s="47"/>
      <c r="G79" s="47"/>
      <c r="H79" s="48"/>
      <c r="I79" s="2"/>
      <c r="J79" s="2"/>
    </row>
    <row r="80" spans="1:10" x14ac:dyDescent="0.2">
      <c r="A80" s="2"/>
      <c r="B80" s="54"/>
      <c r="C80" s="21"/>
      <c r="D80" s="22"/>
      <c r="E80" s="22"/>
      <c r="F80" s="26"/>
      <c r="G80" s="27"/>
      <c r="H80" s="49"/>
      <c r="I80" s="2"/>
      <c r="J80" s="2"/>
    </row>
    <row r="81" spans="1:10" ht="26.25" customHeight="1" x14ac:dyDescent="0.25">
      <c r="A81" s="2"/>
      <c r="B81" s="54"/>
      <c r="C81" s="23"/>
      <c r="D81" s="376" t="s">
        <v>35</v>
      </c>
      <c r="E81" s="391"/>
      <c r="F81" s="71">
        <f>IFERROR(IF(I8&lt;60,(IF(ISBLANK($F$50)=TRUE,0,MIN(MAX($F$44/((E116/12)/(1-(1+(E116/12))^(-MIN($F$50,360)))),0),F7/(1/doba_m+F73/12))/E119)),(IF(doba_m&gt;60,IF(ISBLANK($F$50)=TRUE,0,MIN(MAX($F$44/((E116/12)/(1-(1+(E116/12))^(-60))),0),F7/(1/doba_m+F73/12))/E119),IF(ISBLANK($F$50)=TRUE,0,MIN(MAX($F$44/((E116/12)/(1-(1+(E116/12))^(-doba_m))),0),F7/(1/doba_m+F73/12))/E119)))),0)</f>
        <v>0</v>
      </c>
      <c r="G81" s="30"/>
      <c r="H81" s="49"/>
      <c r="I81" s="239"/>
      <c r="J81" s="2"/>
    </row>
    <row r="82" spans="1:10" ht="26.25" customHeight="1" x14ac:dyDescent="0.25">
      <c r="A82" s="2"/>
      <c r="B82" s="54"/>
      <c r="C82" s="23"/>
      <c r="D82" s="376" t="s">
        <v>36</v>
      </c>
      <c r="E82" s="391"/>
      <c r="F82" s="71">
        <f>IFERROR(MIN(IF(F7&lt;750,IF(ISBLANK($F$50)=TRUE,"",MIN(0.9*$F$52+0.9*$F$59+0.9*$F$66,$F$81)),IF(ISBLANK($F$50)=TRUE,"",MIN($F$57*$F$52+$F$64*$F$59+$F$71*$F$66,$F$81))),($F$57*$F$52+$F$64*$F$59+$F$71*$F$66)),0)</f>
        <v>0</v>
      </c>
      <c r="G82" s="30"/>
      <c r="H82" s="49"/>
      <c r="I82" s="2"/>
      <c r="J82" s="2"/>
    </row>
    <row r="83" spans="1:10" x14ac:dyDescent="0.2">
      <c r="A83" s="2"/>
      <c r="B83" s="54"/>
      <c r="C83" s="23"/>
      <c r="D83" s="31"/>
      <c r="E83" s="31"/>
      <c r="F83" s="72"/>
      <c r="G83" s="30"/>
      <c r="H83" s="49"/>
      <c r="I83" s="2"/>
      <c r="J83" s="2"/>
    </row>
    <row r="84" spans="1:10" ht="15.75" x14ac:dyDescent="0.25">
      <c r="A84" s="2"/>
      <c r="B84" s="54"/>
      <c r="C84" s="23"/>
      <c r="D84" s="372" t="s">
        <v>37</v>
      </c>
      <c r="E84" s="370"/>
      <c r="F84" s="71">
        <f>IF(ISERR(ROUND(IF(ISBLANK($F$50)=TRUE,"",(IF(ISBLANK($F$73)=TRUE,"",$F$49*(($F$73/12)/(1-(1+($F$73/12))^(-$F$50)))))),2)),0,ROUND(IF(ISBLANK($F$50)=TRUE,"",(IF(ISBLANK($F$73)=TRUE,"",$F$49*(($F$73/12)/(1-(1+($F$73/12))^(-$F$50)))))),2))</f>
        <v>0</v>
      </c>
      <c r="G84" s="30"/>
      <c r="H84" s="49"/>
      <c r="I84" s="2"/>
      <c r="J84" s="2"/>
    </row>
    <row r="85" spans="1:10" ht="15.75" hidden="1" x14ac:dyDescent="0.25">
      <c r="A85" s="2"/>
      <c r="B85" s="17"/>
      <c r="C85" s="23"/>
      <c r="D85" s="370" t="s">
        <v>3</v>
      </c>
      <c r="E85" s="371"/>
      <c r="F85" s="73" t="e">
        <f>IF(ISBLANK(zabezpecenie)=TRUE,"",(IF((vyska_uveru/zabezpecenie)*100%&gt;ltv,((vyska_uveru/zabezpecenie)*100%-ltv)*zabezpecenie*0.035,"0")))</f>
        <v>#DIV/0!</v>
      </c>
      <c r="G85" s="30"/>
      <c r="H85" s="18"/>
      <c r="I85" s="2"/>
      <c r="J85" s="2"/>
    </row>
    <row r="86" spans="1:10" ht="15.75" hidden="1" x14ac:dyDescent="0.25">
      <c r="A86" s="2"/>
      <c r="B86" s="17"/>
      <c r="C86" s="23"/>
      <c r="D86" s="378" t="s">
        <v>197</v>
      </c>
      <c r="E86" s="379"/>
      <c r="F86" s="281">
        <f>IF(ISERR(ROUND(IF(ISBLANK($F$49)=TRUE,"",(IF(ISBLANK($F$73)=TRUE,"",$F$49*((MIN(urokova_sadzba+0.02,0.06)/12)/(1-(1+(MIN(urokova_sadzba+0.02,0.06)/12))^(-360)))))),2)),0,ROUND(IF(ISBLANK($F$49)=TRUE,"",(IF(ISBLANK($F$73)=TRUE,"",$F$49*((MIN(urokova_sadzba+0.02,0.06)/12)/(1-(1+(MIN(urokova_sadzba+0.02,0.06)/12))^(-360)))))),2))</f>
        <v>0</v>
      </c>
      <c r="G86" s="30"/>
      <c r="H86" s="17"/>
      <c r="I86" s="2"/>
      <c r="J86" s="2"/>
    </row>
    <row r="87" spans="1:10" ht="15.75" x14ac:dyDescent="0.25">
      <c r="A87" s="2"/>
      <c r="B87" s="54"/>
      <c r="C87" s="23"/>
      <c r="D87" s="376" t="s">
        <v>38</v>
      </c>
      <c r="E87" s="377"/>
      <c r="F87" s="111">
        <f>ROUND(IF(I87,F129,0),2)</f>
        <v>0</v>
      </c>
      <c r="G87" s="30"/>
      <c r="H87" s="49"/>
      <c r="I87" s="64" t="b">
        <v>0</v>
      </c>
      <c r="J87" s="2"/>
    </row>
    <row r="88" spans="1:10" ht="15.75" x14ac:dyDescent="0.25">
      <c r="A88" s="2"/>
      <c r="B88" s="54"/>
      <c r="C88" s="23"/>
      <c r="D88" s="370" t="s">
        <v>39</v>
      </c>
      <c r="E88" s="373"/>
      <c r="F88" s="111">
        <f>ROUND(IF(I88,F130,0),2)</f>
        <v>0</v>
      </c>
      <c r="G88" s="30"/>
      <c r="H88" s="49"/>
      <c r="I88" s="64" t="b">
        <v>0</v>
      </c>
      <c r="J88" s="2"/>
    </row>
    <row r="89" spans="1:10" ht="15.75" hidden="1" x14ac:dyDescent="0.25">
      <c r="A89" s="2"/>
      <c r="B89" s="54"/>
      <c r="C89" s="23"/>
      <c r="D89" s="369" t="s">
        <v>40</v>
      </c>
      <c r="E89" s="374"/>
      <c r="F89" s="359" t="str">
        <f>IF(ISERR(IF(ISBLANK($F$50)=TRUE,"",IF(ISBLANK($F$73)=TRUE,"",$F$49/$F$50+$F$49*$F$73/12))),0,IF(ISBLANK($F$50)=TRUE,"",IF(ISBLANK($F$73)=TRUE,"",$F$49/$F$50+$F$49*$F$73/12)))</f>
        <v/>
      </c>
      <c r="G89" s="30"/>
      <c r="H89" s="49"/>
      <c r="I89" s="68"/>
      <c r="J89" s="2"/>
    </row>
    <row r="90" spans="1:10" ht="15.75" hidden="1" x14ac:dyDescent="0.25">
      <c r="A90" s="2"/>
      <c r="B90" s="17"/>
      <c r="C90" s="23"/>
      <c r="D90" s="378" t="s">
        <v>198</v>
      </c>
      <c r="E90" s="379"/>
      <c r="F90" s="281">
        <f>IF(ISERR(IF(ISBLANK($F$49)=TRUE,"",IF(ISBLANK($F$73)=TRUE,"",$F$49/360+$F$49*MIN(urokova_sadzba+0.02,0.06)/12))),0,IF(ISBLANK($F$49)=TRUE,"",IF(ISBLANK($F$73)=TRUE,"",$F$49/360+$F$49*MIN(urokova_sadzba+0.02,0.06)/12)))</f>
        <v>0</v>
      </c>
      <c r="G90" s="30"/>
      <c r="H90" s="17"/>
      <c r="I90" s="68"/>
      <c r="J90" s="2"/>
    </row>
    <row r="91" spans="1:10" ht="15.75" x14ac:dyDescent="0.25">
      <c r="A91" s="2"/>
      <c r="B91" s="54"/>
      <c r="C91" s="23"/>
      <c r="D91" s="370" t="s">
        <v>111</v>
      </c>
      <c r="E91" s="373"/>
      <c r="F91" s="71">
        <f>IF(ISERR(RPSN!C13),0,(RPSN!C13))</f>
        <v>0</v>
      </c>
      <c r="G91" s="30"/>
      <c r="H91" s="49"/>
      <c r="I91" s="2"/>
      <c r="J91" s="2"/>
    </row>
    <row r="92" spans="1:10" ht="15.75" hidden="1" x14ac:dyDescent="0.25">
      <c r="A92" s="2"/>
      <c r="B92" s="54"/>
      <c r="C92" s="23"/>
      <c r="D92" s="374" t="s">
        <v>112</v>
      </c>
      <c r="E92" s="375"/>
      <c r="F92" s="359">
        <f>IF(ISERR(RPSN!M13),0,(RPSN!M13))</f>
        <v>0</v>
      </c>
      <c r="G92" s="30"/>
      <c r="H92" s="49"/>
      <c r="I92" s="2"/>
      <c r="J92" s="2"/>
    </row>
    <row r="93" spans="1:10" ht="15.75" x14ac:dyDescent="0.25">
      <c r="A93" s="2"/>
      <c r="B93" s="54"/>
      <c r="C93" s="23"/>
      <c r="D93" s="372" t="s">
        <v>42</v>
      </c>
      <c r="E93" s="372"/>
      <c r="F93" s="112">
        <f>IF(ISERR(RPSN!C12),0,(RPSN!C12))</f>
        <v>0</v>
      </c>
      <c r="G93" s="30"/>
      <c r="H93" s="49"/>
      <c r="I93" s="2"/>
      <c r="J93" s="2"/>
    </row>
    <row r="94" spans="1:10" ht="15.75" hidden="1" x14ac:dyDescent="0.25">
      <c r="A94" s="2"/>
      <c r="B94" s="54"/>
      <c r="C94" s="23"/>
      <c r="D94" s="369" t="s">
        <v>41</v>
      </c>
      <c r="E94" s="369"/>
      <c r="F94" s="112">
        <f>IF(ISERR(RPSN!M12),0,(RPSN!M12))</f>
        <v>0</v>
      </c>
      <c r="G94" s="30"/>
      <c r="H94" s="49"/>
      <c r="I94" s="2"/>
      <c r="J94" s="2"/>
    </row>
    <row r="95" spans="1:10" ht="13.5" thickBot="1" x14ac:dyDescent="0.25">
      <c r="A95" s="2"/>
      <c r="B95" s="54"/>
      <c r="C95" s="24"/>
      <c r="D95" s="25"/>
      <c r="E95" s="25"/>
      <c r="F95" s="28"/>
      <c r="G95" s="29"/>
      <c r="H95" s="49"/>
      <c r="I95" s="2"/>
      <c r="J95" s="2"/>
    </row>
    <row r="96" spans="1:10" ht="13.5" thickBot="1" x14ac:dyDescent="0.25">
      <c r="A96" s="2"/>
      <c r="B96" s="53"/>
      <c r="C96" s="51"/>
      <c r="D96" s="52"/>
      <c r="E96" s="52"/>
      <c r="F96" s="51"/>
      <c r="G96" s="51"/>
      <c r="H96" s="50"/>
      <c r="I96" s="2"/>
      <c r="J96" s="2"/>
    </row>
    <row r="97" spans="1:10" ht="13.5" thickBot="1" x14ac:dyDescent="0.25">
      <c r="A97" s="2"/>
      <c r="B97" s="2"/>
      <c r="C97" s="2"/>
      <c r="D97" s="3"/>
      <c r="E97" s="3"/>
      <c r="F97" s="2"/>
      <c r="G97" s="2"/>
      <c r="H97" s="2"/>
      <c r="I97" s="2"/>
      <c r="J97" s="2"/>
    </row>
    <row r="98" spans="1:10" ht="16.5" thickBot="1" x14ac:dyDescent="0.25">
      <c r="A98" s="2"/>
      <c r="B98" s="2"/>
      <c r="C98" s="2"/>
      <c r="D98" s="3"/>
      <c r="E98" s="255" t="s">
        <v>156</v>
      </c>
      <c r="F98" s="264">
        <v>0</v>
      </c>
      <c r="G98" s="2"/>
      <c r="H98" s="2"/>
      <c r="I98" s="2"/>
      <c r="J98" s="2"/>
    </row>
    <row r="99" spans="1:10" ht="15.75" x14ac:dyDescent="0.25">
      <c r="A99" s="2"/>
      <c r="B99" s="2"/>
      <c r="C99" s="2"/>
      <c r="D99" s="3"/>
      <c r="E99" s="253" t="s">
        <v>157</v>
      </c>
      <c r="F99" s="265">
        <f>$F$40</f>
        <v>0</v>
      </c>
      <c r="G99" s="2"/>
      <c r="H99" s="2"/>
      <c r="I99" s="2"/>
      <c r="J99" s="2"/>
    </row>
    <row r="100" spans="1:10" ht="15" x14ac:dyDescent="0.2">
      <c r="A100" s="2"/>
      <c r="B100" s="2"/>
      <c r="C100" s="2"/>
      <c r="D100" s="3"/>
      <c r="E100" s="262" t="s">
        <v>158</v>
      </c>
      <c r="F100" s="254">
        <v>0</v>
      </c>
      <c r="G100" s="2"/>
      <c r="H100" s="2"/>
      <c r="I100" s="2"/>
      <c r="J100" s="2"/>
    </row>
    <row r="101" spans="1:10" ht="15.75" thickBot="1" x14ac:dyDescent="0.25">
      <c r="A101" s="2"/>
      <c r="B101" s="2"/>
      <c r="C101" s="2"/>
      <c r="D101" s="3"/>
      <c r="E101" s="263" t="s">
        <v>159</v>
      </c>
      <c r="F101" s="256">
        <f>$F$99-$F$100</f>
        <v>0</v>
      </c>
      <c r="G101" s="2"/>
      <c r="H101" s="2"/>
      <c r="I101" s="2"/>
      <c r="J101" s="2"/>
    </row>
    <row r="102" spans="1:10" ht="15.75" x14ac:dyDescent="0.25">
      <c r="A102" s="2"/>
      <c r="B102" s="2"/>
      <c r="C102" s="2"/>
      <c r="D102" s="3"/>
      <c r="E102" s="253" t="s">
        <v>160</v>
      </c>
      <c r="F102" s="265">
        <f>$F$41</f>
        <v>0</v>
      </c>
      <c r="G102" s="2"/>
      <c r="H102" s="2"/>
      <c r="I102" s="2"/>
      <c r="J102" s="2"/>
    </row>
    <row r="103" spans="1:10" ht="15" x14ac:dyDescent="0.2">
      <c r="A103" s="2"/>
      <c r="B103" s="2"/>
      <c r="C103" s="2"/>
      <c r="D103" s="3"/>
      <c r="E103" s="262" t="s">
        <v>161</v>
      </c>
      <c r="F103" s="254">
        <v>0</v>
      </c>
      <c r="G103" s="2"/>
      <c r="H103" s="2"/>
      <c r="I103" s="2"/>
      <c r="J103" s="2"/>
    </row>
    <row r="104" spans="1:10" ht="15.75" thickBot="1" x14ac:dyDescent="0.25">
      <c r="A104" s="2"/>
      <c r="B104" s="2"/>
      <c r="C104" s="2"/>
      <c r="D104" s="3"/>
      <c r="E104" s="263" t="s">
        <v>162</v>
      </c>
      <c r="F104" s="256">
        <f>$F$102-$F$103</f>
        <v>0</v>
      </c>
      <c r="G104" s="2"/>
      <c r="H104" s="2"/>
      <c r="I104" s="2"/>
      <c r="J104" s="2"/>
    </row>
    <row r="105" spans="1:10" ht="16.5" thickBot="1" x14ac:dyDescent="0.3">
      <c r="A105" s="2"/>
      <c r="B105" s="2"/>
      <c r="C105" s="2"/>
      <c r="D105" s="3"/>
      <c r="E105" s="257" t="s">
        <v>163</v>
      </c>
      <c r="F105" s="266">
        <f>MIN(vyska_uveru_LI,F81)</f>
        <v>0</v>
      </c>
      <c r="G105" s="2"/>
      <c r="H105" s="2"/>
      <c r="I105" s="2"/>
      <c r="J105" s="2"/>
    </row>
    <row r="106" spans="1:10" ht="16.5" thickBot="1" x14ac:dyDescent="0.25">
      <c r="A106" s="2"/>
      <c r="B106" s="2"/>
      <c r="C106" s="2"/>
      <c r="D106" s="3"/>
      <c r="E106" s="258" t="s">
        <v>155</v>
      </c>
      <c r="F106" s="282" t="e">
        <f>($F$98+$F$100+$F$103+$F$105+0.2*($F$101+$F$104))/(12*$F$7)</f>
        <v>#DIV/0!</v>
      </c>
      <c r="G106" s="2"/>
      <c r="H106" s="2"/>
      <c r="I106" s="2"/>
      <c r="J106" s="2"/>
    </row>
    <row r="107" spans="1:10" ht="16.5" thickBot="1" x14ac:dyDescent="0.25">
      <c r="A107" s="2"/>
      <c r="B107" s="2"/>
      <c r="C107" s="2"/>
      <c r="D107" s="3"/>
      <c r="E107" s="292" t="s">
        <v>176</v>
      </c>
      <c r="F107" s="293" t="e">
        <f>((F8-F9)*I21+(F11-F12)*I23+(F14-F15)*I25+(F17-F18)*I27)/F7</f>
        <v>#DIV/0!</v>
      </c>
      <c r="G107" s="2"/>
      <c r="H107" s="2"/>
      <c r="I107" s="2"/>
      <c r="J107" s="2"/>
    </row>
    <row r="108" spans="1:10" ht="16.5" thickBot="1" x14ac:dyDescent="0.25">
      <c r="A108" s="2"/>
      <c r="B108" s="2"/>
      <c r="C108" s="2"/>
      <c r="D108" s="3"/>
      <c r="E108" s="260" t="s">
        <v>164</v>
      </c>
      <c r="F108" s="261" t="e">
        <f>IF(F106&gt;F107,"Překročen limit DTI","OK")</f>
        <v>#DIV/0!</v>
      </c>
      <c r="G108" s="2"/>
      <c r="H108" s="2"/>
      <c r="I108" s="2"/>
      <c r="J108" s="2"/>
    </row>
    <row r="109" spans="1:10" ht="16.5" thickBot="1" x14ac:dyDescent="0.25">
      <c r="A109" s="2"/>
      <c r="B109" s="2"/>
      <c r="C109" s="2"/>
      <c r="D109" s="3"/>
      <c r="E109" s="258" t="s">
        <v>166</v>
      </c>
      <c r="F109" s="291">
        <f>($F$39+0.03*$F$40+0.03*$F$41+MAX(splatka,$F$86))/($F$7-$F$33)</f>
        <v>0</v>
      </c>
      <c r="G109" s="2"/>
      <c r="H109" s="2"/>
      <c r="I109" s="2"/>
      <c r="J109" s="2"/>
    </row>
    <row r="110" spans="1:10" ht="16.5" thickBot="1" x14ac:dyDescent="0.25">
      <c r="A110" s="2"/>
      <c r="B110" s="2"/>
      <c r="C110" s="2"/>
      <c r="D110" s="3"/>
      <c r="E110" s="260" t="s">
        <v>167</v>
      </c>
      <c r="F110" s="261" t="str">
        <f>IF(F109&gt;=0.6,"Překročen limit DSTI","OK")</f>
        <v>OK</v>
      </c>
      <c r="G110" s="2"/>
      <c r="H110" s="2"/>
      <c r="I110" s="2"/>
      <c r="J110" s="2"/>
    </row>
    <row r="111" spans="1:10" ht="16.5" hidden="1" thickBot="1" x14ac:dyDescent="0.25">
      <c r="A111" s="2"/>
      <c r="B111" s="2"/>
      <c r="C111" s="2"/>
      <c r="D111" s="3"/>
      <c r="E111" s="360" t="s">
        <v>168</v>
      </c>
      <c r="F111" s="361">
        <f>($F$39+0.03*$F$40+0.03*$F$41+MAX(splatka_ks,$F$90))/($F$7-$F$33)</f>
        <v>0</v>
      </c>
      <c r="G111" s="2"/>
      <c r="H111" s="2"/>
      <c r="I111" s="2"/>
      <c r="J111" s="2"/>
    </row>
    <row r="112" spans="1:10" ht="16.5" hidden="1" thickBot="1" x14ac:dyDescent="0.25">
      <c r="A112" s="2"/>
      <c r="B112" s="2"/>
      <c r="C112" s="2"/>
      <c r="D112" s="3"/>
      <c r="E112" s="362" t="s">
        <v>169</v>
      </c>
      <c r="F112" s="363" t="str">
        <f>IF(F111&gt;=0.6,"Překročen limit DSTI","OK")</f>
        <v>OK</v>
      </c>
      <c r="G112" s="2"/>
      <c r="H112" s="2"/>
      <c r="I112" s="2"/>
      <c r="J112" s="2"/>
    </row>
    <row r="113" spans="1:18" ht="16.5" thickBot="1" x14ac:dyDescent="0.25">
      <c r="A113" s="2"/>
      <c r="B113" s="2"/>
      <c r="C113" s="2"/>
      <c r="D113" s="3"/>
      <c r="E113" s="258" t="s">
        <v>174</v>
      </c>
      <c r="F113" s="259" t="str">
        <f>IF($F$50&lt;=360,"OK",IF(AND($F$72&lt;=0.8,$F$106&lt;=8,$F$109&lt;=0.6),"OK","UPRAV SPLATNOST"))</f>
        <v>OK</v>
      </c>
      <c r="G113" s="2"/>
      <c r="H113" s="2"/>
      <c r="I113" s="2"/>
      <c r="J113" s="2"/>
    </row>
    <row r="114" spans="1:18" ht="16.5" hidden="1" thickBot="1" x14ac:dyDescent="0.25">
      <c r="A114" s="2"/>
      <c r="B114" s="2"/>
      <c r="C114" s="2"/>
      <c r="D114" s="3"/>
      <c r="E114" s="364" t="s">
        <v>175</v>
      </c>
      <c r="F114" s="365" t="str">
        <f>IF($F$50&lt;=360,"OK",IF(AND($F$72&lt;=0.8,$F$106&lt;=8,$F$111&lt;=0.6),"OK","UPRAV SPLATNOST"))</f>
        <v>OK</v>
      </c>
      <c r="G114" s="2"/>
      <c r="H114" s="2"/>
      <c r="I114" s="2"/>
      <c r="J114" s="2"/>
    </row>
    <row r="115" spans="1:18" ht="15.75" x14ac:dyDescent="0.2">
      <c r="E115" s="3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8"/>
    </row>
    <row r="116" spans="1:18" ht="16.5" hidden="1" thickBot="1" x14ac:dyDescent="0.25">
      <c r="B116" s="56"/>
      <c r="C116" s="70">
        <v>1</v>
      </c>
      <c r="D116" s="58" t="s">
        <v>76</v>
      </c>
      <c r="E116" s="66">
        <f>MAX(urokova_sadzba,MIN(urokova_sadzba+0.02,0.06))</f>
        <v>0.02</v>
      </c>
      <c r="F116" s="59"/>
      <c r="G116" s="59"/>
      <c r="H116" s="59"/>
      <c r="I116" s="59"/>
      <c r="J116" s="37"/>
      <c r="K116" s="39"/>
      <c r="L116" s="39"/>
      <c r="M116" s="39"/>
      <c r="N116" s="39"/>
      <c r="O116" s="39"/>
      <c r="P116" s="39"/>
      <c r="Q116" s="39"/>
      <c r="R116" s="40"/>
    </row>
    <row r="117" spans="1:18" ht="13.5" hidden="1" thickTop="1" x14ac:dyDescent="0.2">
      <c r="B117" s="56"/>
      <c r="C117" s="57"/>
      <c r="D117" s="58" t="s">
        <v>77</v>
      </c>
      <c r="E117" s="58"/>
      <c r="F117" s="57"/>
      <c r="G117" s="57"/>
      <c r="H117" s="57"/>
      <c r="I117" s="61"/>
    </row>
    <row r="118" spans="1:18" hidden="1" x14ac:dyDescent="0.2">
      <c r="B118" s="56"/>
      <c r="C118" s="57"/>
      <c r="D118" s="58" t="s">
        <v>78</v>
      </c>
      <c r="E118" s="58"/>
      <c r="F118" s="57"/>
      <c r="G118" s="57"/>
      <c r="H118" s="57"/>
      <c r="I118" s="61"/>
    </row>
    <row r="119" spans="1:18" hidden="1" x14ac:dyDescent="0.2">
      <c r="B119" s="56"/>
      <c r="C119" s="70">
        <v>1</v>
      </c>
      <c r="D119" s="60" t="s">
        <v>45</v>
      </c>
      <c r="E119" s="67">
        <f>IF(C119=1,1,1.2)</f>
        <v>1</v>
      </c>
      <c r="F119" s="57"/>
      <c r="G119" s="57"/>
      <c r="H119" s="57"/>
      <c r="I119" s="61"/>
    </row>
    <row r="120" spans="1:18" hidden="1" x14ac:dyDescent="0.2">
      <c r="B120" s="56"/>
      <c r="C120" s="57"/>
      <c r="D120" s="60" t="s">
        <v>46</v>
      </c>
      <c r="E120" s="60"/>
      <c r="F120" s="57"/>
      <c r="G120" s="57"/>
      <c r="H120" s="57"/>
      <c r="I120" s="61"/>
    </row>
    <row r="121" spans="1:18" hidden="1" x14ac:dyDescent="0.2">
      <c r="B121" s="56"/>
      <c r="C121" s="57"/>
      <c r="D121" s="60"/>
      <c r="E121" s="60"/>
      <c r="F121" s="57"/>
      <c r="G121" s="57"/>
      <c r="H121" s="57"/>
      <c r="I121" s="61"/>
    </row>
    <row r="122" spans="1:18" hidden="1" x14ac:dyDescent="0.2">
      <c r="B122" s="56"/>
      <c r="C122" s="180">
        <v>1</v>
      </c>
      <c r="D122" s="181" t="s">
        <v>103</v>
      </c>
      <c r="E122" s="181">
        <f>IF(F52=0,0,IF(ISBLANK(F52)=TRUE,0,100))</f>
        <v>0</v>
      </c>
      <c r="F122" s="57"/>
      <c r="G122" s="57"/>
      <c r="H122" s="57"/>
      <c r="I122" s="61"/>
    </row>
    <row r="123" spans="1:18" hidden="1" x14ac:dyDescent="0.2">
      <c r="B123" s="56"/>
      <c r="C123" s="180">
        <v>2</v>
      </c>
      <c r="D123" s="181" t="s">
        <v>104</v>
      </c>
      <c r="E123" s="181">
        <f>IF(F59=0,0,IF(ISBLANK(F59)=TRUE,0,100))</f>
        <v>0</v>
      </c>
      <c r="F123" s="57"/>
      <c r="G123" s="57"/>
      <c r="H123" s="57"/>
      <c r="I123" s="61"/>
    </row>
    <row r="124" spans="1:18" hidden="1" x14ac:dyDescent="0.2">
      <c r="B124" s="56"/>
      <c r="C124" s="180">
        <v>3</v>
      </c>
      <c r="D124" s="181" t="s">
        <v>105</v>
      </c>
      <c r="E124" s="181">
        <f>IF(F66=0,0,IF(ISBLANK(F66)=TRUE,0,100))</f>
        <v>0</v>
      </c>
      <c r="F124" s="57"/>
      <c r="G124" s="57"/>
      <c r="H124" s="57"/>
      <c r="I124" s="61"/>
    </row>
    <row r="125" spans="1:18" hidden="1" x14ac:dyDescent="0.2">
      <c r="B125" s="56"/>
      <c r="C125" s="57"/>
      <c r="D125" s="60"/>
      <c r="E125" s="60"/>
      <c r="F125" s="57"/>
      <c r="G125" s="57"/>
      <c r="H125" s="57"/>
      <c r="I125" s="61"/>
    </row>
    <row r="126" spans="1:18" hidden="1" x14ac:dyDescent="0.2">
      <c r="B126" s="56"/>
      <c r="C126" s="57"/>
      <c r="D126" s="60"/>
      <c r="E126" s="60"/>
      <c r="F126" s="57"/>
      <c r="G126" s="57"/>
      <c r="H126" s="57"/>
      <c r="I126" s="61"/>
    </row>
    <row r="127" spans="1:18" hidden="1" x14ac:dyDescent="0.2">
      <c r="B127" s="56"/>
      <c r="C127" s="57"/>
      <c r="D127" s="60"/>
      <c r="E127" s="60"/>
      <c r="F127" s="57"/>
      <c r="G127" s="57"/>
      <c r="H127" s="57"/>
      <c r="I127" s="61"/>
    </row>
    <row r="128" spans="1:18" hidden="1" x14ac:dyDescent="0.2">
      <c r="D128" s="42" t="s">
        <v>60</v>
      </c>
      <c r="E128" s="77" t="s">
        <v>61</v>
      </c>
      <c r="F128" s="63">
        <f>MAX((vyska_uveru_LI-zabezpecenie*ltv_high)*0.045,0)</f>
        <v>0</v>
      </c>
    </row>
    <row r="129" spans="4:6" hidden="1" x14ac:dyDescent="0.2">
      <c r="D129" s="42"/>
      <c r="E129" s="77" t="s">
        <v>62</v>
      </c>
      <c r="F129" s="63">
        <f>(0.015/0.985)*vyska_uveru</f>
        <v>0</v>
      </c>
    </row>
    <row r="130" spans="4:6" hidden="1" x14ac:dyDescent="0.2">
      <c r="D130" s="42"/>
      <c r="E130" s="77" t="s">
        <v>63</v>
      </c>
      <c r="F130" s="63">
        <f>vyska_uveru*0.015</f>
        <v>0</v>
      </c>
    </row>
    <row r="131" spans="4:6" hidden="1" x14ac:dyDescent="0.2">
      <c r="D131" s="42"/>
      <c r="E131" s="77"/>
    </row>
    <row r="132" spans="4:6" hidden="1" x14ac:dyDescent="0.2">
      <c r="D132" s="42" t="s">
        <v>64</v>
      </c>
      <c r="E132" s="77" t="s">
        <v>65</v>
      </c>
      <c r="F132" s="63">
        <f>MAX(0.045/0.955*(vyska_uveru-zabezpecenie*ltv_high),0)</f>
        <v>0</v>
      </c>
    </row>
    <row r="133" spans="4:6" hidden="1" x14ac:dyDescent="0.2">
      <c r="D133" s="42" t="s">
        <v>66</v>
      </c>
      <c r="E133" s="77" t="s">
        <v>63</v>
      </c>
      <c r="F133" s="63" t="e">
        <f>#REF!*0.015</f>
        <v>#REF!</v>
      </c>
    </row>
    <row r="134" spans="4:6" hidden="1" x14ac:dyDescent="0.2">
      <c r="D134" s="42"/>
      <c r="F134" s="63"/>
    </row>
    <row r="135" spans="4:6" hidden="1" x14ac:dyDescent="0.2">
      <c r="D135" s="42" t="s">
        <v>67</v>
      </c>
      <c r="E135" s="77" t="s">
        <v>68</v>
      </c>
      <c r="F135" s="63">
        <f>0.015/0.985*vyska_uveru</f>
        <v>0</v>
      </c>
    </row>
    <row r="136" spans="4:6" hidden="1" x14ac:dyDescent="0.2">
      <c r="D136" s="42" t="s">
        <v>69</v>
      </c>
      <c r="E136" s="77" t="s">
        <v>70</v>
      </c>
      <c r="F136" s="63">
        <f>(0.015/0.94)*vyska_uveru-(0.015*0.045/0.94)*ltv_high*zabezpecenie</f>
        <v>0</v>
      </c>
    </row>
    <row r="137" spans="4:6" hidden="1" x14ac:dyDescent="0.2">
      <c r="D137" s="42"/>
      <c r="E137" s="77" t="s">
        <v>71</v>
      </c>
      <c r="F137" s="77" t="b">
        <f>F135&lt;(ltv_high*zabezpecenie-vyska_uveru)</f>
        <v>0</v>
      </c>
    </row>
    <row r="138" spans="4:6" hidden="1" x14ac:dyDescent="0.2">
      <c r="D138" s="42"/>
      <c r="E138" s="77" t="s">
        <v>72</v>
      </c>
      <c r="F138">
        <f>IF(F137,F135,F136)</f>
        <v>0</v>
      </c>
    </row>
    <row r="139" spans="4:6" hidden="1" x14ac:dyDescent="0.2">
      <c r="D139" s="42"/>
      <c r="E139" s="77" t="s">
        <v>65</v>
      </c>
      <c r="F139">
        <f>MAX(((vyska_uveru+F138-0.045*ltv_high*zabezpecenie)/(1-0.045)-ltv_high*zabezpecenie)*0.045,0)</f>
        <v>0</v>
      </c>
    </row>
    <row r="140" spans="4:6" hidden="1" x14ac:dyDescent="0.2">
      <c r="D140" s="42"/>
      <c r="E140" s="77"/>
    </row>
    <row r="141" spans="4:6" hidden="1" x14ac:dyDescent="0.2">
      <c r="D141" s="42" t="s">
        <v>73</v>
      </c>
      <c r="E141" s="77" t="s">
        <v>65</v>
      </c>
      <c r="F141">
        <f>MAX(0.045/0.955*(vyska_uveru-zabezpecenie*ltv_high),0)</f>
        <v>0</v>
      </c>
    </row>
    <row r="142" spans="4:6" hidden="1" x14ac:dyDescent="0.2">
      <c r="D142" s="42" t="s">
        <v>74</v>
      </c>
      <c r="E142" s="77"/>
    </row>
    <row r="143" spans="4:6" x14ac:dyDescent="0.2">
      <c r="D143" s="42" t="s">
        <v>201</v>
      </c>
    </row>
  </sheetData>
  <sheetProtection algorithmName="SHA-512" hashValue="Sa9xLOOhWpadGA7Nb/h06uPfmzji4K6AuRGUGrUKU5tNzH4Mv48vCkvRqqWxrvnXgwUI9WqET6fe73EgnABfRw==" saltValue="uBM0jm+LBm3r573r1kshsQ==" spinCount="100000" sheet="1" objects="1" scenarios="1"/>
  <dataConsolidate/>
  <mergeCells count="74">
    <mergeCell ref="D18:E18"/>
    <mergeCell ref="D19:E19"/>
    <mergeCell ref="D13:E13"/>
    <mergeCell ref="D14:E14"/>
    <mergeCell ref="D15:E15"/>
    <mergeCell ref="D16:E16"/>
    <mergeCell ref="D17:E17"/>
    <mergeCell ref="D8:E8"/>
    <mergeCell ref="D9:E9"/>
    <mergeCell ref="D10:E10"/>
    <mergeCell ref="D11:E11"/>
    <mergeCell ref="D12:E12"/>
    <mergeCell ref="D44:E44"/>
    <mergeCell ref="D41:E41"/>
    <mergeCell ref="D26:E26"/>
    <mergeCell ref="D27:E27"/>
    <mergeCell ref="D28:E28"/>
    <mergeCell ref="D33:E33"/>
    <mergeCell ref="D51:E51"/>
    <mergeCell ref="D48:E48"/>
    <mergeCell ref="D72:E72"/>
    <mergeCell ref="D49:E49"/>
    <mergeCell ref="D52:E52"/>
    <mergeCell ref="D57:E57"/>
    <mergeCell ref="D64:E64"/>
    <mergeCell ref="D60:E60"/>
    <mergeCell ref="D61:E61"/>
    <mergeCell ref="D67:E67"/>
    <mergeCell ref="D68:E68"/>
    <mergeCell ref="D55:E55"/>
    <mergeCell ref="D62:E62"/>
    <mergeCell ref="D69:E69"/>
    <mergeCell ref="D84:E84"/>
    <mergeCell ref="D82:E82"/>
    <mergeCell ref="D75:E75"/>
    <mergeCell ref="D50:E50"/>
    <mergeCell ref="D73:E73"/>
    <mergeCell ref="D81:E81"/>
    <mergeCell ref="D74:E74"/>
    <mergeCell ref="D71:E71"/>
    <mergeCell ref="D58:E58"/>
    <mergeCell ref="D59:E59"/>
    <mergeCell ref="D65:E65"/>
    <mergeCell ref="D66:E66"/>
    <mergeCell ref="D63:E63"/>
    <mergeCell ref="D70:E70"/>
    <mergeCell ref="D53:E53"/>
    <mergeCell ref="D54:E54"/>
    <mergeCell ref="C1:G1"/>
    <mergeCell ref="D20:E20"/>
    <mergeCell ref="D29:E29"/>
    <mergeCell ref="D42:E42"/>
    <mergeCell ref="D30:E30"/>
    <mergeCell ref="D31:E31"/>
    <mergeCell ref="D39:E39"/>
    <mergeCell ref="D32:E32"/>
    <mergeCell ref="D34:E34"/>
    <mergeCell ref="D40:E40"/>
    <mergeCell ref="D35:E35"/>
    <mergeCell ref="D21:E21"/>
    <mergeCell ref="D22:E22"/>
    <mergeCell ref="D23:E23"/>
    <mergeCell ref="D24:E24"/>
    <mergeCell ref="D25:E25"/>
    <mergeCell ref="D94:E94"/>
    <mergeCell ref="D85:E85"/>
    <mergeCell ref="D93:E93"/>
    <mergeCell ref="D91:E91"/>
    <mergeCell ref="D92:E92"/>
    <mergeCell ref="D89:E89"/>
    <mergeCell ref="D87:E87"/>
    <mergeCell ref="D88:E88"/>
    <mergeCell ref="D86:E86"/>
    <mergeCell ref="D90:E90"/>
  </mergeCells>
  <phoneticPr fontId="2" type="noConversion"/>
  <conditionalFormatting sqref="F84:F86">
    <cfRule type="expression" dxfId="27" priority="28" stopIfTrue="1">
      <formula>ISBLANK($F$50)=TRUE</formula>
    </cfRule>
    <cfRule type="expression" dxfId="26" priority="29" stopIfTrue="1">
      <formula>ISBLANK($F$73)=TRUE</formula>
    </cfRule>
  </conditionalFormatting>
  <conditionalFormatting sqref="F89:F92">
    <cfRule type="expression" dxfId="25" priority="12" stopIfTrue="1">
      <formula>ISBLANK($F$50)=TRUE</formula>
    </cfRule>
    <cfRule type="expression" dxfId="24" priority="13" stopIfTrue="1">
      <formula>ISBLANK($F$73)=TRUE</formula>
    </cfRule>
  </conditionalFormatting>
  <conditionalFormatting sqref="F101 F104">
    <cfRule type="cellIs" dxfId="23" priority="16" operator="lessThan">
      <formula>0</formula>
    </cfRule>
  </conditionalFormatting>
  <conditionalFormatting sqref="F108">
    <cfRule type="containsText" dxfId="22" priority="17" operator="containsText" text="Překročen limit DTI">
      <formula>NOT(ISERROR(SEARCH("Překročen limit DTI",F108)))</formula>
    </cfRule>
  </conditionalFormatting>
  <conditionalFormatting sqref="F110">
    <cfRule type="containsText" dxfId="21" priority="8" operator="containsText" text="Překročen limit DSTI">
      <formula>NOT(ISERROR(SEARCH("Překročen limit DSTI",F110)))</formula>
    </cfRule>
    <cfRule type="containsText" dxfId="20" priority="10" operator="containsText" text="Překročen limit DTI">
      <formula>NOT(ISERROR(SEARCH("Překročen limit DTI",F110)))</formula>
    </cfRule>
  </conditionalFormatting>
  <conditionalFormatting sqref="F112">
    <cfRule type="containsText" dxfId="19" priority="7" operator="containsText" text="Překročen limit DSTI">
      <formula>NOT(ISERROR(SEARCH("Překročen limit DSTI",F112)))</formula>
    </cfRule>
  </conditionalFormatting>
  <conditionalFormatting sqref="F112:F114">
    <cfRule type="containsText" dxfId="18" priority="2" operator="containsText" text="Překročen limit DTI">
      <formula>NOT(ISERROR(SEARCH("Překročen limit DTI",F112)))</formula>
    </cfRule>
  </conditionalFormatting>
  <conditionalFormatting sqref="F113:F114">
    <cfRule type="containsText" dxfId="17" priority="1" operator="containsText" text="UPRAV SPLATNOST">
      <formula>NOT(ISERROR(SEARCH("UPRAV SPLATNOST",F113)))</formula>
    </cfRule>
  </conditionalFormatting>
  <dataValidations xWindow="580" yWindow="366" count="1">
    <dataValidation allowBlank="1" showInputMessage="1" showErrorMessage="1" promptTitle="Poznámka pri schvalovaní" prompt="Pi úverovej analýze vložiť dátum podania žiadosti podľa dátumu v UF" sqref="F3:F4" xr:uid="{00000000-0002-0000-0100-000000000000}"/>
  </dataValidations>
  <pageMargins left="0.78740157480314965" right="0.78740157480314965" top="0.59055118110236227" bottom="0.59055118110236227" header="0.51181102362204722" footer="0.51181102362204722"/>
  <pageSetup paperSize="9" scale="53" orientation="portrait" r:id="rId1"/>
  <headerFooter alignWithMargins="0"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3" r:id="rId4" name="Drop Down 59">
              <controlPr defaultSize="0" autoLine="0" autoPict="0">
                <anchor moveWithCells="1">
                  <from>
                    <xdr:col>5</xdr:col>
                    <xdr:colOff>0</xdr:colOff>
                    <xdr:row>73</xdr:row>
                    <xdr:rowOff>0</xdr:rowOff>
                  </from>
                  <to>
                    <xdr:col>6</xdr:col>
                    <xdr:colOff>9525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" name="Check Box 62">
              <controlPr defaultSize="0" autoFill="0" autoLine="0" autoPict="0">
                <anchor moveWithCells="1">
                  <from>
                    <xdr:col>4</xdr:col>
                    <xdr:colOff>2381250</xdr:colOff>
                    <xdr:row>86</xdr:row>
                    <xdr:rowOff>9525</xdr:rowOff>
                  </from>
                  <to>
                    <xdr:col>4</xdr:col>
                    <xdr:colOff>2686050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" name="Check Box 64">
              <controlPr defaultSize="0" autoFill="0" autoLine="0" autoPict="0">
                <anchor moveWithCells="1">
                  <from>
                    <xdr:col>4</xdr:col>
                    <xdr:colOff>2381250</xdr:colOff>
                    <xdr:row>86</xdr:row>
                    <xdr:rowOff>219075</xdr:rowOff>
                  </from>
                  <to>
                    <xdr:col>4</xdr:col>
                    <xdr:colOff>2686050</xdr:colOff>
                    <xdr:row>90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1"/>
  <dimension ref="A2:R497"/>
  <sheetViews>
    <sheetView workbookViewId="0">
      <selection activeCell="C9" sqref="C9"/>
    </sheetView>
  </sheetViews>
  <sheetFormatPr defaultColWidth="9.140625" defaultRowHeight="12.75" x14ac:dyDescent="0.2"/>
  <cols>
    <col min="1" max="1" width="9.140625" style="89"/>
    <col min="2" max="2" width="17.85546875" style="89" bestFit="1" customWidth="1"/>
    <col min="3" max="3" width="16.5703125" style="89" bestFit="1" customWidth="1"/>
    <col min="4" max="4" width="14.42578125" style="89" bestFit="1" customWidth="1"/>
    <col min="5" max="6" width="12.85546875" style="89" bestFit="1" customWidth="1"/>
    <col min="7" max="7" width="13.28515625" style="89" customWidth="1"/>
    <col min="8" max="8" width="12.5703125" style="89" bestFit="1" customWidth="1"/>
    <col min="9" max="11" width="9.140625" style="89"/>
    <col min="12" max="12" width="18.42578125" style="89" bestFit="1" customWidth="1"/>
    <col min="13" max="13" width="16" style="89" bestFit="1" customWidth="1"/>
    <col min="14" max="14" width="12.28515625" style="89" bestFit="1" customWidth="1"/>
    <col min="15" max="15" width="12.85546875" style="89" bestFit="1" customWidth="1"/>
    <col min="16" max="16" width="13.42578125" style="89" bestFit="1" customWidth="1"/>
    <col min="17" max="17" width="11.28515625" style="89" bestFit="1" customWidth="1"/>
    <col min="18" max="18" width="12.5703125" style="89" bestFit="1" customWidth="1"/>
    <col min="19" max="16384" width="9.140625" style="89"/>
  </cols>
  <sheetData>
    <row r="2" spans="1:18" x14ac:dyDescent="0.2">
      <c r="A2" s="138" t="s">
        <v>17</v>
      </c>
      <c r="K2" s="138" t="s">
        <v>18</v>
      </c>
    </row>
    <row r="3" spans="1:18" x14ac:dyDescent="0.2">
      <c r="B3" s="89" t="s">
        <v>5</v>
      </c>
      <c r="C3" s="139">
        <f>'prijem - EUR'!F49</f>
        <v>0</v>
      </c>
      <c r="E3" s="139"/>
      <c r="L3" s="89" t="s">
        <v>5</v>
      </c>
      <c r="M3" s="139">
        <f>'prijem - EUR'!F49</f>
        <v>0</v>
      </c>
    </row>
    <row r="4" spans="1:18" x14ac:dyDescent="0.2">
      <c r="B4" s="89" t="s">
        <v>6</v>
      </c>
      <c r="C4" s="89">
        <f>urokova_sadzba</f>
        <v>0</v>
      </c>
      <c r="L4" s="89" t="s">
        <v>6</v>
      </c>
      <c r="M4" s="89">
        <f>urokova_sadzba</f>
        <v>0</v>
      </c>
    </row>
    <row r="5" spans="1:18" x14ac:dyDescent="0.2">
      <c r="B5" s="89" t="s">
        <v>7</v>
      </c>
      <c r="C5" s="89">
        <f>doba_m</f>
        <v>0</v>
      </c>
      <c r="L5" s="89" t="s">
        <v>7</v>
      </c>
      <c r="M5" s="89">
        <f>doba_m</f>
        <v>0</v>
      </c>
    </row>
    <row r="6" spans="1:18" x14ac:dyDescent="0.2">
      <c r="B6" s="235" t="s">
        <v>101</v>
      </c>
      <c r="C6" s="236">
        <f>'prijem - EUR'!F53+'prijem - EUR'!F60+'prijem - EUR'!F67</f>
        <v>0</v>
      </c>
      <c r="L6" s="235" t="s">
        <v>101</v>
      </c>
      <c r="M6" s="236">
        <f>'prijem - EUR'!F53+'prijem - EUR'!F60+'prijem - EUR'!F67</f>
        <v>0</v>
      </c>
    </row>
    <row r="7" spans="1:18" x14ac:dyDescent="0.2">
      <c r="B7" s="235" t="s">
        <v>108</v>
      </c>
      <c r="C7" s="236">
        <f>'prijem - EUR'!F54+'prijem - EUR'!F61+'prijem - EUR'!F68</f>
        <v>0</v>
      </c>
      <c r="L7" s="235" t="s">
        <v>108</v>
      </c>
      <c r="M7" s="236">
        <f>'prijem - EUR'!F54+'prijem - EUR'!F61+'prijem - EUR'!F68</f>
        <v>0</v>
      </c>
    </row>
    <row r="8" spans="1:18" x14ac:dyDescent="0.2">
      <c r="B8" s="235" t="s">
        <v>109</v>
      </c>
      <c r="C8" s="236">
        <f>'prijem - EUR'!F55+'prijem - EUR'!F62+'prijem - EUR'!F69</f>
        <v>0</v>
      </c>
      <c r="L8" s="235" t="s">
        <v>109</v>
      </c>
      <c r="M8" s="236">
        <f>'prijem - EUR'!F55+'prijem - EUR'!F62+'prijem - EUR'!F69</f>
        <v>0</v>
      </c>
    </row>
    <row r="9" spans="1:18" x14ac:dyDescent="0.2">
      <c r="B9" s="235" t="s">
        <v>102</v>
      </c>
      <c r="C9" s="110">
        <f>'prijem - EUR'!E122+'prijem - EUR'!E123+'prijem - EUR'!E124</f>
        <v>0</v>
      </c>
      <c r="L9" s="235" t="s">
        <v>102</v>
      </c>
      <c r="M9" s="110">
        <f>'prijem - EUR'!E122+'prijem - EUR'!E123+'prijem - EUR'!E124</f>
        <v>0</v>
      </c>
    </row>
    <row r="10" spans="1:18" x14ac:dyDescent="0.2">
      <c r="B10" s="89" t="s">
        <v>8</v>
      </c>
      <c r="C10" s="141" t="e">
        <f>LCI</f>
        <v>#REF!</v>
      </c>
      <c r="D10" s="110"/>
      <c r="L10" s="89" t="s">
        <v>8</v>
      </c>
      <c r="M10" s="141" t="e">
        <f>LCI</f>
        <v>#REF!</v>
      </c>
    </row>
    <row r="11" spans="1:18" x14ac:dyDescent="0.2">
      <c r="B11" s="89" t="s">
        <v>9</v>
      </c>
      <c r="C11" s="141">
        <f>'prijem - EUR'!F87</f>
        <v>0</v>
      </c>
      <c r="D11" s="110"/>
      <c r="L11" s="89" t="s">
        <v>9</v>
      </c>
      <c r="M11" s="141">
        <f>'prijem - EUR'!F87</f>
        <v>0</v>
      </c>
    </row>
    <row r="12" spans="1:18" x14ac:dyDescent="0.2">
      <c r="B12" s="138" t="s">
        <v>16</v>
      </c>
      <c r="C12" s="140" t="e">
        <f>(1+IRR(B16:B496,1%))^12-1</f>
        <v>#VALUE!</v>
      </c>
      <c r="L12" s="138" t="s">
        <v>16</v>
      </c>
      <c r="M12" s="140" t="e">
        <f>(1+IRR(L16:L496,1%))^12-1</f>
        <v>#VALUE!</v>
      </c>
    </row>
    <row r="13" spans="1:18" x14ac:dyDescent="0.2">
      <c r="B13" s="138" t="s">
        <v>19</v>
      </c>
      <c r="C13" s="234" t="e">
        <f>(SUM(B17:B496)*-1)+C6+C8+C9+H17</f>
        <v>#NUM!</v>
      </c>
      <c r="L13" s="138" t="s">
        <v>19</v>
      </c>
      <c r="M13" s="234" t="e">
        <f>(SUM(L17:L496)*-1)+M6+M8+M9+R17</f>
        <v>#DIV/0!</v>
      </c>
    </row>
    <row r="14" spans="1:18" x14ac:dyDescent="0.2">
      <c r="D14" s="142"/>
    </row>
    <row r="15" spans="1:18" x14ac:dyDescent="0.2">
      <c r="B15" s="89" t="s">
        <v>11</v>
      </c>
      <c r="C15" s="143" t="s">
        <v>13</v>
      </c>
      <c r="L15" s="89" t="s">
        <v>11</v>
      </c>
      <c r="M15" s="143" t="s">
        <v>13</v>
      </c>
    </row>
    <row r="16" spans="1:18" x14ac:dyDescent="0.2">
      <c r="A16" s="89" t="s">
        <v>10</v>
      </c>
      <c r="B16" s="186">
        <f>C3-C6-C7-C9-C11-H17</f>
        <v>0</v>
      </c>
      <c r="C16" s="171">
        <f>C3</f>
        <v>0</v>
      </c>
      <c r="D16" s="143" t="s">
        <v>12</v>
      </c>
      <c r="E16" s="143" t="s">
        <v>14</v>
      </c>
      <c r="F16" s="143" t="s">
        <v>15</v>
      </c>
      <c r="G16" s="182" t="s">
        <v>141</v>
      </c>
      <c r="H16" s="232" t="s">
        <v>140</v>
      </c>
      <c r="K16" s="89" t="s">
        <v>10</v>
      </c>
      <c r="L16" s="186">
        <f>M3-M6-M7-M9-M11-R17</f>
        <v>0</v>
      </c>
      <c r="M16" s="171">
        <f>M3</f>
        <v>0</v>
      </c>
      <c r="N16" s="143" t="s">
        <v>12</v>
      </c>
      <c r="O16" s="143" t="s">
        <v>14</v>
      </c>
      <c r="P16" s="143" t="s">
        <v>15</v>
      </c>
      <c r="Q16" s="182" t="s">
        <v>141</v>
      </c>
      <c r="R16" s="232" t="s">
        <v>140</v>
      </c>
    </row>
    <row r="17" spans="1:18" x14ac:dyDescent="0.2">
      <c r="A17" s="89">
        <v>1</v>
      </c>
      <c r="B17" s="186">
        <f t="shared" ref="B17:B40" si="0">IF(C16&gt;0.00001,F17-G17,0)</f>
        <v>0</v>
      </c>
      <c r="C17" s="171" t="e">
        <f t="shared" ref="C17:C80" si="1">MAX(C16-D17,0)</f>
        <v>#NUM!</v>
      </c>
      <c r="D17" s="171" t="e">
        <f>(F17-E17)*-1</f>
        <v>#NUM!</v>
      </c>
      <c r="E17" s="171" t="e">
        <f>IPMT($C$4/12,1,$C$5,C16)</f>
        <v>#NUM!</v>
      </c>
      <c r="F17" s="171" t="e">
        <f>PMT($C$4/12,$C$5,$C$3)</f>
        <v>#NUM!</v>
      </c>
      <c r="G17" s="171"/>
      <c r="H17" s="233">
        <f>'prijem - EUR'!F88</f>
        <v>0</v>
      </c>
      <c r="K17" s="89">
        <v>1</v>
      </c>
      <c r="L17" s="186">
        <f t="shared" ref="L17:L40" si="2">IF(M16&gt;0.00001,P17-Q17,0)*-1</f>
        <v>0</v>
      </c>
      <c r="M17" s="171" t="e">
        <f t="shared" ref="M17:M80" si="3">MAX(M16-N17,0)</f>
        <v>#DIV/0!</v>
      </c>
      <c r="N17" s="171" t="e">
        <f t="shared" ref="N17:N80" si="4">$M$16/$M$5</f>
        <v>#DIV/0!</v>
      </c>
      <c r="O17" s="171">
        <f>M16*$M$4/12</f>
        <v>0</v>
      </c>
      <c r="P17" s="171" t="e">
        <f>O17+N17</f>
        <v>#DIV/0!</v>
      </c>
      <c r="Q17" s="171"/>
      <c r="R17" s="233">
        <f>'prijem - EUR'!F88</f>
        <v>0</v>
      </c>
    </row>
    <row r="18" spans="1:18" x14ac:dyDescent="0.2">
      <c r="A18" s="89">
        <v>2</v>
      </c>
      <c r="B18" s="186" t="e">
        <f t="shared" si="0"/>
        <v>#NUM!</v>
      </c>
      <c r="C18" s="171" t="e">
        <f t="shared" si="1"/>
        <v>#NUM!</v>
      </c>
      <c r="D18" s="171" t="e">
        <f t="shared" ref="D18:D81" si="5">(F18-E18)*-1</f>
        <v>#NUM!</v>
      </c>
      <c r="E18" s="171" t="e">
        <f t="shared" ref="E18:E81" si="6">IPMT($C$4/12,1,$C$5,C17)</f>
        <v>#NUM!</v>
      </c>
      <c r="F18" s="171" t="e">
        <f t="shared" ref="F18:F81" si="7">PMT($C$4/12,$C$5,$C$3)</f>
        <v>#NUM!</v>
      </c>
      <c r="G18" s="171"/>
      <c r="K18" s="89">
        <v>2</v>
      </c>
      <c r="L18" s="186" t="e">
        <f t="shared" si="2"/>
        <v>#DIV/0!</v>
      </c>
      <c r="M18" s="171" t="e">
        <f t="shared" si="3"/>
        <v>#DIV/0!</v>
      </c>
      <c r="N18" s="171" t="e">
        <f t="shared" si="4"/>
        <v>#DIV/0!</v>
      </c>
      <c r="O18" s="171" t="e">
        <f t="shared" ref="O18:O81" si="8">M17*$M$4/12</f>
        <v>#DIV/0!</v>
      </c>
      <c r="P18" s="171" t="e">
        <f t="shared" ref="P18:P81" si="9">O18+N18</f>
        <v>#DIV/0!</v>
      </c>
      <c r="Q18" s="171"/>
    </row>
    <row r="19" spans="1:18" x14ac:dyDescent="0.2">
      <c r="A19" s="89">
        <v>3</v>
      </c>
      <c r="B19" s="186" t="e">
        <f t="shared" si="0"/>
        <v>#NUM!</v>
      </c>
      <c r="C19" s="171" t="e">
        <f t="shared" si="1"/>
        <v>#NUM!</v>
      </c>
      <c r="D19" s="171" t="e">
        <f t="shared" si="5"/>
        <v>#NUM!</v>
      </c>
      <c r="E19" s="171" t="e">
        <f t="shared" si="6"/>
        <v>#NUM!</v>
      </c>
      <c r="F19" s="171" t="e">
        <f t="shared" si="7"/>
        <v>#NUM!</v>
      </c>
      <c r="G19" s="171"/>
      <c r="K19" s="89">
        <v>3</v>
      </c>
      <c r="L19" s="186" t="e">
        <f t="shared" si="2"/>
        <v>#DIV/0!</v>
      </c>
      <c r="M19" s="171" t="e">
        <f t="shared" si="3"/>
        <v>#DIV/0!</v>
      </c>
      <c r="N19" s="171" t="e">
        <f t="shared" si="4"/>
        <v>#DIV/0!</v>
      </c>
      <c r="O19" s="171" t="e">
        <f t="shared" si="8"/>
        <v>#DIV/0!</v>
      </c>
      <c r="P19" s="171" t="e">
        <f t="shared" si="9"/>
        <v>#DIV/0!</v>
      </c>
      <c r="Q19" s="171"/>
    </row>
    <row r="20" spans="1:18" x14ac:dyDescent="0.2">
      <c r="A20" s="89">
        <v>4</v>
      </c>
      <c r="B20" s="186" t="e">
        <f t="shared" si="0"/>
        <v>#NUM!</v>
      </c>
      <c r="C20" s="171" t="e">
        <f t="shared" si="1"/>
        <v>#NUM!</v>
      </c>
      <c r="D20" s="171" t="e">
        <f t="shared" si="5"/>
        <v>#NUM!</v>
      </c>
      <c r="E20" s="171" t="e">
        <f t="shared" si="6"/>
        <v>#NUM!</v>
      </c>
      <c r="F20" s="171" t="e">
        <f t="shared" si="7"/>
        <v>#NUM!</v>
      </c>
      <c r="G20" s="171"/>
      <c r="K20" s="89">
        <v>4</v>
      </c>
      <c r="L20" s="186" t="e">
        <f t="shared" si="2"/>
        <v>#DIV/0!</v>
      </c>
      <c r="M20" s="171" t="e">
        <f t="shared" si="3"/>
        <v>#DIV/0!</v>
      </c>
      <c r="N20" s="171" t="e">
        <f t="shared" si="4"/>
        <v>#DIV/0!</v>
      </c>
      <c r="O20" s="171" t="e">
        <f t="shared" si="8"/>
        <v>#DIV/0!</v>
      </c>
      <c r="P20" s="171" t="e">
        <f t="shared" si="9"/>
        <v>#DIV/0!</v>
      </c>
      <c r="Q20" s="171"/>
    </row>
    <row r="21" spans="1:18" x14ac:dyDescent="0.2">
      <c r="A21" s="89">
        <v>5</v>
      </c>
      <c r="B21" s="186" t="e">
        <f t="shared" si="0"/>
        <v>#NUM!</v>
      </c>
      <c r="C21" s="171" t="e">
        <f t="shared" si="1"/>
        <v>#NUM!</v>
      </c>
      <c r="D21" s="171" t="e">
        <f t="shared" si="5"/>
        <v>#NUM!</v>
      </c>
      <c r="E21" s="171" t="e">
        <f t="shared" si="6"/>
        <v>#NUM!</v>
      </c>
      <c r="F21" s="171" t="e">
        <f t="shared" si="7"/>
        <v>#NUM!</v>
      </c>
      <c r="G21" s="171"/>
      <c r="K21" s="89">
        <v>5</v>
      </c>
      <c r="L21" s="186" t="e">
        <f t="shared" si="2"/>
        <v>#DIV/0!</v>
      </c>
      <c r="M21" s="171" t="e">
        <f t="shared" si="3"/>
        <v>#DIV/0!</v>
      </c>
      <c r="N21" s="171" t="e">
        <f t="shared" si="4"/>
        <v>#DIV/0!</v>
      </c>
      <c r="O21" s="171" t="e">
        <f t="shared" si="8"/>
        <v>#DIV/0!</v>
      </c>
      <c r="P21" s="171" t="e">
        <f t="shared" si="9"/>
        <v>#DIV/0!</v>
      </c>
      <c r="Q21" s="171"/>
    </row>
    <row r="22" spans="1:18" x14ac:dyDescent="0.2">
      <c r="A22" s="89">
        <v>6</v>
      </c>
      <c r="B22" s="186" t="e">
        <f t="shared" si="0"/>
        <v>#NUM!</v>
      </c>
      <c r="C22" s="171" t="e">
        <f t="shared" si="1"/>
        <v>#NUM!</v>
      </c>
      <c r="D22" s="171" t="e">
        <f t="shared" si="5"/>
        <v>#NUM!</v>
      </c>
      <c r="E22" s="171" t="e">
        <f t="shared" si="6"/>
        <v>#NUM!</v>
      </c>
      <c r="F22" s="171" t="e">
        <f t="shared" si="7"/>
        <v>#NUM!</v>
      </c>
      <c r="G22" s="171"/>
      <c r="K22" s="89">
        <v>6</v>
      </c>
      <c r="L22" s="186" t="e">
        <f t="shared" si="2"/>
        <v>#DIV/0!</v>
      </c>
      <c r="M22" s="171" t="e">
        <f t="shared" si="3"/>
        <v>#DIV/0!</v>
      </c>
      <c r="N22" s="171" t="e">
        <f t="shared" si="4"/>
        <v>#DIV/0!</v>
      </c>
      <c r="O22" s="171" t="e">
        <f t="shared" si="8"/>
        <v>#DIV/0!</v>
      </c>
      <c r="P22" s="171" t="e">
        <f t="shared" si="9"/>
        <v>#DIV/0!</v>
      </c>
      <c r="Q22" s="171"/>
    </row>
    <row r="23" spans="1:18" x14ac:dyDescent="0.2">
      <c r="A23" s="89">
        <v>7</v>
      </c>
      <c r="B23" s="186" t="e">
        <f t="shared" si="0"/>
        <v>#NUM!</v>
      </c>
      <c r="C23" s="171" t="e">
        <f t="shared" si="1"/>
        <v>#NUM!</v>
      </c>
      <c r="D23" s="171" t="e">
        <f t="shared" si="5"/>
        <v>#NUM!</v>
      </c>
      <c r="E23" s="171" t="e">
        <f t="shared" si="6"/>
        <v>#NUM!</v>
      </c>
      <c r="F23" s="171" t="e">
        <f t="shared" si="7"/>
        <v>#NUM!</v>
      </c>
      <c r="G23" s="171"/>
      <c r="K23" s="89">
        <v>7</v>
      </c>
      <c r="L23" s="186" t="e">
        <f t="shared" si="2"/>
        <v>#DIV/0!</v>
      </c>
      <c r="M23" s="171" t="e">
        <f t="shared" si="3"/>
        <v>#DIV/0!</v>
      </c>
      <c r="N23" s="171" t="e">
        <f t="shared" si="4"/>
        <v>#DIV/0!</v>
      </c>
      <c r="O23" s="171" t="e">
        <f t="shared" si="8"/>
        <v>#DIV/0!</v>
      </c>
      <c r="P23" s="171" t="e">
        <f t="shared" si="9"/>
        <v>#DIV/0!</v>
      </c>
      <c r="Q23" s="171"/>
    </row>
    <row r="24" spans="1:18" x14ac:dyDescent="0.2">
      <c r="A24" s="89">
        <v>8</v>
      </c>
      <c r="B24" s="186" t="e">
        <f t="shared" si="0"/>
        <v>#NUM!</v>
      </c>
      <c r="C24" s="171" t="e">
        <f t="shared" si="1"/>
        <v>#NUM!</v>
      </c>
      <c r="D24" s="171" t="e">
        <f t="shared" si="5"/>
        <v>#NUM!</v>
      </c>
      <c r="E24" s="171" t="e">
        <f t="shared" si="6"/>
        <v>#NUM!</v>
      </c>
      <c r="F24" s="171" t="e">
        <f t="shared" si="7"/>
        <v>#NUM!</v>
      </c>
      <c r="G24" s="171"/>
      <c r="K24" s="89">
        <v>8</v>
      </c>
      <c r="L24" s="186" t="e">
        <f t="shared" si="2"/>
        <v>#DIV/0!</v>
      </c>
      <c r="M24" s="171" t="e">
        <f t="shared" si="3"/>
        <v>#DIV/0!</v>
      </c>
      <c r="N24" s="171" t="e">
        <f t="shared" si="4"/>
        <v>#DIV/0!</v>
      </c>
      <c r="O24" s="171" t="e">
        <f t="shared" si="8"/>
        <v>#DIV/0!</v>
      </c>
      <c r="P24" s="171" t="e">
        <f t="shared" si="9"/>
        <v>#DIV/0!</v>
      </c>
      <c r="Q24" s="171"/>
    </row>
    <row r="25" spans="1:18" x14ac:dyDescent="0.2">
      <c r="A25" s="89">
        <v>9</v>
      </c>
      <c r="B25" s="186" t="e">
        <f t="shared" si="0"/>
        <v>#NUM!</v>
      </c>
      <c r="C25" s="171" t="e">
        <f t="shared" si="1"/>
        <v>#NUM!</v>
      </c>
      <c r="D25" s="171" t="e">
        <f t="shared" si="5"/>
        <v>#NUM!</v>
      </c>
      <c r="E25" s="171" t="e">
        <f t="shared" si="6"/>
        <v>#NUM!</v>
      </c>
      <c r="F25" s="171" t="e">
        <f t="shared" si="7"/>
        <v>#NUM!</v>
      </c>
      <c r="G25" s="171"/>
      <c r="K25" s="89">
        <v>9</v>
      </c>
      <c r="L25" s="186" t="e">
        <f t="shared" si="2"/>
        <v>#DIV/0!</v>
      </c>
      <c r="M25" s="171" t="e">
        <f t="shared" si="3"/>
        <v>#DIV/0!</v>
      </c>
      <c r="N25" s="171" t="e">
        <f t="shared" si="4"/>
        <v>#DIV/0!</v>
      </c>
      <c r="O25" s="171" t="e">
        <f t="shared" si="8"/>
        <v>#DIV/0!</v>
      </c>
      <c r="P25" s="171" t="e">
        <f t="shared" si="9"/>
        <v>#DIV/0!</v>
      </c>
      <c r="Q25" s="171"/>
    </row>
    <row r="26" spans="1:18" x14ac:dyDescent="0.2">
      <c r="A26" s="89">
        <v>10</v>
      </c>
      <c r="B26" s="186" t="e">
        <f t="shared" si="0"/>
        <v>#NUM!</v>
      </c>
      <c r="C26" s="171" t="e">
        <f t="shared" si="1"/>
        <v>#NUM!</v>
      </c>
      <c r="D26" s="171" t="e">
        <f t="shared" si="5"/>
        <v>#NUM!</v>
      </c>
      <c r="E26" s="171" t="e">
        <f t="shared" si="6"/>
        <v>#NUM!</v>
      </c>
      <c r="F26" s="171" t="e">
        <f t="shared" si="7"/>
        <v>#NUM!</v>
      </c>
      <c r="G26" s="171"/>
      <c r="K26" s="89">
        <v>10</v>
      </c>
      <c r="L26" s="186" t="e">
        <f t="shared" si="2"/>
        <v>#DIV/0!</v>
      </c>
      <c r="M26" s="171" t="e">
        <f t="shared" si="3"/>
        <v>#DIV/0!</v>
      </c>
      <c r="N26" s="171" t="e">
        <f t="shared" si="4"/>
        <v>#DIV/0!</v>
      </c>
      <c r="O26" s="171" t="e">
        <f t="shared" si="8"/>
        <v>#DIV/0!</v>
      </c>
      <c r="P26" s="171" t="e">
        <f t="shared" si="9"/>
        <v>#DIV/0!</v>
      </c>
      <c r="Q26" s="171"/>
    </row>
    <row r="27" spans="1:18" x14ac:dyDescent="0.2">
      <c r="A27" s="89">
        <v>11</v>
      </c>
      <c r="B27" s="186" t="e">
        <f t="shared" si="0"/>
        <v>#NUM!</v>
      </c>
      <c r="C27" s="171" t="e">
        <f t="shared" si="1"/>
        <v>#NUM!</v>
      </c>
      <c r="D27" s="171" t="e">
        <f t="shared" si="5"/>
        <v>#NUM!</v>
      </c>
      <c r="E27" s="171" t="e">
        <f t="shared" si="6"/>
        <v>#NUM!</v>
      </c>
      <c r="F27" s="171" t="e">
        <f t="shared" si="7"/>
        <v>#NUM!</v>
      </c>
      <c r="G27" s="171"/>
      <c r="K27" s="89">
        <v>11</v>
      </c>
      <c r="L27" s="186" t="e">
        <f t="shared" si="2"/>
        <v>#DIV/0!</v>
      </c>
      <c r="M27" s="171" t="e">
        <f t="shared" si="3"/>
        <v>#DIV/0!</v>
      </c>
      <c r="N27" s="171" t="e">
        <f t="shared" si="4"/>
        <v>#DIV/0!</v>
      </c>
      <c r="O27" s="171" t="e">
        <f t="shared" si="8"/>
        <v>#DIV/0!</v>
      </c>
      <c r="P27" s="171" t="e">
        <f t="shared" si="9"/>
        <v>#DIV/0!</v>
      </c>
      <c r="Q27" s="171"/>
    </row>
    <row r="28" spans="1:18" x14ac:dyDescent="0.2">
      <c r="A28" s="89">
        <v>12</v>
      </c>
      <c r="B28" s="186" t="e">
        <f t="shared" si="0"/>
        <v>#NUM!</v>
      </c>
      <c r="C28" s="171" t="e">
        <f t="shared" si="1"/>
        <v>#NUM!</v>
      </c>
      <c r="D28" s="171" t="e">
        <f t="shared" si="5"/>
        <v>#NUM!</v>
      </c>
      <c r="E28" s="171" t="e">
        <f t="shared" si="6"/>
        <v>#NUM!</v>
      </c>
      <c r="F28" s="171" t="e">
        <f t="shared" si="7"/>
        <v>#NUM!</v>
      </c>
      <c r="G28" s="171"/>
      <c r="K28" s="89">
        <v>12</v>
      </c>
      <c r="L28" s="186" t="e">
        <f t="shared" si="2"/>
        <v>#DIV/0!</v>
      </c>
      <c r="M28" s="171" t="e">
        <f t="shared" si="3"/>
        <v>#DIV/0!</v>
      </c>
      <c r="N28" s="171" t="e">
        <f t="shared" si="4"/>
        <v>#DIV/0!</v>
      </c>
      <c r="O28" s="171" t="e">
        <f t="shared" si="8"/>
        <v>#DIV/0!</v>
      </c>
      <c r="P28" s="171" t="e">
        <f t="shared" si="9"/>
        <v>#DIV/0!</v>
      </c>
      <c r="Q28" s="171"/>
    </row>
    <row r="29" spans="1:18" x14ac:dyDescent="0.2">
      <c r="A29" s="89">
        <v>13</v>
      </c>
      <c r="B29" s="186" t="e">
        <f t="shared" si="0"/>
        <v>#NUM!</v>
      </c>
      <c r="C29" s="171" t="e">
        <f t="shared" si="1"/>
        <v>#NUM!</v>
      </c>
      <c r="D29" s="171" t="e">
        <f t="shared" si="5"/>
        <v>#NUM!</v>
      </c>
      <c r="E29" s="171" t="e">
        <f t="shared" si="6"/>
        <v>#NUM!</v>
      </c>
      <c r="F29" s="171" t="e">
        <f t="shared" si="7"/>
        <v>#NUM!</v>
      </c>
      <c r="G29" s="171"/>
      <c r="K29" s="89">
        <v>13</v>
      </c>
      <c r="L29" s="186" t="e">
        <f t="shared" si="2"/>
        <v>#DIV/0!</v>
      </c>
      <c r="M29" s="171" t="e">
        <f t="shared" si="3"/>
        <v>#DIV/0!</v>
      </c>
      <c r="N29" s="171" t="e">
        <f t="shared" si="4"/>
        <v>#DIV/0!</v>
      </c>
      <c r="O29" s="171" t="e">
        <f t="shared" si="8"/>
        <v>#DIV/0!</v>
      </c>
      <c r="P29" s="171" t="e">
        <f t="shared" si="9"/>
        <v>#DIV/0!</v>
      </c>
      <c r="Q29" s="171"/>
    </row>
    <row r="30" spans="1:18" x14ac:dyDescent="0.2">
      <c r="A30" s="89">
        <v>14</v>
      </c>
      <c r="B30" s="186" t="e">
        <f t="shared" si="0"/>
        <v>#NUM!</v>
      </c>
      <c r="C30" s="171" t="e">
        <f t="shared" si="1"/>
        <v>#NUM!</v>
      </c>
      <c r="D30" s="171" t="e">
        <f t="shared" si="5"/>
        <v>#NUM!</v>
      </c>
      <c r="E30" s="171" t="e">
        <f t="shared" si="6"/>
        <v>#NUM!</v>
      </c>
      <c r="F30" s="171" t="e">
        <f t="shared" si="7"/>
        <v>#NUM!</v>
      </c>
      <c r="G30" s="171"/>
      <c r="K30" s="89">
        <v>14</v>
      </c>
      <c r="L30" s="186" t="e">
        <f t="shared" si="2"/>
        <v>#DIV/0!</v>
      </c>
      <c r="M30" s="171" t="e">
        <f t="shared" si="3"/>
        <v>#DIV/0!</v>
      </c>
      <c r="N30" s="171" t="e">
        <f t="shared" si="4"/>
        <v>#DIV/0!</v>
      </c>
      <c r="O30" s="171" t="e">
        <f t="shared" si="8"/>
        <v>#DIV/0!</v>
      </c>
      <c r="P30" s="171" t="e">
        <f t="shared" si="9"/>
        <v>#DIV/0!</v>
      </c>
      <c r="Q30" s="171"/>
    </row>
    <row r="31" spans="1:18" x14ac:dyDescent="0.2">
      <c r="A31" s="89">
        <v>15</v>
      </c>
      <c r="B31" s="186" t="e">
        <f t="shared" si="0"/>
        <v>#NUM!</v>
      </c>
      <c r="C31" s="171" t="e">
        <f t="shared" si="1"/>
        <v>#NUM!</v>
      </c>
      <c r="D31" s="171" t="e">
        <f t="shared" si="5"/>
        <v>#NUM!</v>
      </c>
      <c r="E31" s="171" t="e">
        <f t="shared" si="6"/>
        <v>#NUM!</v>
      </c>
      <c r="F31" s="171" t="e">
        <f t="shared" si="7"/>
        <v>#NUM!</v>
      </c>
      <c r="G31" s="171"/>
      <c r="K31" s="89">
        <v>15</v>
      </c>
      <c r="L31" s="186" t="e">
        <f t="shared" si="2"/>
        <v>#DIV/0!</v>
      </c>
      <c r="M31" s="171" t="e">
        <f t="shared" si="3"/>
        <v>#DIV/0!</v>
      </c>
      <c r="N31" s="171" t="e">
        <f t="shared" si="4"/>
        <v>#DIV/0!</v>
      </c>
      <c r="O31" s="171" t="e">
        <f t="shared" si="8"/>
        <v>#DIV/0!</v>
      </c>
      <c r="P31" s="171" t="e">
        <f t="shared" si="9"/>
        <v>#DIV/0!</v>
      </c>
      <c r="Q31" s="171"/>
    </row>
    <row r="32" spans="1:18" x14ac:dyDescent="0.2">
      <c r="A32" s="89">
        <v>16</v>
      </c>
      <c r="B32" s="186" t="e">
        <f t="shared" si="0"/>
        <v>#NUM!</v>
      </c>
      <c r="C32" s="171" t="e">
        <f t="shared" si="1"/>
        <v>#NUM!</v>
      </c>
      <c r="D32" s="171" t="e">
        <f t="shared" si="5"/>
        <v>#NUM!</v>
      </c>
      <c r="E32" s="171" t="e">
        <f t="shared" si="6"/>
        <v>#NUM!</v>
      </c>
      <c r="F32" s="171" t="e">
        <f t="shared" si="7"/>
        <v>#NUM!</v>
      </c>
      <c r="G32" s="171"/>
      <c r="K32" s="89">
        <v>16</v>
      </c>
      <c r="L32" s="186" t="e">
        <f t="shared" si="2"/>
        <v>#DIV/0!</v>
      </c>
      <c r="M32" s="171" t="e">
        <f t="shared" si="3"/>
        <v>#DIV/0!</v>
      </c>
      <c r="N32" s="171" t="e">
        <f t="shared" si="4"/>
        <v>#DIV/0!</v>
      </c>
      <c r="O32" s="171" t="e">
        <f t="shared" si="8"/>
        <v>#DIV/0!</v>
      </c>
      <c r="P32" s="171" t="e">
        <f t="shared" si="9"/>
        <v>#DIV/0!</v>
      </c>
      <c r="Q32" s="171"/>
    </row>
    <row r="33" spans="1:17" x14ac:dyDescent="0.2">
      <c r="A33" s="89">
        <v>17</v>
      </c>
      <c r="B33" s="186" t="e">
        <f t="shared" si="0"/>
        <v>#NUM!</v>
      </c>
      <c r="C33" s="171" t="e">
        <f t="shared" si="1"/>
        <v>#NUM!</v>
      </c>
      <c r="D33" s="171" t="e">
        <f t="shared" si="5"/>
        <v>#NUM!</v>
      </c>
      <c r="E33" s="171" t="e">
        <f t="shared" si="6"/>
        <v>#NUM!</v>
      </c>
      <c r="F33" s="171" t="e">
        <f t="shared" si="7"/>
        <v>#NUM!</v>
      </c>
      <c r="G33" s="171"/>
      <c r="K33" s="89">
        <v>17</v>
      </c>
      <c r="L33" s="186" t="e">
        <f t="shared" si="2"/>
        <v>#DIV/0!</v>
      </c>
      <c r="M33" s="171" t="e">
        <f t="shared" si="3"/>
        <v>#DIV/0!</v>
      </c>
      <c r="N33" s="171" t="e">
        <f t="shared" si="4"/>
        <v>#DIV/0!</v>
      </c>
      <c r="O33" s="171" t="e">
        <f t="shared" si="8"/>
        <v>#DIV/0!</v>
      </c>
      <c r="P33" s="171" t="e">
        <f t="shared" si="9"/>
        <v>#DIV/0!</v>
      </c>
      <c r="Q33" s="171"/>
    </row>
    <row r="34" spans="1:17" x14ac:dyDescent="0.2">
      <c r="A34" s="89">
        <v>18</v>
      </c>
      <c r="B34" s="186" t="e">
        <f t="shared" si="0"/>
        <v>#NUM!</v>
      </c>
      <c r="C34" s="171" t="e">
        <f t="shared" si="1"/>
        <v>#NUM!</v>
      </c>
      <c r="D34" s="171" t="e">
        <f t="shared" si="5"/>
        <v>#NUM!</v>
      </c>
      <c r="E34" s="171" t="e">
        <f t="shared" si="6"/>
        <v>#NUM!</v>
      </c>
      <c r="F34" s="171" t="e">
        <f t="shared" si="7"/>
        <v>#NUM!</v>
      </c>
      <c r="G34" s="171"/>
      <c r="K34" s="89">
        <v>18</v>
      </c>
      <c r="L34" s="186" t="e">
        <f t="shared" si="2"/>
        <v>#DIV/0!</v>
      </c>
      <c r="M34" s="171" t="e">
        <f t="shared" si="3"/>
        <v>#DIV/0!</v>
      </c>
      <c r="N34" s="171" t="e">
        <f t="shared" si="4"/>
        <v>#DIV/0!</v>
      </c>
      <c r="O34" s="171" t="e">
        <f t="shared" si="8"/>
        <v>#DIV/0!</v>
      </c>
      <c r="P34" s="171" t="e">
        <f t="shared" si="9"/>
        <v>#DIV/0!</v>
      </c>
      <c r="Q34" s="171"/>
    </row>
    <row r="35" spans="1:17" x14ac:dyDescent="0.2">
      <c r="A35" s="89">
        <v>19</v>
      </c>
      <c r="B35" s="186" t="e">
        <f t="shared" si="0"/>
        <v>#NUM!</v>
      </c>
      <c r="C35" s="171" t="e">
        <f t="shared" si="1"/>
        <v>#NUM!</v>
      </c>
      <c r="D35" s="171" t="e">
        <f t="shared" si="5"/>
        <v>#NUM!</v>
      </c>
      <c r="E35" s="171" t="e">
        <f t="shared" si="6"/>
        <v>#NUM!</v>
      </c>
      <c r="F35" s="171" t="e">
        <f t="shared" si="7"/>
        <v>#NUM!</v>
      </c>
      <c r="G35" s="171"/>
      <c r="K35" s="89">
        <v>19</v>
      </c>
      <c r="L35" s="186" t="e">
        <f t="shared" si="2"/>
        <v>#DIV/0!</v>
      </c>
      <c r="M35" s="171" t="e">
        <f t="shared" si="3"/>
        <v>#DIV/0!</v>
      </c>
      <c r="N35" s="171" t="e">
        <f t="shared" si="4"/>
        <v>#DIV/0!</v>
      </c>
      <c r="O35" s="171" t="e">
        <f t="shared" si="8"/>
        <v>#DIV/0!</v>
      </c>
      <c r="P35" s="171" t="e">
        <f t="shared" si="9"/>
        <v>#DIV/0!</v>
      </c>
      <c r="Q35" s="171"/>
    </row>
    <row r="36" spans="1:17" x14ac:dyDescent="0.2">
      <c r="A36" s="89">
        <v>20</v>
      </c>
      <c r="B36" s="186" t="e">
        <f t="shared" si="0"/>
        <v>#NUM!</v>
      </c>
      <c r="C36" s="171" t="e">
        <f t="shared" si="1"/>
        <v>#NUM!</v>
      </c>
      <c r="D36" s="171" t="e">
        <f t="shared" si="5"/>
        <v>#NUM!</v>
      </c>
      <c r="E36" s="171" t="e">
        <f t="shared" si="6"/>
        <v>#NUM!</v>
      </c>
      <c r="F36" s="171" t="e">
        <f t="shared" si="7"/>
        <v>#NUM!</v>
      </c>
      <c r="G36" s="171"/>
      <c r="K36" s="89">
        <v>20</v>
      </c>
      <c r="L36" s="186" t="e">
        <f t="shared" si="2"/>
        <v>#DIV/0!</v>
      </c>
      <c r="M36" s="171" t="e">
        <f t="shared" si="3"/>
        <v>#DIV/0!</v>
      </c>
      <c r="N36" s="171" t="e">
        <f t="shared" si="4"/>
        <v>#DIV/0!</v>
      </c>
      <c r="O36" s="171" t="e">
        <f t="shared" si="8"/>
        <v>#DIV/0!</v>
      </c>
      <c r="P36" s="171" t="e">
        <f t="shared" si="9"/>
        <v>#DIV/0!</v>
      </c>
      <c r="Q36" s="171"/>
    </row>
    <row r="37" spans="1:17" x14ac:dyDescent="0.2">
      <c r="A37" s="89">
        <v>21</v>
      </c>
      <c r="B37" s="186" t="e">
        <f t="shared" si="0"/>
        <v>#NUM!</v>
      </c>
      <c r="C37" s="171" t="e">
        <f t="shared" si="1"/>
        <v>#NUM!</v>
      </c>
      <c r="D37" s="171" t="e">
        <f t="shared" si="5"/>
        <v>#NUM!</v>
      </c>
      <c r="E37" s="171" t="e">
        <f t="shared" si="6"/>
        <v>#NUM!</v>
      </c>
      <c r="F37" s="171" t="e">
        <f t="shared" si="7"/>
        <v>#NUM!</v>
      </c>
      <c r="G37" s="171"/>
      <c r="K37" s="89">
        <v>21</v>
      </c>
      <c r="L37" s="186" t="e">
        <f t="shared" si="2"/>
        <v>#DIV/0!</v>
      </c>
      <c r="M37" s="171" t="e">
        <f t="shared" si="3"/>
        <v>#DIV/0!</v>
      </c>
      <c r="N37" s="171" t="e">
        <f t="shared" si="4"/>
        <v>#DIV/0!</v>
      </c>
      <c r="O37" s="171" t="e">
        <f t="shared" si="8"/>
        <v>#DIV/0!</v>
      </c>
      <c r="P37" s="171" t="e">
        <f t="shared" si="9"/>
        <v>#DIV/0!</v>
      </c>
      <c r="Q37" s="171"/>
    </row>
    <row r="38" spans="1:17" x14ac:dyDescent="0.2">
      <c r="A38" s="89">
        <v>22</v>
      </c>
      <c r="B38" s="186" t="e">
        <f t="shared" si="0"/>
        <v>#NUM!</v>
      </c>
      <c r="C38" s="171" t="e">
        <f t="shared" si="1"/>
        <v>#NUM!</v>
      </c>
      <c r="D38" s="171" t="e">
        <f t="shared" si="5"/>
        <v>#NUM!</v>
      </c>
      <c r="E38" s="171" t="e">
        <f t="shared" si="6"/>
        <v>#NUM!</v>
      </c>
      <c r="F38" s="171" t="e">
        <f t="shared" si="7"/>
        <v>#NUM!</v>
      </c>
      <c r="G38" s="171"/>
      <c r="K38" s="89">
        <v>22</v>
      </c>
      <c r="L38" s="186" t="e">
        <f t="shared" si="2"/>
        <v>#DIV/0!</v>
      </c>
      <c r="M38" s="171" t="e">
        <f t="shared" si="3"/>
        <v>#DIV/0!</v>
      </c>
      <c r="N38" s="171" t="e">
        <f t="shared" si="4"/>
        <v>#DIV/0!</v>
      </c>
      <c r="O38" s="171" t="e">
        <f t="shared" si="8"/>
        <v>#DIV/0!</v>
      </c>
      <c r="P38" s="171" t="e">
        <f t="shared" si="9"/>
        <v>#DIV/0!</v>
      </c>
      <c r="Q38" s="171"/>
    </row>
    <row r="39" spans="1:17" x14ac:dyDescent="0.2">
      <c r="A39" s="89">
        <v>23</v>
      </c>
      <c r="B39" s="186" t="e">
        <f t="shared" si="0"/>
        <v>#NUM!</v>
      </c>
      <c r="C39" s="171" t="e">
        <f t="shared" si="1"/>
        <v>#NUM!</v>
      </c>
      <c r="D39" s="171" t="e">
        <f t="shared" si="5"/>
        <v>#NUM!</v>
      </c>
      <c r="E39" s="171" t="e">
        <f t="shared" si="6"/>
        <v>#NUM!</v>
      </c>
      <c r="F39" s="171" t="e">
        <f t="shared" si="7"/>
        <v>#NUM!</v>
      </c>
      <c r="G39" s="171"/>
      <c r="K39" s="89">
        <v>23</v>
      </c>
      <c r="L39" s="186" t="e">
        <f t="shared" si="2"/>
        <v>#DIV/0!</v>
      </c>
      <c r="M39" s="171" t="e">
        <f t="shared" si="3"/>
        <v>#DIV/0!</v>
      </c>
      <c r="N39" s="171" t="e">
        <f t="shared" si="4"/>
        <v>#DIV/0!</v>
      </c>
      <c r="O39" s="171" t="e">
        <f t="shared" si="8"/>
        <v>#DIV/0!</v>
      </c>
      <c r="P39" s="171" t="e">
        <f t="shared" si="9"/>
        <v>#DIV/0!</v>
      </c>
      <c r="Q39" s="171"/>
    </row>
    <row r="40" spans="1:17" x14ac:dyDescent="0.2">
      <c r="A40" s="89">
        <v>24</v>
      </c>
      <c r="B40" s="186" t="e">
        <f t="shared" si="0"/>
        <v>#NUM!</v>
      </c>
      <c r="C40" s="171" t="e">
        <f t="shared" si="1"/>
        <v>#NUM!</v>
      </c>
      <c r="D40" s="171" t="e">
        <f t="shared" si="5"/>
        <v>#NUM!</v>
      </c>
      <c r="E40" s="171" t="e">
        <f t="shared" si="6"/>
        <v>#NUM!</v>
      </c>
      <c r="F40" s="171" t="e">
        <f t="shared" si="7"/>
        <v>#NUM!</v>
      </c>
      <c r="G40" s="171"/>
      <c r="K40" s="89">
        <v>24</v>
      </c>
      <c r="L40" s="186" t="e">
        <f t="shared" si="2"/>
        <v>#DIV/0!</v>
      </c>
      <c r="M40" s="171" t="e">
        <f t="shared" si="3"/>
        <v>#DIV/0!</v>
      </c>
      <c r="N40" s="171" t="e">
        <f t="shared" si="4"/>
        <v>#DIV/0!</v>
      </c>
      <c r="O40" s="171" t="e">
        <f t="shared" si="8"/>
        <v>#DIV/0!</v>
      </c>
      <c r="P40" s="171" t="e">
        <f t="shared" si="9"/>
        <v>#DIV/0!</v>
      </c>
      <c r="Q40" s="171"/>
    </row>
    <row r="41" spans="1:17" x14ac:dyDescent="0.2">
      <c r="A41" s="89">
        <v>25</v>
      </c>
      <c r="B41" s="186" t="e">
        <f t="shared" ref="B41:B105" si="10">IF(C40&gt;0.00001,F41-G41,0)</f>
        <v>#NUM!</v>
      </c>
      <c r="C41" s="171" t="e">
        <f t="shared" si="1"/>
        <v>#NUM!</v>
      </c>
      <c r="D41" s="171" t="e">
        <f t="shared" si="5"/>
        <v>#NUM!</v>
      </c>
      <c r="E41" s="171" t="e">
        <f t="shared" si="6"/>
        <v>#NUM!</v>
      </c>
      <c r="F41" s="171" t="e">
        <f t="shared" si="7"/>
        <v>#NUM!</v>
      </c>
      <c r="G41" s="186">
        <f>IF('prijem - EUR'!$I$87=TRUE,IF($C$11&gt;0,0.00025*C40,0),IF('prijem - EUR'!$I$88=TRUE,IF('prijem - EUR'!$F$88&gt;0,0.00025*C40,0),0))</f>
        <v>0</v>
      </c>
      <c r="K41" s="89">
        <v>25</v>
      </c>
      <c r="L41" s="186" t="e">
        <f>IF(M40&gt;0.00001,P41-Q41,0)*-1</f>
        <v>#DIV/0!</v>
      </c>
      <c r="M41" s="171" t="e">
        <f t="shared" si="3"/>
        <v>#DIV/0!</v>
      </c>
      <c r="N41" s="171" t="e">
        <f t="shared" si="4"/>
        <v>#DIV/0!</v>
      </c>
      <c r="O41" s="171" t="e">
        <f t="shared" si="8"/>
        <v>#DIV/0!</v>
      </c>
      <c r="P41" s="171" t="e">
        <f t="shared" si="9"/>
        <v>#DIV/0!</v>
      </c>
      <c r="Q41" s="186">
        <f>IF('prijem - EUR'!$I$87=TRUE,IF($C$11&gt;0,0.00025*M40,0),IF('prijem - EUR'!$I$88=TRUE,IF('prijem - EUR'!$F$88&gt;0,0.00025*M40*-1,0),0))</f>
        <v>0</v>
      </c>
    </row>
    <row r="42" spans="1:17" x14ac:dyDescent="0.2">
      <c r="A42" s="89">
        <v>26</v>
      </c>
      <c r="B42" s="186" t="e">
        <f t="shared" si="10"/>
        <v>#NUM!</v>
      </c>
      <c r="C42" s="171" t="e">
        <f t="shared" si="1"/>
        <v>#NUM!</v>
      </c>
      <c r="D42" s="171" t="e">
        <f t="shared" si="5"/>
        <v>#NUM!</v>
      </c>
      <c r="E42" s="171" t="e">
        <f t="shared" si="6"/>
        <v>#NUM!</v>
      </c>
      <c r="F42" s="171" t="e">
        <f t="shared" si="7"/>
        <v>#NUM!</v>
      </c>
      <c r="G42" s="186">
        <f>IF('prijem - EUR'!$I$87=TRUE,IF($C$11&gt;0,0.00025*C41,0),IF('prijem - EUR'!$I$88=TRUE,IF('prijem - EUR'!$F$88&gt;0,0.00025*C41,0),0))</f>
        <v>0</v>
      </c>
      <c r="K42" s="89">
        <v>26</v>
      </c>
      <c r="L42" s="186" t="e">
        <f t="shared" ref="L42:L105" si="11">IF(M41&gt;0.00001,P42-Q42,0)*-1</f>
        <v>#DIV/0!</v>
      </c>
      <c r="M42" s="171" t="e">
        <f t="shared" si="3"/>
        <v>#DIV/0!</v>
      </c>
      <c r="N42" s="171" t="e">
        <f t="shared" si="4"/>
        <v>#DIV/0!</v>
      </c>
      <c r="O42" s="171" t="e">
        <f t="shared" si="8"/>
        <v>#DIV/0!</v>
      </c>
      <c r="P42" s="171" t="e">
        <f t="shared" si="9"/>
        <v>#DIV/0!</v>
      </c>
      <c r="Q42" s="186">
        <f>IF('prijem - EUR'!$I$87=TRUE,IF($C$11&gt;0,0.00025*M41,0),IF('prijem - EUR'!$I$88=TRUE,IF('prijem - EUR'!$F$88&gt;0,0.00025*M41*-1,0),0))</f>
        <v>0</v>
      </c>
    </row>
    <row r="43" spans="1:17" x14ac:dyDescent="0.2">
      <c r="A43" s="89">
        <v>27</v>
      </c>
      <c r="B43" s="186" t="e">
        <f t="shared" si="10"/>
        <v>#NUM!</v>
      </c>
      <c r="C43" s="171" t="e">
        <f t="shared" si="1"/>
        <v>#NUM!</v>
      </c>
      <c r="D43" s="171" t="e">
        <f t="shared" si="5"/>
        <v>#NUM!</v>
      </c>
      <c r="E43" s="171" t="e">
        <f t="shared" si="6"/>
        <v>#NUM!</v>
      </c>
      <c r="F43" s="171" t="e">
        <f t="shared" si="7"/>
        <v>#NUM!</v>
      </c>
      <c r="G43" s="186">
        <f>IF('prijem - EUR'!$I$87=TRUE,IF($C$11&gt;0,0.00025*C42,0),IF('prijem - EUR'!$I$88=TRUE,IF('prijem - EUR'!$F$88&gt;0,0.00025*C42,0),0))</f>
        <v>0</v>
      </c>
      <c r="K43" s="89">
        <v>27</v>
      </c>
      <c r="L43" s="186" t="e">
        <f t="shared" si="11"/>
        <v>#DIV/0!</v>
      </c>
      <c r="M43" s="171" t="e">
        <f t="shared" si="3"/>
        <v>#DIV/0!</v>
      </c>
      <c r="N43" s="171" t="e">
        <f t="shared" si="4"/>
        <v>#DIV/0!</v>
      </c>
      <c r="O43" s="171" t="e">
        <f t="shared" si="8"/>
        <v>#DIV/0!</v>
      </c>
      <c r="P43" s="171" t="e">
        <f t="shared" si="9"/>
        <v>#DIV/0!</v>
      </c>
      <c r="Q43" s="186">
        <f>IF('prijem - EUR'!$I$87=TRUE,IF($C$11&gt;0,0.00025*M42,0),IF('prijem - EUR'!$I$88=TRUE,IF('prijem - EUR'!$F$88&gt;0,0.00025*M42*-1,0),0))</f>
        <v>0</v>
      </c>
    </row>
    <row r="44" spans="1:17" x14ac:dyDescent="0.2">
      <c r="A44" s="89">
        <v>28</v>
      </c>
      <c r="B44" s="186" t="e">
        <f t="shared" si="10"/>
        <v>#NUM!</v>
      </c>
      <c r="C44" s="171" t="e">
        <f t="shared" si="1"/>
        <v>#NUM!</v>
      </c>
      <c r="D44" s="171" t="e">
        <f t="shared" si="5"/>
        <v>#NUM!</v>
      </c>
      <c r="E44" s="171" t="e">
        <f t="shared" si="6"/>
        <v>#NUM!</v>
      </c>
      <c r="F44" s="171" t="e">
        <f t="shared" si="7"/>
        <v>#NUM!</v>
      </c>
      <c r="G44" s="186">
        <f>IF('prijem - EUR'!$I$87=TRUE,IF($C$11&gt;0,0.00025*C43,0),IF('prijem - EUR'!$I$88=TRUE,IF('prijem - EUR'!$F$88&gt;0,0.00025*C43,0),0))</f>
        <v>0</v>
      </c>
      <c r="K44" s="89">
        <v>28</v>
      </c>
      <c r="L44" s="186" t="e">
        <f t="shared" si="11"/>
        <v>#DIV/0!</v>
      </c>
      <c r="M44" s="171" t="e">
        <f t="shared" si="3"/>
        <v>#DIV/0!</v>
      </c>
      <c r="N44" s="171" t="e">
        <f t="shared" si="4"/>
        <v>#DIV/0!</v>
      </c>
      <c r="O44" s="171" t="e">
        <f t="shared" si="8"/>
        <v>#DIV/0!</v>
      </c>
      <c r="P44" s="171" t="e">
        <f t="shared" si="9"/>
        <v>#DIV/0!</v>
      </c>
      <c r="Q44" s="186">
        <f>IF('prijem - EUR'!$I$87=TRUE,IF($C$11&gt;0,0.00025*M43,0),IF('prijem - EUR'!$I$88=TRUE,IF('prijem - EUR'!$F$88&gt;0,0.00025*M43*-1,0),0))</f>
        <v>0</v>
      </c>
    </row>
    <row r="45" spans="1:17" x14ac:dyDescent="0.2">
      <c r="A45" s="89">
        <v>29</v>
      </c>
      <c r="B45" s="186" t="e">
        <f t="shared" si="10"/>
        <v>#NUM!</v>
      </c>
      <c r="C45" s="171" t="e">
        <f t="shared" si="1"/>
        <v>#NUM!</v>
      </c>
      <c r="D45" s="171" t="e">
        <f t="shared" si="5"/>
        <v>#NUM!</v>
      </c>
      <c r="E45" s="171" t="e">
        <f t="shared" si="6"/>
        <v>#NUM!</v>
      </c>
      <c r="F45" s="171" t="e">
        <f t="shared" si="7"/>
        <v>#NUM!</v>
      </c>
      <c r="G45" s="186">
        <f>IF('prijem - EUR'!$I$87=TRUE,IF($C$11&gt;0,0.00025*C44,0),IF('prijem - EUR'!$I$88=TRUE,IF('prijem - EUR'!$F$88&gt;0,0.00025*C44,0),0))</f>
        <v>0</v>
      </c>
      <c r="K45" s="89">
        <v>29</v>
      </c>
      <c r="L45" s="186" t="e">
        <f t="shared" si="11"/>
        <v>#DIV/0!</v>
      </c>
      <c r="M45" s="171" t="e">
        <f t="shared" si="3"/>
        <v>#DIV/0!</v>
      </c>
      <c r="N45" s="171" t="e">
        <f t="shared" si="4"/>
        <v>#DIV/0!</v>
      </c>
      <c r="O45" s="171" t="e">
        <f t="shared" si="8"/>
        <v>#DIV/0!</v>
      </c>
      <c r="P45" s="171" t="e">
        <f t="shared" si="9"/>
        <v>#DIV/0!</v>
      </c>
      <c r="Q45" s="186">
        <f>IF('prijem - EUR'!$I$87=TRUE,IF($C$11&gt;0,0.00025*M44,0),IF('prijem - EUR'!$I$88=TRUE,IF('prijem - EUR'!$F$88&gt;0,0.00025*M44*-1,0),0))</f>
        <v>0</v>
      </c>
    </row>
    <row r="46" spans="1:17" x14ac:dyDescent="0.2">
      <c r="A46" s="89">
        <v>30</v>
      </c>
      <c r="B46" s="186" t="e">
        <f t="shared" si="10"/>
        <v>#NUM!</v>
      </c>
      <c r="C46" s="171" t="e">
        <f t="shared" si="1"/>
        <v>#NUM!</v>
      </c>
      <c r="D46" s="171" t="e">
        <f t="shared" si="5"/>
        <v>#NUM!</v>
      </c>
      <c r="E46" s="171" t="e">
        <f t="shared" si="6"/>
        <v>#NUM!</v>
      </c>
      <c r="F46" s="171" t="e">
        <f t="shared" si="7"/>
        <v>#NUM!</v>
      </c>
      <c r="G46" s="186">
        <f>IF('prijem - EUR'!$I$87=TRUE,IF($C$11&gt;0,0.00025*C45,0),IF('prijem - EUR'!$I$88=TRUE,IF('prijem - EUR'!$F$88&gt;0,0.00025*C45,0),0))</f>
        <v>0</v>
      </c>
      <c r="K46" s="89">
        <v>30</v>
      </c>
      <c r="L46" s="186" t="e">
        <f t="shared" si="11"/>
        <v>#DIV/0!</v>
      </c>
      <c r="M46" s="171" t="e">
        <f t="shared" si="3"/>
        <v>#DIV/0!</v>
      </c>
      <c r="N46" s="171" t="e">
        <f t="shared" si="4"/>
        <v>#DIV/0!</v>
      </c>
      <c r="O46" s="171" t="e">
        <f t="shared" si="8"/>
        <v>#DIV/0!</v>
      </c>
      <c r="P46" s="171" t="e">
        <f t="shared" si="9"/>
        <v>#DIV/0!</v>
      </c>
      <c r="Q46" s="186">
        <f>IF('prijem - EUR'!$I$87=TRUE,IF($C$11&gt;0,0.00025*M45,0),IF('prijem - EUR'!$I$88=TRUE,IF('prijem - EUR'!$F$88&gt;0,0.00025*M45*-1,0),0))</f>
        <v>0</v>
      </c>
    </row>
    <row r="47" spans="1:17" x14ac:dyDescent="0.2">
      <c r="A47" s="89">
        <v>31</v>
      </c>
      <c r="B47" s="186" t="e">
        <f t="shared" si="10"/>
        <v>#NUM!</v>
      </c>
      <c r="C47" s="171" t="e">
        <f t="shared" si="1"/>
        <v>#NUM!</v>
      </c>
      <c r="D47" s="171" t="e">
        <f t="shared" si="5"/>
        <v>#NUM!</v>
      </c>
      <c r="E47" s="171" t="e">
        <f t="shared" si="6"/>
        <v>#NUM!</v>
      </c>
      <c r="F47" s="171" t="e">
        <f t="shared" si="7"/>
        <v>#NUM!</v>
      </c>
      <c r="G47" s="186">
        <f>IF('prijem - EUR'!$I$87=TRUE,IF($C$11&gt;0,0.00025*C46,0),IF('prijem - EUR'!$I$88=TRUE,IF('prijem - EUR'!$F$88&gt;0,0.00025*C46,0),0))</f>
        <v>0</v>
      </c>
      <c r="K47" s="89">
        <v>31</v>
      </c>
      <c r="L47" s="186" t="e">
        <f t="shared" si="11"/>
        <v>#DIV/0!</v>
      </c>
      <c r="M47" s="171" t="e">
        <f t="shared" si="3"/>
        <v>#DIV/0!</v>
      </c>
      <c r="N47" s="171" t="e">
        <f t="shared" si="4"/>
        <v>#DIV/0!</v>
      </c>
      <c r="O47" s="171" t="e">
        <f t="shared" si="8"/>
        <v>#DIV/0!</v>
      </c>
      <c r="P47" s="171" t="e">
        <f t="shared" si="9"/>
        <v>#DIV/0!</v>
      </c>
      <c r="Q47" s="186">
        <f>IF('prijem - EUR'!$I$87=TRUE,IF($C$11&gt;0,0.00025*M46,0),IF('prijem - EUR'!$I$88=TRUE,IF('prijem - EUR'!$F$88&gt;0,0.00025*M46*-1,0),0))</f>
        <v>0</v>
      </c>
    </row>
    <row r="48" spans="1:17" x14ac:dyDescent="0.2">
      <c r="A48" s="89">
        <v>32</v>
      </c>
      <c r="B48" s="186" t="e">
        <f t="shared" si="10"/>
        <v>#NUM!</v>
      </c>
      <c r="C48" s="171" t="e">
        <f t="shared" si="1"/>
        <v>#NUM!</v>
      </c>
      <c r="D48" s="171" t="e">
        <f t="shared" si="5"/>
        <v>#NUM!</v>
      </c>
      <c r="E48" s="171" t="e">
        <f t="shared" si="6"/>
        <v>#NUM!</v>
      </c>
      <c r="F48" s="171" t="e">
        <f t="shared" si="7"/>
        <v>#NUM!</v>
      </c>
      <c r="G48" s="186">
        <f>IF('prijem - EUR'!$I$87=TRUE,IF($C$11&gt;0,0.00025*C47,0),IF('prijem - EUR'!$I$88=TRUE,IF('prijem - EUR'!$F$88&gt;0,0.00025*C47,0),0))</f>
        <v>0</v>
      </c>
      <c r="K48" s="89">
        <v>32</v>
      </c>
      <c r="L48" s="186" t="e">
        <f t="shared" si="11"/>
        <v>#DIV/0!</v>
      </c>
      <c r="M48" s="171" t="e">
        <f t="shared" si="3"/>
        <v>#DIV/0!</v>
      </c>
      <c r="N48" s="171" t="e">
        <f t="shared" si="4"/>
        <v>#DIV/0!</v>
      </c>
      <c r="O48" s="171" t="e">
        <f t="shared" si="8"/>
        <v>#DIV/0!</v>
      </c>
      <c r="P48" s="171" t="e">
        <f t="shared" si="9"/>
        <v>#DIV/0!</v>
      </c>
      <c r="Q48" s="186">
        <f>IF('prijem - EUR'!$I$87=TRUE,IF($C$11&gt;0,0.00025*M47,0),IF('prijem - EUR'!$I$88=TRUE,IF('prijem - EUR'!$F$88&gt;0,0.00025*M47*-1,0),0))</f>
        <v>0</v>
      </c>
    </row>
    <row r="49" spans="1:17" x14ac:dyDescent="0.2">
      <c r="A49" s="89">
        <v>33</v>
      </c>
      <c r="B49" s="186" t="e">
        <f t="shared" si="10"/>
        <v>#NUM!</v>
      </c>
      <c r="C49" s="171" t="e">
        <f t="shared" si="1"/>
        <v>#NUM!</v>
      </c>
      <c r="D49" s="171" t="e">
        <f t="shared" si="5"/>
        <v>#NUM!</v>
      </c>
      <c r="E49" s="171" t="e">
        <f t="shared" si="6"/>
        <v>#NUM!</v>
      </c>
      <c r="F49" s="171" t="e">
        <f t="shared" si="7"/>
        <v>#NUM!</v>
      </c>
      <c r="G49" s="186">
        <f>IF('prijem - EUR'!$I$87=TRUE,IF($C$11&gt;0,0.00025*C48,0),IF('prijem - EUR'!$I$88=TRUE,IF('prijem - EUR'!$F$88&gt;0,0.00025*C48,0),0))</f>
        <v>0</v>
      </c>
      <c r="K49" s="89">
        <v>33</v>
      </c>
      <c r="L49" s="186" t="e">
        <f t="shared" si="11"/>
        <v>#DIV/0!</v>
      </c>
      <c r="M49" s="171" t="e">
        <f t="shared" si="3"/>
        <v>#DIV/0!</v>
      </c>
      <c r="N49" s="171" t="e">
        <f t="shared" si="4"/>
        <v>#DIV/0!</v>
      </c>
      <c r="O49" s="171" t="e">
        <f t="shared" si="8"/>
        <v>#DIV/0!</v>
      </c>
      <c r="P49" s="171" t="e">
        <f t="shared" si="9"/>
        <v>#DIV/0!</v>
      </c>
      <c r="Q49" s="186">
        <f>IF('prijem - EUR'!$I$87=TRUE,IF($C$11&gt;0,0.00025*M48,0),IF('prijem - EUR'!$I$88=TRUE,IF('prijem - EUR'!$F$88&gt;0,0.00025*M48*-1,0),0))</f>
        <v>0</v>
      </c>
    </row>
    <row r="50" spans="1:17" x14ac:dyDescent="0.2">
      <c r="A50" s="89">
        <v>34</v>
      </c>
      <c r="B50" s="186" t="e">
        <f t="shared" si="10"/>
        <v>#NUM!</v>
      </c>
      <c r="C50" s="171" t="e">
        <f t="shared" si="1"/>
        <v>#NUM!</v>
      </c>
      <c r="D50" s="171" t="e">
        <f t="shared" si="5"/>
        <v>#NUM!</v>
      </c>
      <c r="E50" s="171" t="e">
        <f t="shared" si="6"/>
        <v>#NUM!</v>
      </c>
      <c r="F50" s="171" t="e">
        <f t="shared" si="7"/>
        <v>#NUM!</v>
      </c>
      <c r="G50" s="186">
        <f>IF('prijem - EUR'!$I$87=TRUE,IF($C$11&gt;0,0.00025*C49,0),IF('prijem - EUR'!$I$88=TRUE,IF('prijem - EUR'!$F$88&gt;0,0.00025*C49,0),0))</f>
        <v>0</v>
      </c>
      <c r="K50" s="89">
        <v>34</v>
      </c>
      <c r="L50" s="186" t="e">
        <f t="shared" si="11"/>
        <v>#DIV/0!</v>
      </c>
      <c r="M50" s="171" t="e">
        <f t="shared" si="3"/>
        <v>#DIV/0!</v>
      </c>
      <c r="N50" s="171" t="e">
        <f t="shared" si="4"/>
        <v>#DIV/0!</v>
      </c>
      <c r="O50" s="171" t="e">
        <f t="shared" si="8"/>
        <v>#DIV/0!</v>
      </c>
      <c r="P50" s="171" t="e">
        <f t="shared" si="9"/>
        <v>#DIV/0!</v>
      </c>
      <c r="Q50" s="186">
        <f>IF('prijem - EUR'!$I$87=TRUE,IF($C$11&gt;0,0.00025*M49,0),IF('prijem - EUR'!$I$88=TRUE,IF('prijem - EUR'!$F$88&gt;0,0.00025*M49*-1,0),0))</f>
        <v>0</v>
      </c>
    </row>
    <row r="51" spans="1:17" x14ac:dyDescent="0.2">
      <c r="A51" s="89">
        <v>35</v>
      </c>
      <c r="B51" s="186" t="e">
        <f t="shared" si="10"/>
        <v>#NUM!</v>
      </c>
      <c r="C51" s="171" t="e">
        <f t="shared" si="1"/>
        <v>#NUM!</v>
      </c>
      <c r="D51" s="171" t="e">
        <f t="shared" si="5"/>
        <v>#NUM!</v>
      </c>
      <c r="E51" s="171" t="e">
        <f t="shared" si="6"/>
        <v>#NUM!</v>
      </c>
      <c r="F51" s="171" t="e">
        <f t="shared" si="7"/>
        <v>#NUM!</v>
      </c>
      <c r="G51" s="186">
        <f>IF('prijem - EUR'!$I$87=TRUE,IF($C$11&gt;0,0.00025*C50,0),IF('prijem - EUR'!$I$88=TRUE,IF('prijem - EUR'!$F$88&gt;0,0.00025*C50,0),0))</f>
        <v>0</v>
      </c>
      <c r="K51" s="89">
        <v>35</v>
      </c>
      <c r="L51" s="186" t="e">
        <f t="shared" si="11"/>
        <v>#DIV/0!</v>
      </c>
      <c r="M51" s="171" t="e">
        <f t="shared" si="3"/>
        <v>#DIV/0!</v>
      </c>
      <c r="N51" s="171" t="e">
        <f t="shared" si="4"/>
        <v>#DIV/0!</v>
      </c>
      <c r="O51" s="171" t="e">
        <f t="shared" si="8"/>
        <v>#DIV/0!</v>
      </c>
      <c r="P51" s="171" t="e">
        <f t="shared" si="9"/>
        <v>#DIV/0!</v>
      </c>
      <c r="Q51" s="186">
        <f>IF('prijem - EUR'!$I$87=TRUE,IF($C$11&gt;0,0.00025*M50,0),IF('prijem - EUR'!$I$88=TRUE,IF('prijem - EUR'!$F$88&gt;0,0.00025*M50*-1,0),0))</f>
        <v>0</v>
      </c>
    </row>
    <row r="52" spans="1:17" x14ac:dyDescent="0.2">
      <c r="A52" s="89">
        <v>36</v>
      </c>
      <c r="B52" s="186" t="e">
        <f t="shared" si="10"/>
        <v>#NUM!</v>
      </c>
      <c r="C52" s="171" t="e">
        <f t="shared" si="1"/>
        <v>#NUM!</v>
      </c>
      <c r="D52" s="171" t="e">
        <f t="shared" si="5"/>
        <v>#NUM!</v>
      </c>
      <c r="E52" s="171" t="e">
        <f t="shared" si="6"/>
        <v>#NUM!</v>
      </c>
      <c r="F52" s="171" t="e">
        <f t="shared" si="7"/>
        <v>#NUM!</v>
      </c>
      <c r="G52" s="186">
        <f>IF('prijem - EUR'!$I$87=TRUE,IF($C$11&gt;0,0.00025*C51,0),IF('prijem - EUR'!$I$88=TRUE,IF('prijem - EUR'!$F$88&gt;0,0.00025*C51,0),0))</f>
        <v>0</v>
      </c>
      <c r="K52" s="89">
        <v>36</v>
      </c>
      <c r="L52" s="186" t="e">
        <f t="shared" si="11"/>
        <v>#DIV/0!</v>
      </c>
      <c r="M52" s="171" t="e">
        <f t="shared" si="3"/>
        <v>#DIV/0!</v>
      </c>
      <c r="N52" s="171" t="e">
        <f t="shared" si="4"/>
        <v>#DIV/0!</v>
      </c>
      <c r="O52" s="171" t="e">
        <f t="shared" si="8"/>
        <v>#DIV/0!</v>
      </c>
      <c r="P52" s="171" t="e">
        <f t="shared" si="9"/>
        <v>#DIV/0!</v>
      </c>
      <c r="Q52" s="186">
        <f>IF('prijem - EUR'!$I$87=TRUE,IF($C$11&gt;0,0.00025*M51,0),IF('prijem - EUR'!$I$88=TRUE,IF('prijem - EUR'!$F$88&gt;0,0.00025*M51*-1,0),0))</f>
        <v>0</v>
      </c>
    </row>
    <row r="53" spans="1:17" x14ac:dyDescent="0.2">
      <c r="A53" s="89">
        <v>37</v>
      </c>
      <c r="B53" s="186" t="e">
        <f t="shared" si="10"/>
        <v>#NUM!</v>
      </c>
      <c r="C53" s="171" t="e">
        <f t="shared" si="1"/>
        <v>#NUM!</v>
      </c>
      <c r="D53" s="171" t="e">
        <f t="shared" si="5"/>
        <v>#NUM!</v>
      </c>
      <c r="E53" s="171" t="e">
        <f t="shared" si="6"/>
        <v>#NUM!</v>
      </c>
      <c r="F53" s="171" t="e">
        <f t="shared" si="7"/>
        <v>#NUM!</v>
      </c>
      <c r="G53" s="186">
        <f>IF('prijem - EUR'!$I$87=TRUE,IF($C$11&gt;0,0.00025*C52,0),IF('prijem - EUR'!$I$88=TRUE,IF('prijem - EUR'!$F$88&gt;0,0.00025*C52,0),0))</f>
        <v>0</v>
      </c>
      <c r="K53" s="89">
        <v>37</v>
      </c>
      <c r="L53" s="186" t="e">
        <f t="shared" si="11"/>
        <v>#DIV/0!</v>
      </c>
      <c r="M53" s="171" t="e">
        <f t="shared" si="3"/>
        <v>#DIV/0!</v>
      </c>
      <c r="N53" s="171" t="e">
        <f t="shared" si="4"/>
        <v>#DIV/0!</v>
      </c>
      <c r="O53" s="171" t="e">
        <f t="shared" si="8"/>
        <v>#DIV/0!</v>
      </c>
      <c r="P53" s="171" t="e">
        <f t="shared" si="9"/>
        <v>#DIV/0!</v>
      </c>
      <c r="Q53" s="186">
        <f>IF('prijem - EUR'!$I$87=TRUE,IF($C$11&gt;0,0.00025*M52,0),IF('prijem - EUR'!$I$88=TRUE,IF('prijem - EUR'!$F$88&gt;0,0.00025*M52*-1,0),0))</f>
        <v>0</v>
      </c>
    </row>
    <row r="54" spans="1:17" x14ac:dyDescent="0.2">
      <c r="A54" s="89">
        <v>38</v>
      </c>
      <c r="B54" s="186" t="e">
        <f t="shared" si="10"/>
        <v>#NUM!</v>
      </c>
      <c r="C54" s="171" t="e">
        <f t="shared" si="1"/>
        <v>#NUM!</v>
      </c>
      <c r="D54" s="171" t="e">
        <f t="shared" si="5"/>
        <v>#NUM!</v>
      </c>
      <c r="E54" s="171" t="e">
        <f t="shared" si="6"/>
        <v>#NUM!</v>
      </c>
      <c r="F54" s="171" t="e">
        <f t="shared" si="7"/>
        <v>#NUM!</v>
      </c>
      <c r="G54" s="186">
        <f>IF('prijem - EUR'!$I$87=TRUE,IF($C$11&gt;0,0.00025*C53,0),IF('prijem - EUR'!$I$88=TRUE,IF('prijem - EUR'!$F$88&gt;0,0.00025*C53,0),0))</f>
        <v>0</v>
      </c>
      <c r="K54" s="89">
        <v>38</v>
      </c>
      <c r="L54" s="186" t="e">
        <f t="shared" si="11"/>
        <v>#DIV/0!</v>
      </c>
      <c r="M54" s="171" t="e">
        <f t="shared" si="3"/>
        <v>#DIV/0!</v>
      </c>
      <c r="N54" s="171" t="e">
        <f t="shared" si="4"/>
        <v>#DIV/0!</v>
      </c>
      <c r="O54" s="171" t="e">
        <f t="shared" si="8"/>
        <v>#DIV/0!</v>
      </c>
      <c r="P54" s="171" t="e">
        <f t="shared" si="9"/>
        <v>#DIV/0!</v>
      </c>
      <c r="Q54" s="186">
        <f>IF('prijem - EUR'!$I$87=TRUE,IF($C$11&gt;0,0.00025*M53,0),IF('prijem - EUR'!$I$88=TRUE,IF('prijem - EUR'!$F$88&gt;0,0.00025*M53*-1,0),0))</f>
        <v>0</v>
      </c>
    </row>
    <row r="55" spans="1:17" x14ac:dyDescent="0.2">
      <c r="A55" s="89">
        <v>39</v>
      </c>
      <c r="B55" s="186" t="e">
        <f t="shared" si="10"/>
        <v>#NUM!</v>
      </c>
      <c r="C55" s="171" t="e">
        <f t="shared" si="1"/>
        <v>#NUM!</v>
      </c>
      <c r="D55" s="171" t="e">
        <f t="shared" si="5"/>
        <v>#NUM!</v>
      </c>
      <c r="E55" s="171" t="e">
        <f t="shared" si="6"/>
        <v>#NUM!</v>
      </c>
      <c r="F55" s="171" t="e">
        <f t="shared" si="7"/>
        <v>#NUM!</v>
      </c>
      <c r="G55" s="186">
        <f>IF('prijem - EUR'!$I$87=TRUE,IF($C$11&gt;0,0.00025*C54,0),IF('prijem - EUR'!$I$88=TRUE,IF('prijem - EUR'!$F$88&gt;0,0.00025*C54,0),0))</f>
        <v>0</v>
      </c>
      <c r="K55" s="89">
        <v>39</v>
      </c>
      <c r="L55" s="186" t="e">
        <f t="shared" si="11"/>
        <v>#DIV/0!</v>
      </c>
      <c r="M55" s="171" t="e">
        <f t="shared" si="3"/>
        <v>#DIV/0!</v>
      </c>
      <c r="N55" s="171" t="e">
        <f t="shared" si="4"/>
        <v>#DIV/0!</v>
      </c>
      <c r="O55" s="171" t="e">
        <f t="shared" si="8"/>
        <v>#DIV/0!</v>
      </c>
      <c r="P55" s="171" t="e">
        <f t="shared" si="9"/>
        <v>#DIV/0!</v>
      </c>
      <c r="Q55" s="186">
        <f>IF('prijem - EUR'!$I$87=TRUE,IF($C$11&gt;0,0.00025*M54,0),IF('prijem - EUR'!$I$88=TRUE,IF('prijem - EUR'!$F$88&gt;0,0.00025*M54*-1,0),0))</f>
        <v>0</v>
      </c>
    </row>
    <row r="56" spans="1:17" x14ac:dyDescent="0.2">
      <c r="A56" s="89">
        <v>40</v>
      </c>
      <c r="B56" s="186" t="e">
        <f t="shared" si="10"/>
        <v>#NUM!</v>
      </c>
      <c r="C56" s="171" t="e">
        <f t="shared" si="1"/>
        <v>#NUM!</v>
      </c>
      <c r="D56" s="171" t="e">
        <f t="shared" si="5"/>
        <v>#NUM!</v>
      </c>
      <c r="E56" s="171" t="e">
        <f t="shared" si="6"/>
        <v>#NUM!</v>
      </c>
      <c r="F56" s="171" t="e">
        <f t="shared" si="7"/>
        <v>#NUM!</v>
      </c>
      <c r="G56" s="186">
        <f>IF('prijem - EUR'!$I$87=TRUE,IF($C$11&gt;0,0.00025*C55,0),IF('prijem - EUR'!$I$88=TRUE,IF('prijem - EUR'!$F$88&gt;0,0.00025*C55,0),0))</f>
        <v>0</v>
      </c>
      <c r="K56" s="89">
        <v>40</v>
      </c>
      <c r="L56" s="186" t="e">
        <f t="shared" si="11"/>
        <v>#DIV/0!</v>
      </c>
      <c r="M56" s="171" t="e">
        <f t="shared" si="3"/>
        <v>#DIV/0!</v>
      </c>
      <c r="N56" s="171" t="e">
        <f t="shared" si="4"/>
        <v>#DIV/0!</v>
      </c>
      <c r="O56" s="171" t="e">
        <f t="shared" si="8"/>
        <v>#DIV/0!</v>
      </c>
      <c r="P56" s="171" t="e">
        <f t="shared" si="9"/>
        <v>#DIV/0!</v>
      </c>
      <c r="Q56" s="186">
        <f>IF('prijem - EUR'!$I$87=TRUE,IF($C$11&gt;0,0.00025*M55,0),IF('prijem - EUR'!$I$88=TRUE,IF('prijem - EUR'!$F$88&gt;0,0.00025*M55*-1,0),0))</f>
        <v>0</v>
      </c>
    </row>
    <row r="57" spans="1:17" x14ac:dyDescent="0.2">
      <c r="A57" s="89">
        <v>41</v>
      </c>
      <c r="B57" s="186" t="e">
        <f t="shared" si="10"/>
        <v>#NUM!</v>
      </c>
      <c r="C57" s="171" t="e">
        <f t="shared" si="1"/>
        <v>#NUM!</v>
      </c>
      <c r="D57" s="171" t="e">
        <f t="shared" si="5"/>
        <v>#NUM!</v>
      </c>
      <c r="E57" s="171" t="e">
        <f t="shared" si="6"/>
        <v>#NUM!</v>
      </c>
      <c r="F57" s="171" t="e">
        <f t="shared" si="7"/>
        <v>#NUM!</v>
      </c>
      <c r="G57" s="186">
        <f>IF('prijem - EUR'!$I$87=TRUE,IF($C$11&gt;0,0.00025*C56,0),IF('prijem - EUR'!$I$88=TRUE,IF('prijem - EUR'!$F$88&gt;0,0.00025*C56,0),0))</f>
        <v>0</v>
      </c>
      <c r="K57" s="89">
        <v>41</v>
      </c>
      <c r="L57" s="186" t="e">
        <f t="shared" si="11"/>
        <v>#DIV/0!</v>
      </c>
      <c r="M57" s="171" t="e">
        <f t="shared" si="3"/>
        <v>#DIV/0!</v>
      </c>
      <c r="N57" s="171" t="e">
        <f t="shared" si="4"/>
        <v>#DIV/0!</v>
      </c>
      <c r="O57" s="171" t="e">
        <f t="shared" si="8"/>
        <v>#DIV/0!</v>
      </c>
      <c r="P57" s="171" t="e">
        <f t="shared" si="9"/>
        <v>#DIV/0!</v>
      </c>
      <c r="Q57" s="186">
        <f>IF('prijem - EUR'!$I$87=TRUE,IF($C$11&gt;0,0.00025*M56,0),IF('prijem - EUR'!$I$88=TRUE,IF('prijem - EUR'!$F$88&gt;0,0.00025*M56*-1,0),0))</f>
        <v>0</v>
      </c>
    </row>
    <row r="58" spans="1:17" x14ac:dyDescent="0.2">
      <c r="A58" s="89">
        <v>42</v>
      </c>
      <c r="B58" s="186" t="e">
        <f t="shared" si="10"/>
        <v>#NUM!</v>
      </c>
      <c r="C58" s="171" t="e">
        <f t="shared" si="1"/>
        <v>#NUM!</v>
      </c>
      <c r="D58" s="171" t="e">
        <f t="shared" si="5"/>
        <v>#NUM!</v>
      </c>
      <c r="E58" s="171" t="e">
        <f t="shared" si="6"/>
        <v>#NUM!</v>
      </c>
      <c r="F58" s="171" t="e">
        <f t="shared" si="7"/>
        <v>#NUM!</v>
      </c>
      <c r="G58" s="186">
        <f>IF('prijem - EUR'!$I$87=TRUE,IF($C$11&gt;0,0.00025*C57,0),IF('prijem - EUR'!$I$88=TRUE,IF('prijem - EUR'!$F$88&gt;0,0.00025*C57,0),0))</f>
        <v>0</v>
      </c>
      <c r="K58" s="89">
        <v>42</v>
      </c>
      <c r="L58" s="186" t="e">
        <f t="shared" si="11"/>
        <v>#DIV/0!</v>
      </c>
      <c r="M58" s="171" t="e">
        <f t="shared" si="3"/>
        <v>#DIV/0!</v>
      </c>
      <c r="N58" s="171" t="e">
        <f t="shared" si="4"/>
        <v>#DIV/0!</v>
      </c>
      <c r="O58" s="171" t="e">
        <f t="shared" si="8"/>
        <v>#DIV/0!</v>
      </c>
      <c r="P58" s="171" t="e">
        <f t="shared" si="9"/>
        <v>#DIV/0!</v>
      </c>
      <c r="Q58" s="186">
        <f>IF('prijem - EUR'!$I$87=TRUE,IF($C$11&gt;0,0.00025*M57,0),IF('prijem - EUR'!$I$88=TRUE,IF('prijem - EUR'!$F$88&gt;0,0.00025*M57*-1,0),0))</f>
        <v>0</v>
      </c>
    </row>
    <row r="59" spans="1:17" x14ac:dyDescent="0.2">
      <c r="A59" s="89">
        <v>43</v>
      </c>
      <c r="B59" s="186" t="e">
        <f t="shared" si="10"/>
        <v>#NUM!</v>
      </c>
      <c r="C59" s="171" t="e">
        <f t="shared" si="1"/>
        <v>#NUM!</v>
      </c>
      <c r="D59" s="171" t="e">
        <f t="shared" si="5"/>
        <v>#NUM!</v>
      </c>
      <c r="E59" s="171" t="e">
        <f t="shared" si="6"/>
        <v>#NUM!</v>
      </c>
      <c r="F59" s="171" t="e">
        <f t="shared" si="7"/>
        <v>#NUM!</v>
      </c>
      <c r="G59" s="186">
        <f>IF('prijem - EUR'!$I$87=TRUE,IF($C$11&gt;0,0.00025*C58,0),IF('prijem - EUR'!$I$88=TRUE,IF('prijem - EUR'!$F$88&gt;0,0.00025*C58,0),0))</f>
        <v>0</v>
      </c>
      <c r="K59" s="89">
        <v>43</v>
      </c>
      <c r="L59" s="186" t="e">
        <f t="shared" si="11"/>
        <v>#DIV/0!</v>
      </c>
      <c r="M59" s="171" t="e">
        <f t="shared" si="3"/>
        <v>#DIV/0!</v>
      </c>
      <c r="N59" s="171" t="e">
        <f t="shared" si="4"/>
        <v>#DIV/0!</v>
      </c>
      <c r="O59" s="171" t="e">
        <f t="shared" si="8"/>
        <v>#DIV/0!</v>
      </c>
      <c r="P59" s="171" t="e">
        <f t="shared" si="9"/>
        <v>#DIV/0!</v>
      </c>
      <c r="Q59" s="186">
        <f>IF('prijem - EUR'!$I$87=TRUE,IF($C$11&gt;0,0.00025*M58,0),IF('prijem - EUR'!$I$88=TRUE,IF('prijem - EUR'!$F$88&gt;0,0.00025*M58*-1,0),0))</f>
        <v>0</v>
      </c>
    </row>
    <row r="60" spans="1:17" x14ac:dyDescent="0.2">
      <c r="A60" s="89">
        <v>44</v>
      </c>
      <c r="B60" s="186" t="e">
        <f t="shared" si="10"/>
        <v>#NUM!</v>
      </c>
      <c r="C60" s="171" t="e">
        <f t="shared" si="1"/>
        <v>#NUM!</v>
      </c>
      <c r="D60" s="171" t="e">
        <f t="shared" si="5"/>
        <v>#NUM!</v>
      </c>
      <c r="E60" s="171" t="e">
        <f t="shared" si="6"/>
        <v>#NUM!</v>
      </c>
      <c r="F60" s="171" t="e">
        <f t="shared" si="7"/>
        <v>#NUM!</v>
      </c>
      <c r="G60" s="186">
        <f>IF('prijem - EUR'!$I$87=TRUE,IF($C$11&gt;0,0.00025*C59,0),IF('prijem - EUR'!$I$88=TRUE,IF('prijem - EUR'!$F$88&gt;0,0.00025*C59,0),0))</f>
        <v>0</v>
      </c>
      <c r="K60" s="89">
        <v>44</v>
      </c>
      <c r="L60" s="186" t="e">
        <f t="shared" si="11"/>
        <v>#DIV/0!</v>
      </c>
      <c r="M60" s="171" t="e">
        <f t="shared" si="3"/>
        <v>#DIV/0!</v>
      </c>
      <c r="N60" s="171" t="e">
        <f t="shared" si="4"/>
        <v>#DIV/0!</v>
      </c>
      <c r="O60" s="171" t="e">
        <f t="shared" si="8"/>
        <v>#DIV/0!</v>
      </c>
      <c r="P60" s="171" t="e">
        <f t="shared" si="9"/>
        <v>#DIV/0!</v>
      </c>
      <c r="Q60" s="186">
        <f>IF('prijem - EUR'!$I$87=TRUE,IF($C$11&gt;0,0.00025*M59,0),IF('prijem - EUR'!$I$88=TRUE,IF('prijem - EUR'!$F$88&gt;0,0.00025*M59*-1,0),0))</f>
        <v>0</v>
      </c>
    </row>
    <row r="61" spans="1:17" x14ac:dyDescent="0.2">
      <c r="A61" s="89">
        <v>45</v>
      </c>
      <c r="B61" s="186" t="e">
        <f t="shared" si="10"/>
        <v>#NUM!</v>
      </c>
      <c r="C61" s="171" t="e">
        <f t="shared" si="1"/>
        <v>#NUM!</v>
      </c>
      <c r="D61" s="171" t="e">
        <f t="shared" si="5"/>
        <v>#NUM!</v>
      </c>
      <c r="E61" s="171" t="e">
        <f t="shared" si="6"/>
        <v>#NUM!</v>
      </c>
      <c r="F61" s="171" t="e">
        <f t="shared" si="7"/>
        <v>#NUM!</v>
      </c>
      <c r="G61" s="186">
        <f>IF('prijem - EUR'!$I$87=TRUE,IF($C$11&gt;0,0.00025*C60,0),IF('prijem - EUR'!$I$88=TRUE,IF('prijem - EUR'!$F$88&gt;0,0.00025*C60,0),0))</f>
        <v>0</v>
      </c>
      <c r="K61" s="89">
        <v>45</v>
      </c>
      <c r="L61" s="186" t="e">
        <f t="shared" si="11"/>
        <v>#DIV/0!</v>
      </c>
      <c r="M61" s="171" t="e">
        <f t="shared" si="3"/>
        <v>#DIV/0!</v>
      </c>
      <c r="N61" s="171" t="e">
        <f t="shared" si="4"/>
        <v>#DIV/0!</v>
      </c>
      <c r="O61" s="171" t="e">
        <f t="shared" si="8"/>
        <v>#DIV/0!</v>
      </c>
      <c r="P61" s="171" t="e">
        <f t="shared" si="9"/>
        <v>#DIV/0!</v>
      </c>
      <c r="Q61" s="186">
        <f>IF('prijem - EUR'!$I$87=TRUE,IF($C$11&gt;0,0.00025*M60,0),IF('prijem - EUR'!$I$88=TRUE,IF('prijem - EUR'!$F$88&gt;0,0.00025*M60*-1,0),0))</f>
        <v>0</v>
      </c>
    </row>
    <row r="62" spans="1:17" x14ac:dyDescent="0.2">
      <c r="A62" s="89">
        <v>46</v>
      </c>
      <c r="B62" s="186" t="e">
        <f t="shared" si="10"/>
        <v>#NUM!</v>
      </c>
      <c r="C62" s="171" t="e">
        <f t="shared" si="1"/>
        <v>#NUM!</v>
      </c>
      <c r="D62" s="171" t="e">
        <f t="shared" si="5"/>
        <v>#NUM!</v>
      </c>
      <c r="E62" s="171" t="e">
        <f t="shared" si="6"/>
        <v>#NUM!</v>
      </c>
      <c r="F62" s="171" t="e">
        <f t="shared" si="7"/>
        <v>#NUM!</v>
      </c>
      <c r="G62" s="186">
        <f>IF('prijem - EUR'!$I$87=TRUE,IF($C$11&gt;0,0.00025*C61,0),IF('prijem - EUR'!$I$88=TRUE,IF('prijem - EUR'!$F$88&gt;0,0.00025*C61,0),0))</f>
        <v>0</v>
      </c>
      <c r="K62" s="89">
        <v>46</v>
      </c>
      <c r="L62" s="186" t="e">
        <f t="shared" si="11"/>
        <v>#DIV/0!</v>
      </c>
      <c r="M62" s="171" t="e">
        <f t="shared" si="3"/>
        <v>#DIV/0!</v>
      </c>
      <c r="N62" s="171" t="e">
        <f t="shared" si="4"/>
        <v>#DIV/0!</v>
      </c>
      <c r="O62" s="171" t="e">
        <f t="shared" si="8"/>
        <v>#DIV/0!</v>
      </c>
      <c r="P62" s="171" t="e">
        <f t="shared" si="9"/>
        <v>#DIV/0!</v>
      </c>
      <c r="Q62" s="186">
        <f>IF('prijem - EUR'!$I$87=TRUE,IF($C$11&gt;0,0.00025*M61,0),IF('prijem - EUR'!$I$88=TRUE,IF('prijem - EUR'!$F$88&gt;0,0.00025*M61*-1,0),0))</f>
        <v>0</v>
      </c>
    </row>
    <row r="63" spans="1:17" x14ac:dyDescent="0.2">
      <c r="A63" s="89">
        <v>47</v>
      </c>
      <c r="B63" s="186" t="e">
        <f t="shared" si="10"/>
        <v>#NUM!</v>
      </c>
      <c r="C63" s="171" t="e">
        <f t="shared" si="1"/>
        <v>#NUM!</v>
      </c>
      <c r="D63" s="171" t="e">
        <f t="shared" si="5"/>
        <v>#NUM!</v>
      </c>
      <c r="E63" s="171" t="e">
        <f t="shared" si="6"/>
        <v>#NUM!</v>
      </c>
      <c r="F63" s="171" t="e">
        <f t="shared" si="7"/>
        <v>#NUM!</v>
      </c>
      <c r="G63" s="186">
        <f>IF('prijem - EUR'!$I$87=TRUE,IF($C$11&gt;0,0.00025*C62,0),IF('prijem - EUR'!$I$88=TRUE,IF('prijem - EUR'!$F$88&gt;0,0.00025*C62,0),0))</f>
        <v>0</v>
      </c>
      <c r="K63" s="89">
        <v>47</v>
      </c>
      <c r="L63" s="186" t="e">
        <f t="shared" si="11"/>
        <v>#DIV/0!</v>
      </c>
      <c r="M63" s="171" t="e">
        <f t="shared" si="3"/>
        <v>#DIV/0!</v>
      </c>
      <c r="N63" s="171" t="e">
        <f t="shared" si="4"/>
        <v>#DIV/0!</v>
      </c>
      <c r="O63" s="171" t="e">
        <f t="shared" si="8"/>
        <v>#DIV/0!</v>
      </c>
      <c r="P63" s="171" t="e">
        <f t="shared" si="9"/>
        <v>#DIV/0!</v>
      </c>
      <c r="Q63" s="186">
        <f>IF('prijem - EUR'!$I$87=TRUE,IF($C$11&gt;0,0.00025*M62,0),IF('prijem - EUR'!$I$88=TRUE,IF('prijem - EUR'!$F$88&gt;0,0.00025*M62*-1,0),0))</f>
        <v>0</v>
      </c>
    </row>
    <row r="64" spans="1:17" x14ac:dyDescent="0.2">
      <c r="A64" s="89">
        <v>48</v>
      </c>
      <c r="B64" s="186" t="e">
        <f t="shared" si="10"/>
        <v>#NUM!</v>
      </c>
      <c r="C64" s="171" t="e">
        <f t="shared" si="1"/>
        <v>#NUM!</v>
      </c>
      <c r="D64" s="171" t="e">
        <f t="shared" si="5"/>
        <v>#NUM!</v>
      </c>
      <c r="E64" s="171" t="e">
        <f t="shared" si="6"/>
        <v>#NUM!</v>
      </c>
      <c r="F64" s="171" t="e">
        <f t="shared" si="7"/>
        <v>#NUM!</v>
      </c>
      <c r="G64" s="186">
        <f>IF('prijem - EUR'!$I$87=TRUE,IF($C$11&gt;0,0.00025*C63,0),IF('prijem - EUR'!$I$88=TRUE,IF('prijem - EUR'!$F$88&gt;0,0.00025*C63,0),0))</f>
        <v>0</v>
      </c>
      <c r="K64" s="89">
        <v>48</v>
      </c>
      <c r="L64" s="186" t="e">
        <f t="shared" si="11"/>
        <v>#DIV/0!</v>
      </c>
      <c r="M64" s="171" t="e">
        <f t="shared" si="3"/>
        <v>#DIV/0!</v>
      </c>
      <c r="N64" s="171" t="e">
        <f t="shared" si="4"/>
        <v>#DIV/0!</v>
      </c>
      <c r="O64" s="171" t="e">
        <f t="shared" si="8"/>
        <v>#DIV/0!</v>
      </c>
      <c r="P64" s="171" t="e">
        <f t="shared" si="9"/>
        <v>#DIV/0!</v>
      </c>
      <c r="Q64" s="186">
        <f>IF('prijem - EUR'!$I$87=TRUE,IF($C$11&gt;0,0.00025*M63,0),IF('prijem - EUR'!$I$88=TRUE,IF('prijem - EUR'!$F$88&gt;0,0.00025*M63*-1,0),0))</f>
        <v>0</v>
      </c>
    </row>
    <row r="65" spans="1:17" x14ac:dyDescent="0.2">
      <c r="A65" s="89">
        <v>49</v>
      </c>
      <c r="B65" s="186" t="e">
        <f t="shared" si="10"/>
        <v>#NUM!</v>
      </c>
      <c r="C65" s="171" t="e">
        <f t="shared" si="1"/>
        <v>#NUM!</v>
      </c>
      <c r="D65" s="171" t="e">
        <f t="shared" si="5"/>
        <v>#NUM!</v>
      </c>
      <c r="E65" s="171" t="e">
        <f t="shared" si="6"/>
        <v>#NUM!</v>
      </c>
      <c r="F65" s="171" t="e">
        <f t="shared" si="7"/>
        <v>#NUM!</v>
      </c>
      <c r="G65" s="186">
        <f>IF('prijem - EUR'!$I$87=TRUE,IF($C$11&gt;0,0.00025*C64,0),IF('prijem - EUR'!$I$88=TRUE,IF('prijem - EUR'!$F$88&gt;0,0.00025*C64,0),0))</f>
        <v>0</v>
      </c>
      <c r="K65" s="89">
        <v>49</v>
      </c>
      <c r="L65" s="186" t="e">
        <f t="shared" si="11"/>
        <v>#DIV/0!</v>
      </c>
      <c r="M65" s="171" t="e">
        <f t="shared" si="3"/>
        <v>#DIV/0!</v>
      </c>
      <c r="N65" s="171" t="e">
        <f t="shared" si="4"/>
        <v>#DIV/0!</v>
      </c>
      <c r="O65" s="171" t="e">
        <f t="shared" si="8"/>
        <v>#DIV/0!</v>
      </c>
      <c r="P65" s="171" t="e">
        <f t="shared" si="9"/>
        <v>#DIV/0!</v>
      </c>
      <c r="Q65" s="186">
        <f>IF('prijem - EUR'!$I$87=TRUE,IF($C$11&gt;0,0.00025*M64,0),IF('prijem - EUR'!$I$88=TRUE,IF('prijem - EUR'!$F$88&gt;0,0.00025*M64*-1,0),0))</f>
        <v>0</v>
      </c>
    </row>
    <row r="66" spans="1:17" x14ac:dyDescent="0.2">
      <c r="A66" s="89">
        <v>50</v>
      </c>
      <c r="B66" s="186" t="e">
        <f t="shared" si="10"/>
        <v>#NUM!</v>
      </c>
      <c r="C66" s="171" t="e">
        <f t="shared" si="1"/>
        <v>#NUM!</v>
      </c>
      <c r="D66" s="171" t="e">
        <f t="shared" si="5"/>
        <v>#NUM!</v>
      </c>
      <c r="E66" s="171" t="e">
        <f t="shared" si="6"/>
        <v>#NUM!</v>
      </c>
      <c r="F66" s="171" t="e">
        <f t="shared" si="7"/>
        <v>#NUM!</v>
      </c>
      <c r="G66" s="186">
        <f>IF('prijem - EUR'!$I$87=TRUE,IF($C$11&gt;0,0.00025*C65,0),IF('prijem - EUR'!$I$88=TRUE,IF('prijem - EUR'!$F$88&gt;0,0.00025*C65,0),0))</f>
        <v>0</v>
      </c>
      <c r="K66" s="89">
        <v>50</v>
      </c>
      <c r="L66" s="186" t="e">
        <f t="shared" si="11"/>
        <v>#DIV/0!</v>
      </c>
      <c r="M66" s="171" t="e">
        <f t="shared" si="3"/>
        <v>#DIV/0!</v>
      </c>
      <c r="N66" s="171" t="e">
        <f t="shared" si="4"/>
        <v>#DIV/0!</v>
      </c>
      <c r="O66" s="171" t="e">
        <f t="shared" si="8"/>
        <v>#DIV/0!</v>
      </c>
      <c r="P66" s="171" t="e">
        <f t="shared" si="9"/>
        <v>#DIV/0!</v>
      </c>
      <c r="Q66" s="186">
        <f>IF('prijem - EUR'!$I$87=TRUE,IF($C$11&gt;0,0.00025*M65,0),IF('prijem - EUR'!$I$88=TRUE,IF('prijem - EUR'!$F$88&gt;0,0.00025*M65*-1,0),0))</f>
        <v>0</v>
      </c>
    </row>
    <row r="67" spans="1:17" x14ac:dyDescent="0.2">
      <c r="A67" s="89">
        <v>51</v>
      </c>
      <c r="B67" s="186" t="e">
        <f t="shared" si="10"/>
        <v>#NUM!</v>
      </c>
      <c r="C67" s="171" t="e">
        <f t="shared" si="1"/>
        <v>#NUM!</v>
      </c>
      <c r="D67" s="171" t="e">
        <f t="shared" si="5"/>
        <v>#NUM!</v>
      </c>
      <c r="E67" s="171" t="e">
        <f t="shared" si="6"/>
        <v>#NUM!</v>
      </c>
      <c r="F67" s="171" t="e">
        <f t="shared" si="7"/>
        <v>#NUM!</v>
      </c>
      <c r="G67" s="186">
        <f>IF('prijem - EUR'!$I$87=TRUE,IF($C$11&gt;0,0.00025*C66,0),IF('prijem - EUR'!$I$88=TRUE,IF('prijem - EUR'!$F$88&gt;0,0.00025*C66,0),0))</f>
        <v>0</v>
      </c>
      <c r="K67" s="89">
        <v>51</v>
      </c>
      <c r="L67" s="186" t="e">
        <f t="shared" si="11"/>
        <v>#DIV/0!</v>
      </c>
      <c r="M67" s="171" t="e">
        <f t="shared" si="3"/>
        <v>#DIV/0!</v>
      </c>
      <c r="N67" s="171" t="e">
        <f t="shared" si="4"/>
        <v>#DIV/0!</v>
      </c>
      <c r="O67" s="171" t="e">
        <f t="shared" si="8"/>
        <v>#DIV/0!</v>
      </c>
      <c r="P67" s="171" t="e">
        <f t="shared" si="9"/>
        <v>#DIV/0!</v>
      </c>
      <c r="Q67" s="186">
        <f>IF('prijem - EUR'!$I$87=TRUE,IF($C$11&gt;0,0.00025*M66,0),IF('prijem - EUR'!$I$88=TRUE,IF('prijem - EUR'!$F$88&gt;0,0.00025*M66*-1,0),0))</f>
        <v>0</v>
      </c>
    </row>
    <row r="68" spans="1:17" x14ac:dyDescent="0.2">
      <c r="A68" s="89">
        <v>52</v>
      </c>
      <c r="B68" s="186" t="e">
        <f t="shared" si="10"/>
        <v>#NUM!</v>
      </c>
      <c r="C68" s="171" t="e">
        <f t="shared" si="1"/>
        <v>#NUM!</v>
      </c>
      <c r="D68" s="171" t="e">
        <f t="shared" si="5"/>
        <v>#NUM!</v>
      </c>
      <c r="E68" s="171" t="e">
        <f t="shared" si="6"/>
        <v>#NUM!</v>
      </c>
      <c r="F68" s="171" t="e">
        <f t="shared" si="7"/>
        <v>#NUM!</v>
      </c>
      <c r="G68" s="186">
        <f>IF('prijem - EUR'!$I$87=TRUE,IF($C$11&gt;0,0.00025*C67,0),IF('prijem - EUR'!$I$88=TRUE,IF('prijem - EUR'!$F$88&gt;0,0.00025*C67,0),0))</f>
        <v>0</v>
      </c>
      <c r="K68" s="89">
        <v>52</v>
      </c>
      <c r="L68" s="186" t="e">
        <f t="shared" si="11"/>
        <v>#DIV/0!</v>
      </c>
      <c r="M68" s="171" t="e">
        <f t="shared" si="3"/>
        <v>#DIV/0!</v>
      </c>
      <c r="N68" s="171" t="e">
        <f t="shared" si="4"/>
        <v>#DIV/0!</v>
      </c>
      <c r="O68" s="171" t="e">
        <f t="shared" si="8"/>
        <v>#DIV/0!</v>
      </c>
      <c r="P68" s="171" t="e">
        <f t="shared" si="9"/>
        <v>#DIV/0!</v>
      </c>
      <c r="Q68" s="186">
        <f>IF('prijem - EUR'!$I$87=TRUE,IF($C$11&gt;0,0.00025*M67,0),IF('prijem - EUR'!$I$88=TRUE,IF('prijem - EUR'!$F$88&gt;0,0.00025*M67*-1,0),0))</f>
        <v>0</v>
      </c>
    </row>
    <row r="69" spans="1:17" x14ac:dyDescent="0.2">
      <c r="A69" s="89">
        <v>53</v>
      </c>
      <c r="B69" s="186" t="e">
        <f t="shared" si="10"/>
        <v>#NUM!</v>
      </c>
      <c r="C69" s="171" t="e">
        <f t="shared" si="1"/>
        <v>#NUM!</v>
      </c>
      <c r="D69" s="171" t="e">
        <f t="shared" si="5"/>
        <v>#NUM!</v>
      </c>
      <c r="E69" s="171" t="e">
        <f t="shared" si="6"/>
        <v>#NUM!</v>
      </c>
      <c r="F69" s="171" t="e">
        <f t="shared" si="7"/>
        <v>#NUM!</v>
      </c>
      <c r="G69" s="186">
        <f>IF('prijem - EUR'!$I$87=TRUE,IF($C$11&gt;0,0.00025*C68,0),IF('prijem - EUR'!$I$88=TRUE,IF('prijem - EUR'!$F$88&gt;0,0.00025*C68,0),0))</f>
        <v>0</v>
      </c>
      <c r="K69" s="89">
        <v>53</v>
      </c>
      <c r="L69" s="186" t="e">
        <f t="shared" si="11"/>
        <v>#DIV/0!</v>
      </c>
      <c r="M69" s="171" t="e">
        <f t="shared" si="3"/>
        <v>#DIV/0!</v>
      </c>
      <c r="N69" s="171" t="e">
        <f t="shared" si="4"/>
        <v>#DIV/0!</v>
      </c>
      <c r="O69" s="171" t="e">
        <f t="shared" si="8"/>
        <v>#DIV/0!</v>
      </c>
      <c r="P69" s="171" t="e">
        <f t="shared" si="9"/>
        <v>#DIV/0!</v>
      </c>
      <c r="Q69" s="186">
        <f>IF('prijem - EUR'!$I$87=TRUE,IF($C$11&gt;0,0.00025*M68,0),IF('prijem - EUR'!$I$88=TRUE,IF('prijem - EUR'!$F$88&gt;0,0.00025*M68*-1,0),0))</f>
        <v>0</v>
      </c>
    </row>
    <row r="70" spans="1:17" x14ac:dyDescent="0.2">
      <c r="A70" s="89">
        <v>54</v>
      </c>
      <c r="B70" s="186" t="e">
        <f t="shared" si="10"/>
        <v>#NUM!</v>
      </c>
      <c r="C70" s="171" t="e">
        <f t="shared" si="1"/>
        <v>#NUM!</v>
      </c>
      <c r="D70" s="171" t="e">
        <f t="shared" si="5"/>
        <v>#NUM!</v>
      </c>
      <c r="E70" s="171" t="e">
        <f t="shared" si="6"/>
        <v>#NUM!</v>
      </c>
      <c r="F70" s="171" t="e">
        <f t="shared" si="7"/>
        <v>#NUM!</v>
      </c>
      <c r="G70" s="186">
        <f>IF('prijem - EUR'!$I$87=TRUE,IF($C$11&gt;0,0.00025*C69,0),IF('prijem - EUR'!$I$88=TRUE,IF('prijem - EUR'!$F$88&gt;0,0.00025*C69,0),0))</f>
        <v>0</v>
      </c>
      <c r="K70" s="89">
        <v>54</v>
      </c>
      <c r="L70" s="186" t="e">
        <f t="shared" si="11"/>
        <v>#DIV/0!</v>
      </c>
      <c r="M70" s="171" t="e">
        <f t="shared" si="3"/>
        <v>#DIV/0!</v>
      </c>
      <c r="N70" s="171" t="e">
        <f t="shared" si="4"/>
        <v>#DIV/0!</v>
      </c>
      <c r="O70" s="171" t="e">
        <f t="shared" si="8"/>
        <v>#DIV/0!</v>
      </c>
      <c r="P70" s="171" t="e">
        <f t="shared" si="9"/>
        <v>#DIV/0!</v>
      </c>
      <c r="Q70" s="186">
        <f>IF('prijem - EUR'!$I$87=TRUE,IF($C$11&gt;0,0.00025*M69,0),IF('prijem - EUR'!$I$88=TRUE,IF('prijem - EUR'!$F$88&gt;0,0.00025*M69*-1,0),0))</f>
        <v>0</v>
      </c>
    </row>
    <row r="71" spans="1:17" x14ac:dyDescent="0.2">
      <c r="A71" s="89">
        <v>55</v>
      </c>
      <c r="B71" s="186" t="e">
        <f t="shared" si="10"/>
        <v>#NUM!</v>
      </c>
      <c r="C71" s="171" t="e">
        <f t="shared" si="1"/>
        <v>#NUM!</v>
      </c>
      <c r="D71" s="171" t="e">
        <f t="shared" si="5"/>
        <v>#NUM!</v>
      </c>
      <c r="E71" s="171" t="e">
        <f t="shared" si="6"/>
        <v>#NUM!</v>
      </c>
      <c r="F71" s="171" t="e">
        <f t="shared" si="7"/>
        <v>#NUM!</v>
      </c>
      <c r="G71" s="186">
        <f>IF('prijem - EUR'!$I$87=TRUE,IF($C$11&gt;0,0.00025*C70,0),IF('prijem - EUR'!$I$88=TRUE,IF('prijem - EUR'!$F$88&gt;0,0.00025*C70,0),0))</f>
        <v>0</v>
      </c>
      <c r="K71" s="89">
        <v>55</v>
      </c>
      <c r="L71" s="186" t="e">
        <f t="shared" si="11"/>
        <v>#DIV/0!</v>
      </c>
      <c r="M71" s="171" t="e">
        <f t="shared" si="3"/>
        <v>#DIV/0!</v>
      </c>
      <c r="N71" s="171" t="e">
        <f t="shared" si="4"/>
        <v>#DIV/0!</v>
      </c>
      <c r="O71" s="171" t="e">
        <f t="shared" si="8"/>
        <v>#DIV/0!</v>
      </c>
      <c r="P71" s="171" t="e">
        <f t="shared" si="9"/>
        <v>#DIV/0!</v>
      </c>
      <c r="Q71" s="186">
        <f>IF('prijem - EUR'!$I$87=TRUE,IF($C$11&gt;0,0.00025*M70,0),IF('prijem - EUR'!$I$88=TRUE,IF('prijem - EUR'!$F$88&gt;0,0.00025*M70*-1,0),0))</f>
        <v>0</v>
      </c>
    </row>
    <row r="72" spans="1:17" x14ac:dyDescent="0.2">
      <c r="A72" s="89">
        <v>56</v>
      </c>
      <c r="B72" s="186" t="e">
        <f t="shared" si="10"/>
        <v>#NUM!</v>
      </c>
      <c r="C72" s="171" t="e">
        <f t="shared" si="1"/>
        <v>#NUM!</v>
      </c>
      <c r="D72" s="171" t="e">
        <f t="shared" si="5"/>
        <v>#NUM!</v>
      </c>
      <c r="E72" s="171" t="e">
        <f t="shared" si="6"/>
        <v>#NUM!</v>
      </c>
      <c r="F72" s="171" t="e">
        <f t="shared" si="7"/>
        <v>#NUM!</v>
      </c>
      <c r="G72" s="186">
        <f>IF('prijem - EUR'!$I$87=TRUE,IF($C$11&gt;0,0.00025*C71,0),IF('prijem - EUR'!$I$88=TRUE,IF('prijem - EUR'!$F$88&gt;0,0.00025*C71,0),0))</f>
        <v>0</v>
      </c>
      <c r="K72" s="89">
        <v>56</v>
      </c>
      <c r="L72" s="186" t="e">
        <f t="shared" si="11"/>
        <v>#DIV/0!</v>
      </c>
      <c r="M72" s="171" t="e">
        <f t="shared" si="3"/>
        <v>#DIV/0!</v>
      </c>
      <c r="N72" s="171" t="e">
        <f t="shared" si="4"/>
        <v>#DIV/0!</v>
      </c>
      <c r="O72" s="171" t="e">
        <f t="shared" si="8"/>
        <v>#DIV/0!</v>
      </c>
      <c r="P72" s="171" t="e">
        <f t="shared" si="9"/>
        <v>#DIV/0!</v>
      </c>
      <c r="Q72" s="186">
        <f>IF('prijem - EUR'!$I$87=TRUE,IF($C$11&gt;0,0.00025*M71,0),IF('prijem - EUR'!$I$88=TRUE,IF('prijem - EUR'!$F$88&gt;0,0.00025*M71*-1,0),0))</f>
        <v>0</v>
      </c>
    </row>
    <row r="73" spans="1:17" x14ac:dyDescent="0.2">
      <c r="A73" s="89">
        <v>57</v>
      </c>
      <c r="B73" s="186" t="e">
        <f t="shared" si="10"/>
        <v>#NUM!</v>
      </c>
      <c r="C73" s="171" t="e">
        <f t="shared" si="1"/>
        <v>#NUM!</v>
      </c>
      <c r="D73" s="171" t="e">
        <f t="shared" si="5"/>
        <v>#NUM!</v>
      </c>
      <c r="E73" s="171" t="e">
        <f t="shared" si="6"/>
        <v>#NUM!</v>
      </c>
      <c r="F73" s="171" t="e">
        <f t="shared" si="7"/>
        <v>#NUM!</v>
      </c>
      <c r="G73" s="186">
        <f>IF('prijem - EUR'!$I$87=TRUE,IF($C$11&gt;0,0.00025*C72,0),IF('prijem - EUR'!$I$88=TRUE,IF('prijem - EUR'!$F$88&gt;0,0.00025*C72,0),0))</f>
        <v>0</v>
      </c>
      <c r="K73" s="89">
        <v>57</v>
      </c>
      <c r="L73" s="186" t="e">
        <f t="shared" si="11"/>
        <v>#DIV/0!</v>
      </c>
      <c r="M73" s="171" t="e">
        <f t="shared" si="3"/>
        <v>#DIV/0!</v>
      </c>
      <c r="N73" s="171" t="e">
        <f t="shared" si="4"/>
        <v>#DIV/0!</v>
      </c>
      <c r="O73" s="171" t="e">
        <f t="shared" si="8"/>
        <v>#DIV/0!</v>
      </c>
      <c r="P73" s="171" t="e">
        <f t="shared" si="9"/>
        <v>#DIV/0!</v>
      </c>
      <c r="Q73" s="186">
        <f>IF('prijem - EUR'!$I$87=TRUE,IF($C$11&gt;0,0.00025*M72,0),IF('prijem - EUR'!$I$88=TRUE,IF('prijem - EUR'!$F$88&gt;0,0.00025*M72*-1,0),0))</f>
        <v>0</v>
      </c>
    </row>
    <row r="74" spans="1:17" x14ac:dyDescent="0.2">
      <c r="A74" s="89">
        <v>58</v>
      </c>
      <c r="B74" s="186" t="e">
        <f t="shared" si="10"/>
        <v>#NUM!</v>
      </c>
      <c r="C74" s="171" t="e">
        <f t="shared" si="1"/>
        <v>#NUM!</v>
      </c>
      <c r="D74" s="171" t="e">
        <f t="shared" si="5"/>
        <v>#NUM!</v>
      </c>
      <c r="E74" s="171" t="e">
        <f t="shared" si="6"/>
        <v>#NUM!</v>
      </c>
      <c r="F74" s="171" t="e">
        <f t="shared" si="7"/>
        <v>#NUM!</v>
      </c>
      <c r="G74" s="186">
        <f>IF('prijem - EUR'!$I$87=TRUE,IF($C$11&gt;0,0.00025*C73,0),IF('prijem - EUR'!$I$88=TRUE,IF('prijem - EUR'!$F$88&gt;0,0.00025*C73,0),0))</f>
        <v>0</v>
      </c>
      <c r="K74" s="89">
        <v>58</v>
      </c>
      <c r="L74" s="186" t="e">
        <f t="shared" si="11"/>
        <v>#DIV/0!</v>
      </c>
      <c r="M74" s="171" t="e">
        <f t="shared" si="3"/>
        <v>#DIV/0!</v>
      </c>
      <c r="N74" s="171" t="e">
        <f t="shared" si="4"/>
        <v>#DIV/0!</v>
      </c>
      <c r="O74" s="171" t="e">
        <f t="shared" si="8"/>
        <v>#DIV/0!</v>
      </c>
      <c r="P74" s="171" t="e">
        <f t="shared" si="9"/>
        <v>#DIV/0!</v>
      </c>
      <c r="Q74" s="186">
        <f>IF('prijem - EUR'!$I$87=TRUE,IF($C$11&gt;0,0.00025*M73,0),IF('prijem - EUR'!$I$88=TRUE,IF('prijem - EUR'!$F$88&gt;0,0.00025*M73*-1,0),0))</f>
        <v>0</v>
      </c>
    </row>
    <row r="75" spans="1:17" x14ac:dyDescent="0.2">
      <c r="A75" s="89">
        <v>59</v>
      </c>
      <c r="B75" s="186" t="e">
        <f t="shared" si="10"/>
        <v>#NUM!</v>
      </c>
      <c r="C75" s="171" t="e">
        <f t="shared" si="1"/>
        <v>#NUM!</v>
      </c>
      <c r="D75" s="171" t="e">
        <f t="shared" si="5"/>
        <v>#NUM!</v>
      </c>
      <c r="E75" s="171" t="e">
        <f t="shared" si="6"/>
        <v>#NUM!</v>
      </c>
      <c r="F75" s="171" t="e">
        <f t="shared" si="7"/>
        <v>#NUM!</v>
      </c>
      <c r="G75" s="186">
        <f>IF('prijem - EUR'!$I$87=TRUE,IF($C$11&gt;0,0.00025*C74,0),IF('prijem - EUR'!$I$88=TRUE,IF('prijem - EUR'!$F$88&gt;0,0.00025*C74,0),0))</f>
        <v>0</v>
      </c>
      <c r="K75" s="89">
        <v>59</v>
      </c>
      <c r="L75" s="186" t="e">
        <f t="shared" si="11"/>
        <v>#DIV/0!</v>
      </c>
      <c r="M75" s="171" t="e">
        <f t="shared" si="3"/>
        <v>#DIV/0!</v>
      </c>
      <c r="N75" s="171" t="e">
        <f t="shared" si="4"/>
        <v>#DIV/0!</v>
      </c>
      <c r="O75" s="171" t="e">
        <f t="shared" si="8"/>
        <v>#DIV/0!</v>
      </c>
      <c r="P75" s="171" t="e">
        <f t="shared" si="9"/>
        <v>#DIV/0!</v>
      </c>
      <c r="Q75" s="186">
        <f>IF('prijem - EUR'!$I$87=TRUE,IF($C$11&gt;0,0.00025*M74,0),IF('prijem - EUR'!$I$88=TRUE,IF('prijem - EUR'!$F$88&gt;0,0.00025*M74*-1,0),0))</f>
        <v>0</v>
      </c>
    </row>
    <row r="76" spans="1:17" x14ac:dyDescent="0.2">
      <c r="A76" s="89">
        <v>60</v>
      </c>
      <c r="B76" s="186" t="e">
        <f t="shared" si="10"/>
        <v>#NUM!</v>
      </c>
      <c r="C76" s="171" t="e">
        <f t="shared" si="1"/>
        <v>#NUM!</v>
      </c>
      <c r="D76" s="171" t="e">
        <f t="shared" si="5"/>
        <v>#NUM!</v>
      </c>
      <c r="E76" s="171" t="e">
        <f t="shared" si="6"/>
        <v>#NUM!</v>
      </c>
      <c r="F76" s="171" t="e">
        <f t="shared" si="7"/>
        <v>#NUM!</v>
      </c>
      <c r="G76" s="186">
        <f>IF('prijem - EUR'!$I$87=TRUE,IF($C$11&gt;0,0.00025*C75,0),IF('prijem - EUR'!$I$88=TRUE,IF('prijem - EUR'!$F$88&gt;0,0.00025*C75,0),0))</f>
        <v>0</v>
      </c>
      <c r="K76" s="89">
        <v>60</v>
      </c>
      <c r="L76" s="186" t="e">
        <f t="shared" si="11"/>
        <v>#DIV/0!</v>
      </c>
      <c r="M76" s="171" t="e">
        <f t="shared" si="3"/>
        <v>#DIV/0!</v>
      </c>
      <c r="N76" s="171" t="e">
        <f t="shared" si="4"/>
        <v>#DIV/0!</v>
      </c>
      <c r="O76" s="171" t="e">
        <f t="shared" si="8"/>
        <v>#DIV/0!</v>
      </c>
      <c r="P76" s="171" t="e">
        <f t="shared" si="9"/>
        <v>#DIV/0!</v>
      </c>
      <c r="Q76" s="186">
        <f>IF('prijem - EUR'!$I$87=TRUE,IF($C$11&gt;0,0.00025*M75,0),IF('prijem - EUR'!$I$88=TRUE,IF('prijem - EUR'!$F$88&gt;0,0.00025*M75*-1,0),0))</f>
        <v>0</v>
      </c>
    </row>
    <row r="77" spans="1:17" x14ac:dyDescent="0.2">
      <c r="A77" s="89">
        <v>61</v>
      </c>
      <c r="B77" s="186" t="e">
        <f t="shared" si="10"/>
        <v>#NUM!</v>
      </c>
      <c r="C77" s="171" t="e">
        <f t="shared" si="1"/>
        <v>#NUM!</v>
      </c>
      <c r="D77" s="171" t="e">
        <f t="shared" si="5"/>
        <v>#NUM!</v>
      </c>
      <c r="E77" s="171" t="e">
        <f t="shared" si="6"/>
        <v>#NUM!</v>
      </c>
      <c r="F77" s="171" t="e">
        <f t="shared" si="7"/>
        <v>#NUM!</v>
      </c>
      <c r="G77" s="186">
        <f>IF('prijem - EUR'!$I$87=TRUE,IF($C$11&gt;0,0.00025*C76,0),IF('prijem - EUR'!$I$88=TRUE,IF('prijem - EUR'!$F$88&gt;0,0.00025*C76,0),0))</f>
        <v>0</v>
      </c>
      <c r="K77" s="89">
        <v>61</v>
      </c>
      <c r="L77" s="186" t="e">
        <f t="shared" si="11"/>
        <v>#DIV/0!</v>
      </c>
      <c r="M77" s="171" t="e">
        <f t="shared" si="3"/>
        <v>#DIV/0!</v>
      </c>
      <c r="N77" s="171" t="e">
        <f t="shared" si="4"/>
        <v>#DIV/0!</v>
      </c>
      <c r="O77" s="171" t="e">
        <f t="shared" si="8"/>
        <v>#DIV/0!</v>
      </c>
      <c r="P77" s="171" t="e">
        <f t="shared" si="9"/>
        <v>#DIV/0!</v>
      </c>
      <c r="Q77" s="186">
        <f>IF('prijem - EUR'!$I$87=TRUE,IF($C$11&gt;0,0.00025*M76,0),IF('prijem - EUR'!$I$88=TRUE,IF('prijem - EUR'!$F$88&gt;0,0.00025*M76*-1,0),0))</f>
        <v>0</v>
      </c>
    </row>
    <row r="78" spans="1:17" x14ac:dyDescent="0.2">
      <c r="A78" s="89">
        <v>62</v>
      </c>
      <c r="B78" s="186" t="e">
        <f t="shared" si="10"/>
        <v>#NUM!</v>
      </c>
      <c r="C78" s="171" t="e">
        <f t="shared" si="1"/>
        <v>#NUM!</v>
      </c>
      <c r="D78" s="171" t="e">
        <f t="shared" si="5"/>
        <v>#NUM!</v>
      </c>
      <c r="E78" s="171" t="e">
        <f t="shared" si="6"/>
        <v>#NUM!</v>
      </c>
      <c r="F78" s="171" t="e">
        <f t="shared" si="7"/>
        <v>#NUM!</v>
      </c>
      <c r="G78" s="186">
        <f>IF('prijem - EUR'!$I$87=TRUE,IF($C$11&gt;0,0.00025*C77,0),IF('prijem - EUR'!$I$88=TRUE,IF('prijem - EUR'!$F$88&gt;0,0.00025*C77,0),0))</f>
        <v>0</v>
      </c>
      <c r="K78" s="89">
        <v>62</v>
      </c>
      <c r="L78" s="186" t="e">
        <f t="shared" si="11"/>
        <v>#DIV/0!</v>
      </c>
      <c r="M78" s="171" t="e">
        <f t="shared" si="3"/>
        <v>#DIV/0!</v>
      </c>
      <c r="N78" s="171" t="e">
        <f t="shared" si="4"/>
        <v>#DIV/0!</v>
      </c>
      <c r="O78" s="171" t="e">
        <f t="shared" si="8"/>
        <v>#DIV/0!</v>
      </c>
      <c r="P78" s="171" t="e">
        <f t="shared" si="9"/>
        <v>#DIV/0!</v>
      </c>
      <c r="Q78" s="186">
        <f>IF('prijem - EUR'!$I$87=TRUE,IF($C$11&gt;0,0.00025*M77,0),IF('prijem - EUR'!$I$88=TRUE,IF('prijem - EUR'!$F$88&gt;0,0.00025*M77*-1,0),0))</f>
        <v>0</v>
      </c>
    </row>
    <row r="79" spans="1:17" x14ac:dyDescent="0.2">
      <c r="A79" s="89">
        <v>63</v>
      </c>
      <c r="B79" s="186" t="e">
        <f t="shared" si="10"/>
        <v>#NUM!</v>
      </c>
      <c r="C79" s="171" t="e">
        <f t="shared" si="1"/>
        <v>#NUM!</v>
      </c>
      <c r="D79" s="171" t="e">
        <f t="shared" si="5"/>
        <v>#NUM!</v>
      </c>
      <c r="E79" s="171" t="e">
        <f t="shared" si="6"/>
        <v>#NUM!</v>
      </c>
      <c r="F79" s="171" t="e">
        <f t="shared" si="7"/>
        <v>#NUM!</v>
      </c>
      <c r="G79" s="186">
        <f>IF('prijem - EUR'!$I$87=TRUE,IF($C$11&gt;0,0.00025*C78,0),IF('prijem - EUR'!$I$88=TRUE,IF('prijem - EUR'!$F$88&gt;0,0.00025*C78,0),0))</f>
        <v>0</v>
      </c>
      <c r="K79" s="89">
        <v>63</v>
      </c>
      <c r="L79" s="186" t="e">
        <f t="shared" si="11"/>
        <v>#DIV/0!</v>
      </c>
      <c r="M79" s="171" t="e">
        <f t="shared" si="3"/>
        <v>#DIV/0!</v>
      </c>
      <c r="N79" s="171" t="e">
        <f t="shared" si="4"/>
        <v>#DIV/0!</v>
      </c>
      <c r="O79" s="171" t="e">
        <f t="shared" si="8"/>
        <v>#DIV/0!</v>
      </c>
      <c r="P79" s="171" t="e">
        <f t="shared" si="9"/>
        <v>#DIV/0!</v>
      </c>
      <c r="Q79" s="186">
        <f>IF('prijem - EUR'!$I$87=TRUE,IF($C$11&gt;0,0.00025*M78,0),IF('prijem - EUR'!$I$88=TRUE,IF('prijem - EUR'!$F$88&gt;0,0.00025*M78*-1,0),0))</f>
        <v>0</v>
      </c>
    </row>
    <row r="80" spans="1:17" x14ac:dyDescent="0.2">
      <c r="A80" s="89">
        <v>64</v>
      </c>
      <c r="B80" s="186" t="e">
        <f t="shared" si="10"/>
        <v>#NUM!</v>
      </c>
      <c r="C80" s="171" t="e">
        <f t="shared" si="1"/>
        <v>#NUM!</v>
      </c>
      <c r="D80" s="171" t="e">
        <f t="shared" si="5"/>
        <v>#NUM!</v>
      </c>
      <c r="E80" s="171" t="e">
        <f t="shared" si="6"/>
        <v>#NUM!</v>
      </c>
      <c r="F80" s="171" t="e">
        <f t="shared" si="7"/>
        <v>#NUM!</v>
      </c>
      <c r="G80" s="186">
        <f>IF('prijem - EUR'!$I$87=TRUE,IF($C$11&gt;0,0.00025*C79,0),IF('prijem - EUR'!$I$88=TRUE,IF('prijem - EUR'!$F$88&gt;0,0.00025*C79,0),0))</f>
        <v>0</v>
      </c>
      <c r="K80" s="89">
        <v>64</v>
      </c>
      <c r="L80" s="186" t="e">
        <f t="shared" si="11"/>
        <v>#DIV/0!</v>
      </c>
      <c r="M80" s="171" t="e">
        <f t="shared" si="3"/>
        <v>#DIV/0!</v>
      </c>
      <c r="N80" s="171" t="e">
        <f t="shared" si="4"/>
        <v>#DIV/0!</v>
      </c>
      <c r="O80" s="171" t="e">
        <f t="shared" si="8"/>
        <v>#DIV/0!</v>
      </c>
      <c r="P80" s="171" t="e">
        <f t="shared" si="9"/>
        <v>#DIV/0!</v>
      </c>
      <c r="Q80" s="186">
        <f>IF('prijem - EUR'!$I$87=TRUE,IF($C$11&gt;0,0.00025*M79,0),IF('prijem - EUR'!$I$88=TRUE,IF('prijem - EUR'!$F$88&gt;0,0.00025*M79*-1,0),0))</f>
        <v>0</v>
      </c>
    </row>
    <row r="81" spans="1:17" x14ac:dyDescent="0.2">
      <c r="A81" s="89">
        <v>65</v>
      </c>
      <c r="B81" s="186" t="e">
        <f t="shared" si="10"/>
        <v>#NUM!</v>
      </c>
      <c r="C81" s="171" t="e">
        <f t="shared" ref="C81:C144" si="12">MAX(C80-D81,0)</f>
        <v>#NUM!</v>
      </c>
      <c r="D81" s="171" t="e">
        <f t="shared" si="5"/>
        <v>#NUM!</v>
      </c>
      <c r="E81" s="171" t="e">
        <f t="shared" si="6"/>
        <v>#NUM!</v>
      </c>
      <c r="F81" s="171" t="e">
        <f t="shared" si="7"/>
        <v>#NUM!</v>
      </c>
      <c r="G81" s="186">
        <f>IF('prijem - EUR'!$I$87=TRUE,IF($C$11&gt;0,0.00025*C80,0),IF('prijem - EUR'!$I$88=TRUE,IF('prijem - EUR'!$F$88&gt;0,0.00025*C80,0),0))</f>
        <v>0</v>
      </c>
      <c r="K81" s="89">
        <v>65</v>
      </c>
      <c r="L81" s="186" t="e">
        <f t="shared" si="11"/>
        <v>#DIV/0!</v>
      </c>
      <c r="M81" s="171" t="e">
        <f t="shared" ref="M81:M144" si="13">MAX(M80-N81,0)</f>
        <v>#DIV/0!</v>
      </c>
      <c r="N81" s="171" t="e">
        <f t="shared" ref="N81:N144" si="14">$M$16/$M$5</f>
        <v>#DIV/0!</v>
      </c>
      <c r="O81" s="171" t="e">
        <f t="shared" si="8"/>
        <v>#DIV/0!</v>
      </c>
      <c r="P81" s="171" t="e">
        <f t="shared" si="9"/>
        <v>#DIV/0!</v>
      </c>
      <c r="Q81" s="186">
        <f>IF('prijem - EUR'!$I$87=TRUE,IF($C$11&gt;0,0.00025*M80,0),IF('prijem - EUR'!$I$88=TRUE,IF('prijem - EUR'!$F$88&gt;0,0.00025*M80*-1,0),0))</f>
        <v>0</v>
      </c>
    </row>
    <row r="82" spans="1:17" x14ac:dyDescent="0.2">
      <c r="A82" s="89">
        <v>66</v>
      </c>
      <c r="B82" s="186" t="e">
        <f t="shared" si="10"/>
        <v>#NUM!</v>
      </c>
      <c r="C82" s="171" t="e">
        <f t="shared" si="12"/>
        <v>#NUM!</v>
      </c>
      <c r="D82" s="171" t="e">
        <f t="shared" ref="D82:D145" si="15">(F82-E82)*-1</f>
        <v>#NUM!</v>
      </c>
      <c r="E82" s="171" t="e">
        <f t="shared" ref="E82:E145" si="16">IPMT($C$4/12,1,$C$5,C81)</f>
        <v>#NUM!</v>
      </c>
      <c r="F82" s="171" t="e">
        <f t="shared" ref="F82:F145" si="17">PMT($C$4/12,$C$5,$C$3)</f>
        <v>#NUM!</v>
      </c>
      <c r="G82" s="186">
        <f>IF('prijem - EUR'!$I$87=TRUE,IF($C$11&gt;0,0.00025*C81,0),IF('prijem - EUR'!$I$88=TRUE,IF('prijem - EUR'!$F$88&gt;0,0.00025*C81,0),0))</f>
        <v>0</v>
      </c>
      <c r="K82" s="89">
        <v>66</v>
      </c>
      <c r="L82" s="186" t="e">
        <f t="shared" si="11"/>
        <v>#DIV/0!</v>
      </c>
      <c r="M82" s="171" t="e">
        <f t="shared" si="13"/>
        <v>#DIV/0!</v>
      </c>
      <c r="N82" s="171" t="e">
        <f t="shared" si="14"/>
        <v>#DIV/0!</v>
      </c>
      <c r="O82" s="171" t="e">
        <f t="shared" ref="O82:O145" si="18">M81*$M$4/12</f>
        <v>#DIV/0!</v>
      </c>
      <c r="P82" s="171" t="e">
        <f t="shared" ref="P82:P145" si="19">O82+N82</f>
        <v>#DIV/0!</v>
      </c>
      <c r="Q82" s="186">
        <f>IF('prijem - EUR'!$I$87=TRUE,IF($C$11&gt;0,0.00025*M81,0),IF('prijem - EUR'!$I$88=TRUE,IF('prijem - EUR'!$F$88&gt;0,0.00025*M81*-1,0),0))</f>
        <v>0</v>
      </c>
    </row>
    <row r="83" spans="1:17" x14ac:dyDescent="0.2">
      <c r="A83" s="89">
        <v>67</v>
      </c>
      <c r="B83" s="186" t="e">
        <f t="shared" si="10"/>
        <v>#NUM!</v>
      </c>
      <c r="C83" s="171" t="e">
        <f t="shared" si="12"/>
        <v>#NUM!</v>
      </c>
      <c r="D83" s="171" t="e">
        <f t="shared" si="15"/>
        <v>#NUM!</v>
      </c>
      <c r="E83" s="171" t="e">
        <f t="shared" si="16"/>
        <v>#NUM!</v>
      </c>
      <c r="F83" s="171" t="e">
        <f t="shared" si="17"/>
        <v>#NUM!</v>
      </c>
      <c r="G83" s="186">
        <f>IF('prijem - EUR'!$I$87=TRUE,IF($C$11&gt;0,0.00025*C82,0),IF('prijem - EUR'!$I$88=TRUE,IF('prijem - EUR'!$F$88&gt;0,0.00025*C82,0),0))</f>
        <v>0</v>
      </c>
      <c r="K83" s="89">
        <v>67</v>
      </c>
      <c r="L83" s="186" t="e">
        <f t="shared" si="11"/>
        <v>#DIV/0!</v>
      </c>
      <c r="M83" s="171" t="e">
        <f t="shared" si="13"/>
        <v>#DIV/0!</v>
      </c>
      <c r="N83" s="171" t="e">
        <f t="shared" si="14"/>
        <v>#DIV/0!</v>
      </c>
      <c r="O83" s="171" t="e">
        <f t="shared" si="18"/>
        <v>#DIV/0!</v>
      </c>
      <c r="P83" s="171" t="e">
        <f t="shared" si="19"/>
        <v>#DIV/0!</v>
      </c>
      <c r="Q83" s="186">
        <f>IF('prijem - EUR'!$I$87=TRUE,IF($C$11&gt;0,0.00025*M82,0),IF('prijem - EUR'!$I$88=TRUE,IF('prijem - EUR'!$F$88&gt;0,0.00025*M82*-1,0),0))</f>
        <v>0</v>
      </c>
    </row>
    <row r="84" spans="1:17" x14ac:dyDescent="0.2">
      <c r="A84" s="89">
        <v>68</v>
      </c>
      <c r="B84" s="186" t="e">
        <f t="shared" si="10"/>
        <v>#NUM!</v>
      </c>
      <c r="C84" s="171" t="e">
        <f t="shared" si="12"/>
        <v>#NUM!</v>
      </c>
      <c r="D84" s="171" t="e">
        <f t="shared" si="15"/>
        <v>#NUM!</v>
      </c>
      <c r="E84" s="171" t="e">
        <f t="shared" si="16"/>
        <v>#NUM!</v>
      </c>
      <c r="F84" s="171" t="e">
        <f t="shared" si="17"/>
        <v>#NUM!</v>
      </c>
      <c r="G84" s="186">
        <f>IF('prijem - EUR'!$I$87=TRUE,IF($C$11&gt;0,0.00025*C83,0),IF('prijem - EUR'!$I$88=TRUE,IF('prijem - EUR'!$F$88&gt;0,0.00025*C83,0),0))</f>
        <v>0</v>
      </c>
      <c r="K84" s="89">
        <v>68</v>
      </c>
      <c r="L84" s="186" t="e">
        <f t="shared" si="11"/>
        <v>#DIV/0!</v>
      </c>
      <c r="M84" s="171" t="e">
        <f t="shared" si="13"/>
        <v>#DIV/0!</v>
      </c>
      <c r="N84" s="171" t="e">
        <f t="shared" si="14"/>
        <v>#DIV/0!</v>
      </c>
      <c r="O84" s="171" t="e">
        <f t="shared" si="18"/>
        <v>#DIV/0!</v>
      </c>
      <c r="P84" s="171" t="e">
        <f t="shared" si="19"/>
        <v>#DIV/0!</v>
      </c>
      <c r="Q84" s="186">
        <f>IF('prijem - EUR'!$I$87=TRUE,IF($C$11&gt;0,0.00025*M83,0),IF('prijem - EUR'!$I$88=TRUE,IF('prijem - EUR'!$F$88&gt;0,0.00025*M83*-1,0),0))</f>
        <v>0</v>
      </c>
    </row>
    <row r="85" spans="1:17" x14ac:dyDescent="0.2">
      <c r="A85" s="89">
        <v>69</v>
      </c>
      <c r="B85" s="186" t="e">
        <f t="shared" si="10"/>
        <v>#NUM!</v>
      </c>
      <c r="C85" s="171" t="e">
        <f t="shared" si="12"/>
        <v>#NUM!</v>
      </c>
      <c r="D85" s="171" t="e">
        <f t="shared" si="15"/>
        <v>#NUM!</v>
      </c>
      <c r="E85" s="171" t="e">
        <f t="shared" si="16"/>
        <v>#NUM!</v>
      </c>
      <c r="F85" s="171" t="e">
        <f t="shared" si="17"/>
        <v>#NUM!</v>
      </c>
      <c r="G85" s="186">
        <f>IF('prijem - EUR'!$I$87=TRUE,IF($C$11&gt;0,0.00025*C84,0),IF('prijem - EUR'!$I$88=TRUE,IF('prijem - EUR'!$F$88&gt;0,0.00025*C84,0),0))</f>
        <v>0</v>
      </c>
      <c r="K85" s="89">
        <v>69</v>
      </c>
      <c r="L85" s="186" t="e">
        <f t="shared" si="11"/>
        <v>#DIV/0!</v>
      </c>
      <c r="M85" s="171" t="e">
        <f t="shared" si="13"/>
        <v>#DIV/0!</v>
      </c>
      <c r="N85" s="171" t="e">
        <f t="shared" si="14"/>
        <v>#DIV/0!</v>
      </c>
      <c r="O85" s="171" t="e">
        <f t="shared" si="18"/>
        <v>#DIV/0!</v>
      </c>
      <c r="P85" s="171" t="e">
        <f t="shared" si="19"/>
        <v>#DIV/0!</v>
      </c>
      <c r="Q85" s="186">
        <f>IF('prijem - EUR'!$I$87=TRUE,IF($C$11&gt;0,0.00025*M84,0),IF('prijem - EUR'!$I$88=TRUE,IF('prijem - EUR'!$F$88&gt;0,0.00025*M84*-1,0),0))</f>
        <v>0</v>
      </c>
    </row>
    <row r="86" spans="1:17" x14ac:dyDescent="0.2">
      <c r="A86" s="89">
        <v>70</v>
      </c>
      <c r="B86" s="186" t="e">
        <f t="shared" si="10"/>
        <v>#NUM!</v>
      </c>
      <c r="C86" s="171" t="e">
        <f t="shared" si="12"/>
        <v>#NUM!</v>
      </c>
      <c r="D86" s="171" t="e">
        <f t="shared" si="15"/>
        <v>#NUM!</v>
      </c>
      <c r="E86" s="171" t="e">
        <f t="shared" si="16"/>
        <v>#NUM!</v>
      </c>
      <c r="F86" s="171" t="e">
        <f t="shared" si="17"/>
        <v>#NUM!</v>
      </c>
      <c r="G86" s="186">
        <f>IF('prijem - EUR'!$I$87=TRUE,IF($C$11&gt;0,0.00025*C85,0),IF('prijem - EUR'!$I$88=TRUE,IF('prijem - EUR'!$F$88&gt;0,0.00025*C85,0),0))</f>
        <v>0</v>
      </c>
      <c r="K86" s="89">
        <v>70</v>
      </c>
      <c r="L86" s="186" t="e">
        <f t="shared" si="11"/>
        <v>#DIV/0!</v>
      </c>
      <c r="M86" s="171" t="e">
        <f t="shared" si="13"/>
        <v>#DIV/0!</v>
      </c>
      <c r="N86" s="171" t="e">
        <f t="shared" si="14"/>
        <v>#DIV/0!</v>
      </c>
      <c r="O86" s="171" t="e">
        <f t="shared" si="18"/>
        <v>#DIV/0!</v>
      </c>
      <c r="P86" s="171" t="e">
        <f t="shared" si="19"/>
        <v>#DIV/0!</v>
      </c>
      <c r="Q86" s="186">
        <f>IF('prijem - EUR'!$I$87=TRUE,IF($C$11&gt;0,0.00025*M85,0),IF('prijem - EUR'!$I$88=TRUE,IF('prijem - EUR'!$F$88&gt;0,0.00025*M85*-1,0),0))</f>
        <v>0</v>
      </c>
    </row>
    <row r="87" spans="1:17" x14ac:dyDescent="0.2">
      <c r="A87" s="89">
        <v>71</v>
      </c>
      <c r="B87" s="186" t="e">
        <f t="shared" si="10"/>
        <v>#NUM!</v>
      </c>
      <c r="C87" s="171" t="e">
        <f t="shared" si="12"/>
        <v>#NUM!</v>
      </c>
      <c r="D87" s="171" t="e">
        <f t="shared" si="15"/>
        <v>#NUM!</v>
      </c>
      <c r="E87" s="171" t="e">
        <f t="shared" si="16"/>
        <v>#NUM!</v>
      </c>
      <c r="F87" s="171" t="e">
        <f t="shared" si="17"/>
        <v>#NUM!</v>
      </c>
      <c r="G87" s="186">
        <f>IF('prijem - EUR'!$I$87=TRUE,IF($C$11&gt;0,0.00025*C86,0),IF('prijem - EUR'!$I$88=TRUE,IF('prijem - EUR'!$F$88&gt;0,0.00025*C86,0),0))</f>
        <v>0</v>
      </c>
      <c r="K87" s="89">
        <v>71</v>
      </c>
      <c r="L87" s="186" t="e">
        <f t="shared" si="11"/>
        <v>#DIV/0!</v>
      </c>
      <c r="M87" s="171" t="e">
        <f t="shared" si="13"/>
        <v>#DIV/0!</v>
      </c>
      <c r="N87" s="171" t="e">
        <f t="shared" si="14"/>
        <v>#DIV/0!</v>
      </c>
      <c r="O87" s="171" t="e">
        <f t="shared" si="18"/>
        <v>#DIV/0!</v>
      </c>
      <c r="P87" s="171" t="e">
        <f t="shared" si="19"/>
        <v>#DIV/0!</v>
      </c>
      <c r="Q87" s="186">
        <f>IF('prijem - EUR'!$I$87=TRUE,IF($C$11&gt;0,0.00025*M86,0),IF('prijem - EUR'!$I$88=TRUE,IF('prijem - EUR'!$F$88&gt;0,0.00025*M86*-1,0),0))</f>
        <v>0</v>
      </c>
    </row>
    <row r="88" spans="1:17" x14ac:dyDescent="0.2">
      <c r="A88" s="89">
        <v>72</v>
      </c>
      <c r="B88" s="186" t="e">
        <f t="shared" si="10"/>
        <v>#NUM!</v>
      </c>
      <c r="C88" s="171" t="e">
        <f t="shared" si="12"/>
        <v>#NUM!</v>
      </c>
      <c r="D88" s="171" t="e">
        <f t="shared" si="15"/>
        <v>#NUM!</v>
      </c>
      <c r="E88" s="171" t="e">
        <f t="shared" si="16"/>
        <v>#NUM!</v>
      </c>
      <c r="F88" s="171" t="e">
        <f t="shared" si="17"/>
        <v>#NUM!</v>
      </c>
      <c r="G88" s="186">
        <f>IF('prijem - EUR'!$I$87=TRUE,IF($C$11&gt;0,0.00025*C87,0),IF('prijem - EUR'!$I$88=TRUE,IF('prijem - EUR'!$F$88&gt;0,0.00025*C87,0),0))</f>
        <v>0</v>
      </c>
      <c r="K88" s="89">
        <v>72</v>
      </c>
      <c r="L88" s="186" t="e">
        <f t="shared" si="11"/>
        <v>#DIV/0!</v>
      </c>
      <c r="M88" s="171" t="e">
        <f t="shared" si="13"/>
        <v>#DIV/0!</v>
      </c>
      <c r="N88" s="171" t="e">
        <f t="shared" si="14"/>
        <v>#DIV/0!</v>
      </c>
      <c r="O88" s="171" t="e">
        <f t="shared" si="18"/>
        <v>#DIV/0!</v>
      </c>
      <c r="P88" s="171" t="e">
        <f t="shared" si="19"/>
        <v>#DIV/0!</v>
      </c>
      <c r="Q88" s="186">
        <f>IF('prijem - EUR'!$I$87=TRUE,IF($C$11&gt;0,0.00025*M87,0),IF('prijem - EUR'!$I$88=TRUE,IF('prijem - EUR'!$F$88&gt;0,0.00025*M87*-1,0),0))</f>
        <v>0</v>
      </c>
    </row>
    <row r="89" spans="1:17" x14ac:dyDescent="0.2">
      <c r="A89" s="89">
        <v>73</v>
      </c>
      <c r="B89" s="186" t="e">
        <f t="shared" si="10"/>
        <v>#NUM!</v>
      </c>
      <c r="C89" s="171" t="e">
        <f t="shared" si="12"/>
        <v>#NUM!</v>
      </c>
      <c r="D89" s="171" t="e">
        <f t="shared" si="15"/>
        <v>#NUM!</v>
      </c>
      <c r="E89" s="171" t="e">
        <f t="shared" si="16"/>
        <v>#NUM!</v>
      </c>
      <c r="F89" s="171" t="e">
        <f t="shared" si="17"/>
        <v>#NUM!</v>
      </c>
      <c r="G89" s="186">
        <f>IF('prijem - EUR'!$I$87=TRUE,IF($C$11&gt;0,0.00025*C88,0),IF('prijem - EUR'!$I$88=TRUE,IF('prijem - EUR'!$F$88&gt;0,0.00025*C88,0),0))</f>
        <v>0</v>
      </c>
      <c r="K89" s="89">
        <v>73</v>
      </c>
      <c r="L89" s="186" t="e">
        <f t="shared" si="11"/>
        <v>#DIV/0!</v>
      </c>
      <c r="M89" s="171" t="e">
        <f t="shared" si="13"/>
        <v>#DIV/0!</v>
      </c>
      <c r="N89" s="171" t="e">
        <f t="shared" si="14"/>
        <v>#DIV/0!</v>
      </c>
      <c r="O89" s="171" t="e">
        <f t="shared" si="18"/>
        <v>#DIV/0!</v>
      </c>
      <c r="P89" s="171" t="e">
        <f t="shared" si="19"/>
        <v>#DIV/0!</v>
      </c>
      <c r="Q89" s="186">
        <f>IF('prijem - EUR'!$I$87=TRUE,IF($C$11&gt;0,0.00025*M88,0),IF('prijem - EUR'!$I$88=TRUE,IF('prijem - EUR'!$F$88&gt;0,0.00025*M88*-1,0),0))</f>
        <v>0</v>
      </c>
    </row>
    <row r="90" spans="1:17" x14ac:dyDescent="0.2">
      <c r="A90" s="89">
        <v>74</v>
      </c>
      <c r="B90" s="186" t="e">
        <f t="shared" si="10"/>
        <v>#NUM!</v>
      </c>
      <c r="C90" s="171" t="e">
        <f t="shared" si="12"/>
        <v>#NUM!</v>
      </c>
      <c r="D90" s="171" t="e">
        <f t="shared" si="15"/>
        <v>#NUM!</v>
      </c>
      <c r="E90" s="171" t="e">
        <f t="shared" si="16"/>
        <v>#NUM!</v>
      </c>
      <c r="F90" s="171" t="e">
        <f t="shared" si="17"/>
        <v>#NUM!</v>
      </c>
      <c r="G90" s="186">
        <f>IF('prijem - EUR'!$I$87=TRUE,IF($C$11&gt;0,0.00025*C89,0),IF('prijem - EUR'!$I$88=TRUE,IF('prijem - EUR'!$F$88&gt;0,0.00025*C89,0),0))</f>
        <v>0</v>
      </c>
      <c r="K90" s="89">
        <v>74</v>
      </c>
      <c r="L90" s="186" t="e">
        <f t="shared" si="11"/>
        <v>#DIV/0!</v>
      </c>
      <c r="M90" s="171" t="e">
        <f t="shared" si="13"/>
        <v>#DIV/0!</v>
      </c>
      <c r="N90" s="171" t="e">
        <f t="shared" si="14"/>
        <v>#DIV/0!</v>
      </c>
      <c r="O90" s="171" t="e">
        <f t="shared" si="18"/>
        <v>#DIV/0!</v>
      </c>
      <c r="P90" s="171" t="e">
        <f t="shared" si="19"/>
        <v>#DIV/0!</v>
      </c>
      <c r="Q90" s="186">
        <f>IF('prijem - EUR'!$I$87=TRUE,IF($C$11&gt;0,0.00025*M89,0),IF('prijem - EUR'!$I$88=TRUE,IF('prijem - EUR'!$F$88&gt;0,0.00025*M89*-1,0),0))</f>
        <v>0</v>
      </c>
    </row>
    <row r="91" spans="1:17" x14ac:dyDescent="0.2">
      <c r="A91" s="89">
        <v>75</v>
      </c>
      <c r="B91" s="186" t="e">
        <f t="shared" si="10"/>
        <v>#NUM!</v>
      </c>
      <c r="C91" s="171" t="e">
        <f t="shared" si="12"/>
        <v>#NUM!</v>
      </c>
      <c r="D91" s="171" t="e">
        <f t="shared" si="15"/>
        <v>#NUM!</v>
      </c>
      <c r="E91" s="171" t="e">
        <f t="shared" si="16"/>
        <v>#NUM!</v>
      </c>
      <c r="F91" s="171" t="e">
        <f t="shared" si="17"/>
        <v>#NUM!</v>
      </c>
      <c r="G91" s="186">
        <f>IF('prijem - EUR'!$I$87=TRUE,IF($C$11&gt;0,0.00025*C90,0),IF('prijem - EUR'!$I$88=TRUE,IF('prijem - EUR'!$F$88&gt;0,0.00025*C90,0),0))</f>
        <v>0</v>
      </c>
      <c r="K91" s="89">
        <v>75</v>
      </c>
      <c r="L91" s="186" t="e">
        <f t="shared" si="11"/>
        <v>#DIV/0!</v>
      </c>
      <c r="M91" s="171" t="e">
        <f t="shared" si="13"/>
        <v>#DIV/0!</v>
      </c>
      <c r="N91" s="171" t="e">
        <f t="shared" si="14"/>
        <v>#DIV/0!</v>
      </c>
      <c r="O91" s="171" t="e">
        <f t="shared" si="18"/>
        <v>#DIV/0!</v>
      </c>
      <c r="P91" s="171" t="e">
        <f t="shared" si="19"/>
        <v>#DIV/0!</v>
      </c>
      <c r="Q91" s="186">
        <f>IF('prijem - EUR'!$I$87=TRUE,IF($C$11&gt;0,0.00025*M90,0),IF('prijem - EUR'!$I$88=TRUE,IF('prijem - EUR'!$F$88&gt;0,0.00025*M90*-1,0),0))</f>
        <v>0</v>
      </c>
    </row>
    <row r="92" spans="1:17" x14ac:dyDescent="0.2">
      <c r="A92" s="89">
        <v>76</v>
      </c>
      <c r="B92" s="186" t="e">
        <f t="shared" si="10"/>
        <v>#NUM!</v>
      </c>
      <c r="C92" s="171" t="e">
        <f t="shared" si="12"/>
        <v>#NUM!</v>
      </c>
      <c r="D92" s="171" t="e">
        <f t="shared" si="15"/>
        <v>#NUM!</v>
      </c>
      <c r="E92" s="171" t="e">
        <f t="shared" si="16"/>
        <v>#NUM!</v>
      </c>
      <c r="F92" s="171" t="e">
        <f t="shared" si="17"/>
        <v>#NUM!</v>
      </c>
      <c r="G92" s="186">
        <f>IF('prijem - EUR'!$I$87=TRUE,IF($C$11&gt;0,0.00025*C91,0),IF('prijem - EUR'!$I$88=TRUE,IF('prijem - EUR'!$F$88&gt;0,0.00025*C91,0),0))</f>
        <v>0</v>
      </c>
      <c r="K92" s="89">
        <v>76</v>
      </c>
      <c r="L92" s="186" t="e">
        <f t="shared" si="11"/>
        <v>#DIV/0!</v>
      </c>
      <c r="M92" s="171" t="e">
        <f t="shared" si="13"/>
        <v>#DIV/0!</v>
      </c>
      <c r="N92" s="171" t="e">
        <f t="shared" si="14"/>
        <v>#DIV/0!</v>
      </c>
      <c r="O92" s="171" t="e">
        <f t="shared" si="18"/>
        <v>#DIV/0!</v>
      </c>
      <c r="P92" s="171" t="e">
        <f t="shared" si="19"/>
        <v>#DIV/0!</v>
      </c>
      <c r="Q92" s="186">
        <f>IF('prijem - EUR'!$I$87=TRUE,IF($C$11&gt;0,0.00025*M91,0),IF('prijem - EUR'!$I$88=TRUE,IF('prijem - EUR'!$F$88&gt;0,0.00025*M91*-1,0),0))</f>
        <v>0</v>
      </c>
    </row>
    <row r="93" spans="1:17" x14ac:dyDescent="0.2">
      <c r="A93" s="89">
        <v>77</v>
      </c>
      <c r="B93" s="186" t="e">
        <f t="shared" si="10"/>
        <v>#NUM!</v>
      </c>
      <c r="C93" s="171" t="e">
        <f t="shared" si="12"/>
        <v>#NUM!</v>
      </c>
      <c r="D93" s="171" t="e">
        <f t="shared" si="15"/>
        <v>#NUM!</v>
      </c>
      <c r="E93" s="171" t="e">
        <f t="shared" si="16"/>
        <v>#NUM!</v>
      </c>
      <c r="F93" s="171" t="e">
        <f t="shared" si="17"/>
        <v>#NUM!</v>
      </c>
      <c r="G93" s="186">
        <f>IF('prijem - EUR'!$I$87=TRUE,IF($C$11&gt;0,0.00025*C92,0),IF('prijem - EUR'!$I$88=TRUE,IF('prijem - EUR'!$F$88&gt;0,0.00025*C92,0),0))</f>
        <v>0</v>
      </c>
      <c r="K93" s="89">
        <v>77</v>
      </c>
      <c r="L93" s="186" t="e">
        <f t="shared" si="11"/>
        <v>#DIV/0!</v>
      </c>
      <c r="M93" s="171" t="e">
        <f t="shared" si="13"/>
        <v>#DIV/0!</v>
      </c>
      <c r="N93" s="171" t="e">
        <f t="shared" si="14"/>
        <v>#DIV/0!</v>
      </c>
      <c r="O93" s="171" t="e">
        <f t="shared" si="18"/>
        <v>#DIV/0!</v>
      </c>
      <c r="P93" s="171" t="e">
        <f t="shared" si="19"/>
        <v>#DIV/0!</v>
      </c>
      <c r="Q93" s="186">
        <f>IF('prijem - EUR'!$I$87=TRUE,IF($C$11&gt;0,0.00025*M92,0),IF('prijem - EUR'!$I$88=TRUE,IF('prijem - EUR'!$F$88&gt;0,0.00025*M92*-1,0),0))</f>
        <v>0</v>
      </c>
    </row>
    <row r="94" spans="1:17" x14ac:dyDescent="0.2">
      <c r="A94" s="89">
        <v>78</v>
      </c>
      <c r="B94" s="186" t="e">
        <f t="shared" si="10"/>
        <v>#NUM!</v>
      </c>
      <c r="C94" s="171" t="e">
        <f t="shared" si="12"/>
        <v>#NUM!</v>
      </c>
      <c r="D94" s="171" t="e">
        <f t="shared" si="15"/>
        <v>#NUM!</v>
      </c>
      <c r="E94" s="171" t="e">
        <f t="shared" si="16"/>
        <v>#NUM!</v>
      </c>
      <c r="F94" s="171" t="e">
        <f t="shared" si="17"/>
        <v>#NUM!</v>
      </c>
      <c r="G94" s="186">
        <f>IF('prijem - EUR'!$I$87=TRUE,IF($C$11&gt;0,0.00025*C93,0),IF('prijem - EUR'!$I$88=TRUE,IF('prijem - EUR'!$F$88&gt;0,0.00025*C93,0),0))</f>
        <v>0</v>
      </c>
      <c r="K94" s="89">
        <v>78</v>
      </c>
      <c r="L94" s="186" t="e">
        <f t="shared" si="11"/>
        <v>#DIV/0!</v>
      </c>
      <c r="M94" s="171" t="e">
        <f t="shared" si="13"/>
        <v>#DIV/0!</v>
      </c>
      <c r="N94" s="171" t="e">
        <f t="shared" si="14"/>
        <v>#DIV/0!</v>
      </c>
      <c r="O94" s="171" t="e">
        <f t="shared" si="18"/>
        <v>#DIV/0!</v>
      </c>
      <c r="P94" s="171" t="e">
        <f t="shared" si="19"/>
        <v>#DIV/0!</v>
      </c>
      <c r="Q94" s="186">
        <f>IF('prijem - EUR'!$I$87=TRUE,IF($C$11&gt;0,0.00025*M93,0),IF('prijem - EUR'!$I$88=TRUE,IF('prijem - EUR'!$F$88&gt;0,0.00025*M93*-1,0),0))</f>
        <v>0</v>
      </c>
    </row>
    <row r="95" spans="1:17" x14ac:dyDescent="0.2">
      <c r="A95" s="89">
        <v>79</v>
      </c>
      <c r="B95" s="186" t="e">
        <f t="shared" si="10"/>
        <v>#NUM!</v>
      </c>
      <c r="C95" s="171" t="e">
        <f t="shared" si="12"/>
        <v>#NUM!</v>
      </c>
      <c r="D95" s="171" t="e">
        <f t="shared" si="15"/>
        <v>#NUM!</v>
      </c>
      <c r="E95" s="171" t="e">
        <f t="shared" si="16"/>
        <v>#NUM!</v>
      </c>
      <c r="F95" s="171" t="e">
        <f t="shared" si="17"/>
        <v>#NUM!</v>
      </c>
      <c r="G95" s="186">
        <f>IF('prijem - EUR'!$I$87=TRUE,IF($C$11&gt;0,0.00025*C94,0),IF('prijem - EUR'!$I$88=TRUE,IF('prijem - EUR'!$F$88&gt;0,0.00025*C94,0),0))</f>
        <v>0</v>
      </c>
      <c r="K95" s="89">
        <v>79</v>
      </c>
      <c r="L95" s="186" t="e">
        <f t="shared" si="11"/>
        <v>#DIV/0!</v>
      </c>
      <c r="M95" s="171" t="e">
        <f t="shared" si="13"/>
        <v>#DIV/0!</v>
      </c>
      <c r="N95" s="171" t="e">
        <f t="shared" si="14"/>
        <v>#DIV/0!</v>
      </c>
      <c r="O95" s="171" t="e">
        <f t="shared" si="18"/>
        <v>#DIV/0!</v>
      </c>
      <c r="P95" s="171" t="e">
        <f t="shared" si="19"/>
        <v>#DIV/0!</v>
      </c>
      <c r="Q95" s="186">
        <f>IF('prijem - EUR'!$I$87=TRUE,IF($C$11&gt;0,0.00025*M94,0),IF('prijem - EUR'!$I$88=TRUE,IF('prijem - EUR'!$F$88&gt;0,0.00025*M94*-1,0),0))</f>
        <v>0</v>
      </c>
    </row>
    <row r="96" spans="1:17" x14ac:dyDescent="0.2">
      <c r="A96" s="89">
        <v>80</v>
      </c>
      <c r="B96" s="186" t="e">
        <f t="shared" si="10"/>
        <v>#NUM!</v>
      </c>
      <c r="C96" s="171" t="e">
        <f t="shared" si="12"/>
        <v>#NUM!</v>
      </c>
      <c r="D96" s="171" t="e">
        <f t="shared" si="15"/>
        <v>#NUM!</v>
      </c>
      <c r="E96" s="171" t="e">
        <f t="shared" si="16"/>
        <v>#NUM!</v>
      </c>
      <c r="F96" s="171" t="e">
        <f t="shared" si="17"/>
        <v>#NUM!</v>
      </c>
      <c r="G96" s="186">
        <f>IF('prijem - EUR'!$I$87=TRUE,IF($C$11&gt;0,0.00025*C95,0),IF('prijem - EUR'!$I$88=TRUE,IF('prijem - EUR'!$F$88&gt;0,0.00025*C95,0),0))</f>
        <v>0</v>
      </c>
      <c r="K96" s="89">
        <v>80</v>
      </c>
      <c r="L96" s="186" t="e">
        <f t="shared" si="11"/>
        <v>#DIV/0!</v>
      </c>
      <c r="M96" s="171" t="e">
        <f t="shared" si="13"/>
        <v>#DIV/0!</v>
      </c>
      <c r="N96" s="171" t="e">
        <f t="shared" si="14"/>
        <v>#DIV/0!</v>
      </c>
      <c r="O96" s="171" t="e">
        <f t="shared" si="18"/>
        <v>#DIV/0!</v>
      </c>
      <c r="P96" s="171" t="e">
        <f t="shared" si="19"/>
        <v>#DIV/0!</v>
      </c>
      <c r="Q96" s="186">
        <f>IF('prijem - EUR'!$I$87=TRUE,IF($C$11&gt;0,0.00025*M95,0),IF('prijem - EUR'!$I$88=TRUE,IF('prijem - EUR'!$F$88&gt;0,0.00025*M95*-1,0),0))</f>
        <v>0</v>
      </c>
    </row>
    <row r="97" spans="1:17" x14ac:dyDescent="0.2">
      <c r="A97" s="89">
        <v>81</v>
      </c>
      <c r="B97" s="186" t="e">
        <f t="shared" si="10"/>
        <v>#NUM!</v>
      </c>
      <c r="C97" s="171" t="e">
        <f t="shared" si="12"/>
        <v>#NUM!</v>
      </c>
      <c r="D97" s="171" t="e">
        <f t="shared" si="15"/>
        <v>#NUM!</v>
      </c>
      <c r="E97" s="171" t="e">
        <f t="shared" si="16"/>
        <v>#NUM!</v>
      </c>
      <c r="F97" s="171" t="e">
        <f t="shared" si="17"/>
        <v>#NUM!</v>
      </c>
      <c r="G97" s="186">
        <f>IF('prijem - EUR'!$I$87=TRUE,IF($C$11&gt;0,0.00025*C96,0),IF('prijem - EUR'!$I$88=TRUE,IF('prijem - EUR'!$F$88&gt;0,0.00025*C96,0),0))</f>
        <v>0</v>
      </c>
      <c r="K97" s="89">
        <v>81</v>
      </c>
      <c r="L97" s="186" t="e">
        <f t="shared" si="11"/>
        <v>#DIV/0!</v>
      </c>
      <c r="M97" s="171" t="e">
        <f t="shared" si="13"/>
        <v>#DIV/0!</v>
      </c>
      <c r="N97" s="171" t="e">
        <f t="shared" si="14"/>
        <v>#DIV/0!</v>
      </c>
      <c r="O97" s="171" t="e">
        <f t="shared" si="18"/>
        <v>#DIV/0!</v>
      </c>
      <c r="P97" s="171" t="e">
        <f t="shared" si="19"/>
        <v>#DIV/0!</v>
      </c>
      <c r="Q97" s="186">
        <f>IF('prijem - EUR'!$I$87=TRUE,IF($C$11&gt;0,0.00025*M96,0),IF('prijem - EUR'!$I$88=TRUE,IF('prijem - EUR'!$F$88&gt;0,0.00025*M96*-1,0),0))</f>
        <v>0</v>
      </c>
    </row>
    <row r="98" spans="1:17" x14ac:dyDescent="0.2">
      <c r="A98" s="89">
        <v>82</v>
      </c>
      <c r="B98" s="186" t="e">
        <f t="shared" si="10"/>
        <v>#NUM!</v>
      </c>
      <c r="C98" s="171" t="e">
        <f t="shared" si="12"/>
        <v>#NUM!</v>
      </c>
      <c r="D98" s="171" t="e">
        <f t="shared" si="15"/>
        <v>#NUM!</v>
      </c>
      <c r="E98" s="171" t="e">
        <f t="shared" si="16"/>
        <v>#NUM!</v>
      </c>
      <c r="F98" s="171" t="e">
        <f t="shared" si="17"/>
        <v>#NUM!</v>
      </c>
      <c r="G98" s="186">
        <f>IF('prijem - EUR'!$I$87=TRUE,IF($C$11&gt;0,0.00025*C97,0),IF('prijem - EUR'!$I$88=TRUE,IF('prijem - EUR'!$F$88&gt;0,0.00025*C97,0),0))</f>
        <v>0</v>
      </c>
      <c r="K98" s="89">
        <v>82</v>
      </c>
      <c r="L98" s="186" t="e">
        <f t="shared" si="11"/>
        <v>#DIV/0!</v>
      </c>
      <c r="M98" s="171" t="e">
        <f t="shared" si="13"/>
        <v>#DIV/0!</v>
      </c>
      <c r="N98" s="171" t="e">
        <f t="shared" si="14"/>
        <v>#DIV/0!</v>
      </c>
      <c r="O98" s="171" t="e">
        <f t="shared" si="18"/>
        <v>#DIV/0!</v>
      </c>
      <c r="P98" s="171" t="e">
        <f t="shared" si="19"/>
        <v>#DIV/0!</v>
      </c>
      <c r="Q98" s="186">
        <f>IF('prijem - EUR'!$I$87=TRUE,IF($C$11&gt;0,0.00025*M97,0),IF('prijem - EUR'!$I$88=TRUE,IF('prijem - EUR'!$F$88&gt;0,0.00025*M97*-1,0),0))</f>
        <v>0</v>
      </c>
    </row>
    <row r="99" spans="1:17" x14ac:dyDescent="0.2">
      <c r="A99" s="89">
        <v>83</v>
      </c>
      <c r="B99" s="186" t="e">
        <f t="shared" si="10"/>
        <v>#NUM!</v>
      </c>
      <c r="C99" s="171" t="e">
        <f t="shared" si="12"/>
        <v>#NUM!</v>
      </c>
      <c r="D99" s="171" t="e">
        <f t="shared" si="15"/>
        <v>#NUM!</v>
      </c>
      <c r="E99" s="171" t="e">
        <f t="shared" si="16"/>
        <v>#NUM!</v>
      </c>
      <c r="F99" s="171" t="e">
        <f t="shared" si="17"/>
        <v>#NUM!</v>
      </c>
      <c r="G99" s="186">
        <f>IF('prijem - EUR'!$I$87=TRUE,IF($C$11&gt;0,0.00025*C98,0),IF('prijem - EUR'!$I$88=TRUE,IF('prijem - EUR'!$F$88&gt;0,0.00025*C98,0),0))</f>
        <v>0</v>
      </c>
      <c r="K99" s="89">
        <v>83</v>
      </c>
      <c r="L99" s="186" t="e">
        <f t="shared" si="11"/>
        <v>#DIV/0!</v>
      </c>
      <c r="M99" s="171" t="e">
        <f t="shared" si="13"/>
        <v>#DIV/0!</v>
      </c>
      <c r="N99" s="171" t="e">
        <f t="shared" si="14"/>
        <v>#DIV/0!</v>
      </c>
      <c r="O99" s="171" t="e">
        <f t="shared" si="18"/>
        <v>#DIV/0!</v>
      </c>
      <c r="P99" s="171" t="e">
        <f t="shared" si="19"/>
        <v>#DIV/0!</v>
      </c>
      <c r="Q99" s="186">
        <f>IF('prijem - EUR'!$I$87=TRUE,IF($C$11&gt;0,0.00025*M98,0),IF('prijem - EUR'!$I$88=TRUE,IF('prijem - EUR'!$F$88&gt;0,0.00025*M98*-1,0),0))</f>
        <v>0</v>
      </c>
    </row>
    <row r="100" spans="1:17" x14ac:dyDescent="0.2">
      <c r="A100" s="89">
        <v>84</v>
      </c>
      <c r="B100" s="186" t="e">
        <f t="shared" si="10"/>
        <v>#NUM!</v>
      </c>
      <c r="C100" s="171" t="e">
        <f t="shared" si="12"/>
        <v>#NUM!</v>
      </c>
      <c r="D100" s="171" t="e">
        <f t="shared" si="15"/>
        <v>#NUM!</v>
      </c>
      <c r="E100" s="171" t="e">
        <f t="shared" si="16"/>
        <v>#NUM!</v>
      </c>
      <c r="F100" s="171" t="e">
        <f t="shared" si="17"/>
        <v>#NUM!</v>
      </c>
      <c r="G100" s="186">
        <f>IF('prijem - EUR'!$I$87=TRUE,IF($C$11&gt;0,0.00025*C99,0),IF('prijem - EUR'!$I$88=TRUE,IF('prijem - EUR'!$F$88&gt;0,0.00025*C99,0),0))</f>
        <v>0</v>
      </c>
      <c r="K100" s="89">
        <v>84</v>
      </c>
      <c r="L100" s="186" t="e">
        <f t="shared" si="11"/>
        <v>#DIV/0!</v>
      </c>
      <c r="M100" s="171" t="e">
        <f t="shared" si="13"/>
        <v>#DIV/0!</v>
      </c>
      <c r="N100" s="171" t="e">
        <f t="shared" si="14"/>
        <v>#DIV/0!</v>
      </c>
      <c r="O100" s="171" t="e">
        <f t="shared" si="18"/>
        <v>#DIV/0!</v>
      </c>
      <c r="P100" s="171" t="e">
        <f t="shared" si="19"/>
        <v>#DIV/0!</v>
      </c>
      <c r="Q100" s="186">
        <f>IF('prijem - EUR'!$I$87=TRUE,IF($C$11&gt;0,0.00025*M99,0),IF('prijem - EUR'!$I$88=TRUE,IF('prijem - EUR'!$F$88&gt;0,0.00025*M99*-1,0),0))</f>
        <v>0</v>
      </c>
    </row>
    <row r="101" spans="1:17" x14ac:dyDescent="0.2">
      <c r="A101" s="89">
        <v>85</v>
      </c>
      <c r="B101" s="186" t="e">
        <f t="shared" si="10"/>
        <v>#NUM!</v>
      </c>
      <c r="C101" s="171" t="e">
        <f t="shared" si="12"/>
        <v>#NUM!</v>
      </c>
      <c r="D101" s="171" t="e">
        <f t="shared" si="15"/>
        <v>#NUM!</v>
      </c>
      <c r="E101" s="171" t="e">
        <f t="shared" si="16"/>
        <v>#NUM!</v>
      </c>
      <c r="F101" s="171" t="e">
        <f t="shared" si="17"/>
        <v>#NUM!</v>
      </c>
      <c r="G101" s="186">
        <f>IF('prijem - EUR'!$I$87=TRUE,IF($C$11&gt;0,0.00025*C100,0),IF('prijem - EUR'!$I$88=TRUE,IF('prijem - EUR'!$F$88&gt;0,0.00025*C100,0),0))</f>
        <v>0</v>
      </c>
      <c r="K101" s="89">
        <v>85</v>
      </c>
      <c r="L101" s="186" t="e">
        <f t="shared" si="11"/>
        <v>#DIV/0!</v>
      </c>
      <c r="M101" s="171" t="e">
        <f t="shared" si="13"/>
        <v>#DIV/0!</v>
      </c>
      <c r="N101" s="171" t="e">
        <f t="shared" si="14"/>
        <v>#DIV/0!</v>
      </c>
      <c r="O101" s="171" t="e">
        <f t="shared" si="18"/>
        <v>#DIV/0!</v>
      </c>
      <c r="P101" s="171" t="e">
        <f t="shared" si="19"/>
        <v>#DIV/0!</v>
      </c>
      <c r="Q101" s="186">
        <f>IF('prijem - EUR'!$I$87=TRUE,IF($C$11&gt;0,0.00025*M100,0),IF('prijem - EUR'!$I$88=TRUE,IF('prijem - EUR'!$F$88&gt;0,0.00025*M100*-1,0),0))</f>
        <v>0</v>
      </c>
    </row>
    <row r="102" spans="1:17" x14ac:dyDescent="0.2">
      <c r="A102" s="89">
        <v>86</v>
      </c>
      <c r="B102" s="186" t="e">
        <f t="shared" si="10"/>
        <v>#NUM!</v>
      </c>
      <c r="C102" s="171" t="e">
        <f t="shared" si="12"/>
        <v>#NUM!</v>
      </c>
      <c r="D102" s="171" t="e">
        <f t="shared" si="15"/>
        <v>#NUM!</v>
      </c>
      <c r="E102" s="171" t="e">
        <f t="shared" si="16"/>
        <v>#NUM!</v>
      </c>
      <c r="F102" s="171" t="e">
        <f t="shared" si="17"/>
        <v>#NUM!</v>
      </c>
      <c r="G102" s="186">
        <f>IF('prijem - EUR'!$I$87=TRUE,IF($C$11&gt;0,0.00025*C101,0),IF('prijem - EUR'!$I$88=TRUE,IF('prijem - EUR'!$F$88&gt;0,0.00025*C101,0),0))</f>
        <v>0</v>
      </c>
      <c r="K102" s="89">
        <v>86</v>
      </c>
      <c r="L102" s="186" t="e">
        <f t="shared" si="11"/>
        <v>#DIV/0!</v>
      </c>
      <c r="M102" s="171" t="e">
        <f t="shared" si="13"/>
        <v>#DIV/0!</v>
      </c>
      <c r="N102" s="171" t="e">
        <f t="shared" si="14"/>
        <v>#DIV/0!</v>
      </c>
      <c r="O102" s="171" t="e">
        <f t="shared" si="18"/>
        <v>#DIV/0!</v>
      </c>
      <c r="P102" s="171" t="e">
        <f t="shared" si="19"/>
        <v>#DIV/0!</v>
      </c>
      <c r="Q102" s="186">
        <f>IF('prijem - EUR'!$I$87=TRUE,IF($C$11&gt;0,0.00025*M101,0),IF('prijem - EUR'!$I$88=TRUE,IF('prijem - EUR'!$F$88&gt;0,0.00025*M101*-1,0),0))</f>
        <v>0</v>
      </c>
    </row>
    <row r="103" spans="1:17" x14ac:dyDescent="0.2">
      <c r="A103" s="89">
        <v>87</v>
      </c>
      <c r="B103" s="186" t="e">
        <f t="shared" si="10"/>
        <v>#NUM!</v>
      </c>
      <c r="C103" s="171" t="e">
        <f t="shared" si="12"/>
        <v>#NUM!</v>
      </c>
      <c r="D103" s="171" t="e">
        <f t="shared" si="15"/>
        <v>#NUM!</v>
      </c>
      <c r="E103" s="171" t="e">
        <f t="shared" si="16"/>
        <v>#NUM!</v>
      </c>
      <c r="F103" s="171" t="e">
        <f t="shared" si="17"/>
        <v>#NUM!</v>
      </c>
      <c r="G103" s="186">
        <f>IF('prijem - EUR'!$I$87=TRUE,IF($C$11&gt;0,0.00025*C102,0),IF('prijem - EUR'!$I$88=TRUE,IF('prijem - EUR'!$F$88&gt;0,0.00025*C102,0),0))</f>
        <v>0</v>
      </c>
      <c r="K103" s="89">
        <v>87</v>
      </c>
      <c r="L103" s="186" t="e">
        <f t="shared" si="11"/>
        <v>#DIV/0!</v>
      </c>
      <c r="M103" s="171" t="e">
        <f t="shared" si="13"/>
        <v>#DIV/0!</v>
      </c>
      <c r="N103" s="171" t="e">
        <f t="shared" si="14"/>
        <v>#DIV/0!</v>
      </c>
      <c r="O103" s="171" t="e">
        <f t="shared" si="18"/>
        <v>#DIV/0!</v>
      </c>
      <c r="P103" s="171" t="e">
        <f t="shared" si="19"/>
        <v>#DIV/0!</v>
      </c>
      <c r="Q103" s="186">
        <f>IF('prijem - EUR'!$I$87=TRUE,IF($C$11&gt;0,0.00025*M102,0),IF('prijem - EUR'!$I$88=TRUE,IF('prijem - EUR'!$F$88&gt;0,0.00025*M102*-1,0),0))</f>
        <v>0</v>
      </c>
    </row>
    <row r="104" spans="1:17" x14ac:dyDescent="0.2">
      <c r="A104" s="89">
        <v>88</v>
      </c>
      <c r="B104" s="186" t="e">
        <f t="shared" si="10"/>
        <v>#NUM!</v>
      </c>
      <c r="C104" s="171" t="e">
        <f t="shared" si="12"/>
        <v>#NUM!</v>
      </c>
      <c r="D104" s="171" t="e">
        <f t="shared" si="15"/>
        <v>#NUM!</v>
      </c>
      <c r="E104" s="171" t="e">
        <f t="shared" si="16"/>
        <v>#NUM!</v>
      </c>
      <c r="F104" s="171" t="e">
        <f t="shared" si="17"/>
        <v>#NUM!</v>
      </c>
      <c r="G104" s="186">
        <f>IF('prijem - EUR'!$I$87=TRUE,IF($C$11&gt;0,0.00025*C103,0),IF('prijem - EUR'!$I$88=TRUE,IF('prijem - EUR'!$F$88&gt;0,0.00025*C103,0),0))</f>
        <v>0</v>
      </c>
      <c r="K104" s="89">
        <v>88</v>
      </c>
      <c r="L104" s="186" t="e">
        <f t="shared" si="11"/>
        <v>#DIV/0!</v>
      </c>
      <c r="M104" s="171" t="e">
        <f t="shared" si="13"/>
        <v>#DIV/0!</v>
      </c>
      <c r="N104" s="171" t="e">
        <f t="shared" si="14"/>
        <v>#DIV/0!</v>
      </c>
      <c r="O104" s="171" t="e">
        <f t="shared" si="18"/>
        <v>#DIV/0!</v>
      </c>
      <c r="P104" s="171" t="e">
        <f t="shared" si="19"/>
        <v>#DIV/0!</v>
      </c>
      <c r="Q104" s="186">
        <f>IF('prijem - EUR'!$I$87=TRUE,IF($C$11&gt;0,0.00025*M103,0),IF('prijem - EUR'!$I$88=TRUE,IF('prijem - EUR'!$F$88&gt;0,0.00025*M103*-1,0),0))</f>
        <v>0</v>
      </c>
    </row>
    <row r="105" spans="1:17" x14ac:dyDescent="0.2">
      <c r="A105" s="89">
        <v>89</v>
      </c>
      <c r="B105" s="186" t="e">
        <f t="shared" si="10"/>
        <v>#NUM!</v>
      </c>
      <c r="C105" s="171" t="e">
        <f t="shared" si="12"/>
        <v>#NUM!</v>
      </c>
      <c r="D105" s="171" t="e">
        <f t="shared" si="15"/>
        <v>#NUM!</v>
      </c>
      <c r="E105" s="171" t="e">
        <f t="shared" si="16"/>
        <v>#NUM!</v>
      </c>
      <c r="F105" s="171" t="e">
        <f t="shared" si="17"/>
        <v>#NUM!</v>
      </c>
      <c r="G105" s="186">
        <f>IF('prijem - EUR'!$I$87=TRUE,IF($C$11&gt;0,0.00025*C104,0),IF('prijem - EUR'!$I$88=TRUE,IF('prijem - EUR'!$F$88&gt;0,0.00025*C104,0),0))</f>
        <v>0</v>
      </c>
      <c r="K105" s="89">
        <v>89</v>
      </c>
      <c r="L105" s="186" t="e">
        <f t="shared" si="11"/>
        <v>#DIV/0!</v>
      </c>
      <c r="M105" s="171" t="e">
        <f t="shared" si="13"/>
        <v>#DIV/0!</v>
      </c>
      <c r="N105" s="171" t="e">
        <f t="shared" si="14"/>
        <v>#DIV/0!</v>
      </c>
      <c r="O105" s="171" t="e">
        <f t="shared" si="18"/>
        <v>#DIV/0!</v>
      </c>
      <c r="P105" s="171" t="e">
        <f t="shared" si="19"/>
        <v>#DIV/0!</v>
      </c>
      <c r="Q105" s="186">
        <f>IF('prijem - EUR'!$I$87=TRUE,IF($C$11&gt;0,0.00025*M104,0),IF('prijem - EUR'!$I$88=TRUE,IF('prijem - EUR'!$F$88&gt;0,0.00025*M104*-1,0),0))</f>
        <v>0</v>
      </c>
    </row>
    <row r="106" spans="1:17" x14ac:dyDescent="0.2">
      <c r="A106" s="89">
        <v>90</v>
      </c>
      <c r="B106" s="186" t="e">
        <f t="shared" ref="B106:B169" si="20">IF(C105&gt;0.00001,F106-G106,0)</f>
        <v>#NUM!</v>
      </c>
      <c r="C106" s="171" t="e">
        <f t="shared" si="12"/>
        <v>#NUM!</v>
      </c>
      <c r="D106" s="171" t="e">
        <f t="shared" si="15"/>
        <v>#NUM!</v>
      </c>
      <c r="E106" s="171" t="e">
        <f t="shared" si="16"/>
        <v>#NUM!</v>
      </c>
      <c r="F106" s="171" t="e">
        <f t="shared" si="17"/>
        <v>#NUM!</v>
      </c>
      <c r="G106" s="186">
        <f>IF('prijem - EUR'!$I$87=TRUE,IF($C$11&gt;0,0.00025*C105,0),IF('prijem - EUR'!$I$88=TRUE,IF('prijem - EUR'!$F$88&gt;0,0.00025*C105,0),0))</f>
        <v>0</v>
      </c>
      <c r="K106" s="89">
        <v>90</v>
      </c>
      <c r="L106" s="186" t="e">
        <f t="shared" ref="L106:L169" si="21">IF(M105&gt;0.00001,P106-Q106,0)*-1</f>
        <v>#DIV/0!</v>
      </c>
      <c r="M106" s="171" t="e">
        <f t="shared" si="13"/>
        <v>#DIV/0!</v>
      </c>
      <c r="N106" s="171" t="e">
        <f t="shared" si="14"/>
        <v>#DIV/0!</v>
      </c>
      <c r="O106" s="171" t="e">
        <f t="shared" si="18"/>
        <v>#DIV/0!</v>
      </c>
      <c r="P106" s="171" t="e">
        <f t="shared" si="19"/>
        <v>#DIV/0!</v>
      </c>
      <c r="Q106" s="186">
        <f>IF('prijem - EUR'!$I$87=TRUE,IF($C$11&gt;0,0.00025*M105,0),IF('prijem - EUR'!$I$88=TRUE,IF('prijem - EUR'!$F$88&gt;0,0.00025*M105*-1,0),0))</f>
        <v>0</v>
      </c>
    </row>
    <row r="107" spans="1:17" x14ac:dyDescent="0.2">
      <c r="A107" s="89">
        <v>91</v>
      </c>
      <c r="B107" s="186" t="e">
        <f t="shared" si="20"/>
        <v>#NUM!</v>
      </c>
      <c r="C107" s="171" t="e">
        <f t="shared" si="12"/>
        <v>#NUM!</v>
      </c>
      <c r="D107" s="171" t="e">
        <f t="shared" si="15"/>
        <v>#NUM!</v>
      </c>
      <c r="E107" s="171" t="e">
        <f t="shared" si="16"/>
        <v>#NUM!</v>
      </c>
      <c r="F107" s="171" t="e">
        <f t="shared" si="17"/>
        <v>#NUM!</v>
      </c>
      <c r="G107" s="186">
        <f>IF('prijem - EUR'!$I$87=TRUE,IF($C$11&gt;0,0.00025*C106,0),IF('prijem - EUR'!$I$88=TRUE,IF('prijem - EUR'!$F$88&gt;0,0.00025*C106,0),0))</f>
        <v>0</v>
      </c>
      <c r="K107" s="89">
        <v>91</v>
      </c>
      <c r="L107" s="186" t="e">
        <f t="shared" si="21"/>
        <v>#DIV/0!</v>
      </c>
      <c r="M107" s="171" t="e">
        <f t="shared" si="13"/>
        <v>#DIV/0!</v>
      </c>
      <c r="N107" s="171" t="e">
        <f t="shared" si="14"/>
        <v>#DIV/0!</v>
      </c>
      <c r="O107" s="171" t="e">
        <f t="shared" si="18"/>
        <v>#DIV/0!</v>
      </c>
      <c r="P107" s="171" t="e">
        <f t="shared" si="19"/>
        <v>#DIV/0!</v>
      </c>
      <c r="Q107" s="186">
        <f>IF('prijem - EUR'!$I$87=TRUE,IF($C$11&gt;0,0.00025*M106,0),IF('prijem - EUR'!$I$88=TRUE,IF('prijem - EUR'!$F$88&gt;0,0.00025*M106*-1,0),0))</f>
        <v>0</v>
      </c>
    </row>
    <row r="108" spans="1:17" x14ac:dyDescent="0.2">
      <c r="A108" s="89">
        <v>92</v>
      </c>
      <c r="B108" s="186" t="e">
        <f t="shared" si="20"/>
        <v>#NUM!</v>
      </c>
      <c r="C108" s="171" t="e">
        <f t="shared" si="12"/>
        <v>#NUM!</v>
      </c>
      <c r="D108" s="171" t="e">
        <f t="shared" si="15"/>
        <v>#NUM!</v>
      </c>
      <c r="E108" s="171" t="e">
        <f t="shared" si="16"/>
        <v>#NUM!</v>
      </c>
      <c r="F108" s="171" t="e">
        <f t="shared" si="17"/>
        <v>#NUM!</v>
      </c>
      <c r="G108" s="186">
        <f>IF('prijem - EUR'!$I$87=TRUE,IF($C$11&gt;0,0.00025*C107,0),IF('prijem - EUR'!$I$88=TRUE,IF('prijem - EUR'!$F$88&gt;0,0.00025*C107,0),0))</f>
        <v>0</v>
      </c>
      <c r="K108" s="89">
        <v>92</v>
      </c>
      <c r="L108" s="186" t="e">
        <f t="shared" si="21"/>
        <v>#DIV/0!</v>
      </c>
      <c r="M108" s="171" t="e">
        <f t="shared" si="13"/>
        <v>#DIV/0!</v>
      </c>
      <c r="N108" s="171" t="e">
        <f t="shared" si="14"/>
        <v>#DIV/0!</v>
      </c>
      <c r="O108" s="171" t="e">
        <f t="shared" si="18"/>
        <v>#DIV/0!</v>
      </c>
      <c r="P108" s="171" t="e">
        <f t="shared" si="19"/>
        <v>#DIV/0!</v>
      </c>
      <c r="Q108" s="186">
        <f>IF('prijem - EUR'!$I$87=TRUE,IF($C$11&gt;0,0.00025*M107,0),IF('prijem - EUR'!$I$88=TRUE,IF('prijem - EUR'!$F$88&gt;0,0.00025*M107*-1,0),0))</f>
        <v>0</v>
      </c>
    </row>
    <row r="109" spans="1:17" x14ac:dyDescent="0.2">
      <c r="A109" s="89">
        <v>93</v>
      </c>
      <c r="B109" s="186" t="e">
        <f t="shared" si="20"/>
        <v>#NUM!</v>
      </c>
      <c r="C109" s="171" t="e">
        <f t="shared" si="12"/>
        <v>#NUM!</v>
      </c>
      <c r="D109" s="171" t="e">
        <f t="shared" si="15"/>
        <v>#NUM!</v>
      </c>
      <c r="E109" s="171" t="e">
        <f t="shared" si="16"/>
        <v>#NUM!</v>
      </c>
      <c r="F109" s="171" t="e">
        <f t="shared" si="17"/>
        <v>#NUM!</v>
      </c>
      <c r="G109" s="186">
        <f>IF('prijem - EUR'!$I$87=TRUE,IF($C$11&gt;0,0.00025*C108,0),IF('prijem - EUR'!$I$88=TRUE,IF('prijem - EUR'!$F$88&gt;0,0.00025*C108,0),0))</f>
        <v>0</v>
      </c>
      <c r="K109" s="89">
        <v>93</v>
      </c>
      <c r="L109" s="186" t="e">
        <f t="shared" si="21"/>
        <v>#DIV/0!</v>
      </c>
      <c r="M109" s="171" t="e">
        <f t="shared" si="13"/>
        <v>#DIV/0!</v>
      </c>
      <c r="N109" s="171" t="e">
        <f t="shared" si="14"/>
        <v>#DIV/0!</v>
      </c>
      <c r="O109" s="171" t="e">
        <f t="shared" si="18"/>
        <v>#DIV/0!</v>
      </c>
      <c r="P109" s="171" t="e">
        <f t="shared" si="19"/>
        <v>#DIV/0!</v>
      </c>
      <c r="Q109" s="186">
        <f>IF('prijem - EUR'!$I$87=TRUE,IF($C$11&gt;0,0.00025*M108,0),IF('prijem - EUR'!$I$88=TRUE,IF('prijem - EUR'!$F$88&gt;0,0.00025*M108*-1,0),0))</f>
        <v>0</v>
      </c>
    </row>
    <row r="110" spans="1:17" x14ac:dyDescent="0.2">
      <c r="A110" s="89">
        <v>94</v>
      </c>
      <c r="B110" s="186" t="e">
        <f t="shared" si="20"/>
        <v>#NUM!</v>
      </c>
      <c r="C110" s="171" t="e">
        <f t="shared" si="12"/>
        <v>#NUM!</v>
      </c>
      <c r="D110" s="171" t="e">
        <f t="shared" si="15"/>
        <v>#NUM!</v>
      </c>
      <c r="E110" s="171" t="e">
        <f t="shared" si="16"/>
        <v>#NUM!</v>
      </c>
      <c r="F110" s="171" t="e">
        <f t="shared" si="17"/>
        <v>#NUM!</v>
      </c>
      <c r="G110" s="186">
        <f>IF('prijem - EUR'!$I$87=TRUE,IF($C$11&gt;0,0.00025*C109,0),IF('prijem - EUR'!$I$88=TRUE,IF('prijem - EUR'!$F$88&gt;0,0.00025*C109,0),0))</f>
        <v>0</v>
      </c>
      <c r="K110" s="89">
        <v>94</v>
      </c>
      <c r="L110" s="186" t="e">
        <f t="shared" si="21"/>
        <v>#DIV/0!</v>
      </c>
      <c r="M110" s="171" t="e">
        <f t="shared" si="13"/>
        <v>#DIV/0!</v>
      </c>
      <c r="N110" s="171" t="e">
        <f t="shared" si="14"/>
        <v>#DIV/0!</v>
      </c>
      <c r="O110" s="171" t="e">
        <f t="shared" si="18"/>
        <v>#DIV/0!</v>
      </c>
      <c r="P110" s="171" t="e">
        <f t="shared" si="19"/>
        <v>#DIV/0!</v>
      </c>
      <c r="Q110" s="186">
        <f>IF('prijem - EUR'!$I$87=TRUE,IF($C$11&gt;0,0.00025*M109,0),IF('prijem - EUR'!$I$88=TRUE,IF('prijem - EUR'!$F$88&gt;0,0.00025*M109*-1,0),0))</f>
        <v>0</v>
      </c>
    </row>
    <row r="111" spans="1:17" x14ac:dyDescent="0.2">
      <c r="A111" s="89">
        <v>95</v>
      </c>
      <c r="B111" s="186" t="e">
        <f t="shared" si="20"/>
        <v>#NUM!</v>
      </c>
      <c r="C111" s="171" t="e">
        <f t="shared" si="12"/>
        <v>#NUM!</v>
      </c>
      <c r="D111" s="171" t="e">
        <f t="shared" si="15"/>
        <v>#NUM!</v>
      </c>
      <c r="E111" s="171" t="e">
        <f t="shared" si="16"/>
        <v>#NUM!</v>
      </c>
      <c r="F111" s="171" t="e">
        <f t="shared" si="17"/>
        <v>#NUM!</v>
      </c>
      <c r="G111" s="186">
        <f>IF('prijem - EUR'!$I$87=TRUE,IF($C$11&gt;0,0.00025*C110,0),IF('prijem - EUR'!$I$88=TRUE,IF('prijem - EUR'!$F$88&gt;0,0.00025*C110,0),0))</f>
        <v>0</v>
      </c>
      <c r="K111" s="89">
        <v>95</v>
      </c>
      <c r="L111" s="186" t="e">
        <f t="shared" si="21"/>
        <v>#DIV/0!</v>
      </c>
      <c r="M111" s="171" t="e">
        <f t="shared" si="13"/>
        <v>#DIV/0!</v>
      </c>
      <c r="N111" s="171" t="e">
        <f t="shared" si="14"/>
        <v>#DIV/0!</v>
      </c>
      <c r="O111" s="171" t="e">
        <f t="shared" si="18"/>
        <v>#DIV/0!</v>
      </c>
      <c r="P111" s="171" t="e">
        <f t="shared" si="19"/>
        <v>#DIV/0!</v>
      </c>
      <c r="Q111" s="186">
        <f>IF('prijem - EUR'!$I$87=TRUE,IF($C$11&gt;0,0.00025*M110,0),IF('prijem - EUR'!$I$88=TRUE,IF('prijem - EUR'!$F$88&gt;0,0.00025*M110*-1,0),0))</f>
        <v>0</v>
      </c>
    </row>
    <row r="112" spans="1:17" x14ac:dyDescent="0.2">
      <c r="A112" s="89">
        <v>96</v>
      </c>
      <c r="B112" s="186" t="e">
        <f t="shared" si="20"/>
        <v>#NUM!</v>
      </c>
      <c r="C112" s="171" t="e">
        <f t="shared" si="12"/>
        <v>#NUM!</v>
      </c>
      <c r="D112" s="171" t="e">
        <f t="shared" si="15"/>
        <v>#NUM!</v>
      </c>
      <c r="E112" s="171" t="e">
        <f t="shared" si="16"/>
        <v>#NUM!</v>
      </c>
      <c r="F112" s="171" t="e">
        <f t="shared" si="17"/>
        <v>#NUM!</v>
      </c>
      <c r="G112" s="186">
        <f>IF('prijem - EUR'!$I$87=TRUE,IF($C$11&gt;0,0.00025*C111,0),IF('prijem - EUR'!$I$88=TRUE,IF('prijem - EUR'!$F$88&gt;0,0.00025*C111,0),0))</f>
        <v>0</v>
      </c>
      <c r="K112" s="89">
        <v>96</v>
      </c>
      <c r="L112" s="186" t="e">
        <f t="shared" si="21"/>
        <v>#DIV/0!</v>
      </c>
      <c r="M112" s="171" t="e">
        <f t="shared" si="13"/>
        <v>#DIV/0!</v>
      </c>
      <c r="N112" s="171" t="e">
        <f t="shared" si="14"/>
        <v>#DIV/0!</v>
      </c>
      <c r="O112" s="171" t="e">
        <f t="shared" si="18"/>
        <v>#DIV/0!</v>
      </c>
      <c r="P112" s="171" t="e">
        <f t="shared" si="19"/>
        <v>#DIV/0!</v>
      </c>
      <c r="Q112" s="186">
        <f>IF('prijem - EUR'!$I$87=TRUE,IF($C$11&gt;0,0.00025*M111,0),IF('prijem - EUR'!$I$88=TRUE,IF('prijem - EUR'!$F$88&gt;0,0.00025*M111*-1,0),0))</f>
        <v>0</v>
      </c>
    </row>
    <row r="113" spans="1:17" x14ac:dyDescent="0.2">
      <c r="A113" s="89">
        <v>97</v>
      </c>
      <c r="B113" s="186" t="e">
        <f t="shared" si="20"/>
        <v>#NUM!</v>
      </c>
      <c r="C113" s="171" t="e">
        <f t="shared" si="12"/>
        <v>#NUM!</v>
      </c>
      <c r="D113" s="171" t="e">
        <f t="shared" si="15"/>
        <v>#NUM!</v>
      </c>
      <c r="E113" s="171" t="e">
        <f t="shared" si="16"/>
        <v>#NUM!</v>
      </c>
      <c r="F113" s="171" t="e">
        <f t="shared" si="17"/>
        <v>#NUM!</v>
      </c>
      <c r="G113" s="186">
        <f>IF('prijem - EUR'!$I$87=TRUE,IF($C$11&gt;0,0.00025*C112,0),IF('prijem - EUR'!$I$88=TRUE,IF('prijem - EUR'!$F$88&gt;0,0.00025*C112,0),0))</f>
        <v>0</v>
      </c>
      <c r="K113" s="89">
        <v>97</v>
      </c>
      <c r="L113" s="186" t="e">
        <f t="shared" si="21"/>
        <v>#DIV/0!</v>
      </c>
      <c r="M113" s="171" t="e">
        <f t="shared" si="13"/>
        <v>#DIV/0!</v>
      </c>
      <c r="N113" s="171" t="e">
        <f t="shared" si="14"/>
        <v>#DIV/0!</v>
      </c>
      <c r="O113" s="171" t="e">
        <f t="shared" si="18"/>
        <v>#DIV/0!</v>
      </c>
      <c r="P113" s="171" t="e">
        <f t="shared" si="19"/>
        <v>#DIV/0!</v>
      </c>
      <c r="Q113" s="186">
        <f>IF('prijem - EUR'!$I$87=TRUE,IF($C$11&gt;0,0.00025*M112,0),IF('prijem - EUR'!$I$88=TRUE,IF('prijem - EUR'!$F$88&gt;0,0.00025*M112*-1,0),0))</f>
        <v>0</v>
      </c>
    </row>
    <row r="114" spans="1:17" x14ac:dyDescent="0.2">
      <c r="A114" s="89">
        <v>98</v>
      </c>
      <c r="B114" s="186" t="e">
        <f t="shared" si="20"/>
        <v>#NUM!</v>
      </c>
      <c r="C114" s="171" t="e">
        <f t="shared" si="12"/>
        <v>#NUM!</v>
      </c>
      <c r="D114" s="171" t="e">
        <f t="shared" si="15"/>
        <v>#NUM!</v>
      </c>
      <c r="E114" s="171" t="e">
        <f t="shared" si="16"/>
        <v>#NUM!</v>
      </c>
      <c r="F114" s="171" t="e">
        <f t="shared" si="17"/>
        <v>#NUM!</v>
      </c>
      <c r="G114" s="186">
        <f>IF('prijem - EUR'!$I$87=TRUE,IF($C$11&gt;0,0.00025*C113,0),IF('prijem - EUR'!$I$88=TRUE,IF('prijem - EUR'!$F$88&gt;0,0.00025*C113,0),0))</f>
        <v>0</v>
      </c>
      <c r="K114" s="89">
        <v>98</v>
      </c>
      <c r="L114" s="186" t="e">
        <f t="shared" si="21"/>
        <v>#DIV/0!</v>
      </c>
      <c r="M114" s="171" t="e">
        <f t="shared" si="13"/>
        <v>#DIV/0!</v>
      </c>
      <c r="N114" s="171" t="e">
        <f t="shared" si="14"/>
        <v>#DIV/0!</v>
      </c>
      <c r="O114" s="171" t="e">
        <f t="shared" si="18"/>
        <v>#DIV/0!</v>
      </c>
      <c r="P114" s="171" t="e">
        <f t="shared" si="19"/>
        <v>#DIV/0!</v>
      </c>
      <c r="Q114" s="186">
        <f>IF('prijem - EUR'!$I$87=TRUE,IF($C$11&gt;0,0.00025*M113,0),IF('prijem - EUR'!$I$88=TRUE,IF('prijem - EUR'!$F$88&gt;0,0.00025*M113*-1,0),0))</f>
        <v>0</v>
      </c>
    </row>
    <row r="115" spans="1:17" x14ac:dyDescent="0.2">
      <c r="A115" s="89">
        <v>99</v>
      </c>
      <c r="B115" s="186" t="e">
        <f t="shared" si="20"/>
        <v>#NUM!</v>
      </c>
      <c r="C115" s="171" t="e">
        <f t="shared" si="12"/>
        <v>#NUM!</v>
      </c>
      <c r="D115" s="171" t="e">
        <f t="shared" si="15"/>
        <v>#NUM!</v>
      </c>
      <c r="E115" s="171" t="e">
        <f t="shared" si="16"/>
        <v>#NUM!</v>
      </c>
      <c r="F115" s="171" t="e">
        <f t="shared" si="17"/>
        <v>#NUM!</v>
      </c>
      <c r="G115" s="186">
        <f>IF('prijem - EUR'!$I$87=TRUE,IF($C$11&gt;0,0.00025*C114,0),IF('prijem - EUR'!$I$88=TRUE,IF('prijem - EUR'!$F$88&gt;0,0.00025*C114,0),0))</f>
        <v>0</v>
      </c>
      <c r="K115" s="89">
        <v>99</v>
      </c>
      <c r="L115" s="186" t="e">
        <f t="shared" si="21"/>
        <v>#DIV/0!</v>
      </c>
      <c r="M115" s="171" t="e">
        <f t="shared" si="13"/>
        <v>#DIV/0!</v>
      </c>
      <c r="N115" s="171" t="e">
        <f t="shared" si="14"/>
        <v>#DIV/0!</v>
      </c>
      <c r="O115" s="171" t="e">
        <f t="shared" si="18"/>
        <v>#DIV/0!</v>
      </c>
      <c r="P115" s="171" t="e">
        <f t="shared" si="19"/>
        <v>#DIV/0!</v>
      </c>
      <c r="Q115" s="186">
        <f>IF('prijem - EUR'!$I$87=TRUE,IF($C$11&gt;0,0.00025*M114,0),IF('prijem - EUR'!$I$88=TRUE,IF('prijem - EUR'!$F$88&gt;0,0.00025*M114*-1,0),0))</f>
        <v>0</v>
      </c>
    </row>
    <row r="116" spans="1:17" x14ac:dyDescent="0.2">
      <c r="A116" s="89">
        <v>100</v>
      </c>
      <c r="B116" s="186" t="e">
        <f t="shared" si="20"/>
        <v>#NUM!</v>
      </c>
      <c r="C116" s="171" t="e">
        <f t="shared" si="12"/>
        <v>#NUM!</v>
      </c>
      <c r="D116" s="171" t="e">
        <f t="shared" si="15"/>
        <v>#NUM!</v>
      </c>
      <c r="E116" s="171" t="e">
        <f t="shared" si="16"/>
        <v>#NUM!</v>
      </c>
      <c r="F116" s="171" t="e">
        <f t="shared" si="17"/>
        <v>#NUM!</v>
      </c>
      <c r="G116" s="186">
        <f>IF('prijem - EUR'!$I$87=TRUE,IF($C$11&gt;0,0.00025*C115,0),IF('prijem - EUR'!$I$88=TRUE,IF('prijem - EUR'!$F$88&gt;0,0.00025*C115,0),0))</f>
        <v>0</v>
      </c>
      <c r="K116" s="89">
        <v>100</v>
      </c>
      <c r="L116" s="186" t="e">
        <f t="shared" si="21"/>
        <v>#DIV/0!</v>
      </c>
      <c r="M116" s="171" t="e">
        <f t="shared" si="13"/>
        <v>#DIV/0!</v>
      </c>
      <c r="N116" s="171" t="e">
        <f t="shared" si="14"/>
        <v>#DIV/0!</v>
      </c>
      <c r="O116" s="171" t="e">
        <f t="shared" si="18"/>
        <v>#DIV/0!</v>
      </c>
      <c r="P116" s="171" t="e">
        <f t="shared" si="19"/>
        <v>#DIV/0!</v>
      </c>
      <c r="Q116" s="186">
        <f>IF('prijem - EUR'!$I$87=TRUE,IF($C$11&gt;0,0.00025*M115,0),IF('prijem - EUR'!$I$88=TRUE,IF('prijem - EUR'!$F$88&gt;0,0.00025*M115*-1,0),0))</f>
        <v>0</v>
      </c>
    </row>
    <row r="117" spans="1:17" x14ac:dyDescent="0.2">
      <c r="A117" s="89">
        <v>101</v>
      </c>
      <c r="B117" s="186" t="e">
        <f t="shared" si="20"/>
        <v>#NUM!</v>
      </c>
      <c r="C117" s="171" t="e">
        <f t="shared" si="12"/>
        <v>#NUM!</v>
      </c>
      <c r="D117" s="171" t="e">
        <f t="shared" si="15"/>
        <v>#NUM!</v>
      </c>
      <c r="E117" s="171" t="e">
        <f t="shared" si="16"/>
        <v>#NUM!</v>
      </c>
      <c r="F117" s="171" t="e">
        <f t="shared" si="17"/>
        <v>#NUM!</v>
      </c>
      <c r="G117" s="186">
        <f>IF('prijem - EUR'!$I$87=TRUE,IF($C$11&gt;0,0.00025*C116,0),IF('prijem - EUR'!$I$88=TRUE,IF('prijem - EUR'!$F$88&gt;0,0.00025*C116,0),0))</f>
        <v>0</v>
      </c>
      <c r="K117" s="89">
        <v>101</v>
      </c>
      <c r="L117" s="186" t="e">
        <f t="shared" si="21"/>
        <v>#DIV/0!</v>
      </c>
      <c r="M117" s="171" t="e">
        <f t="shared" si="13"/>
        <v>#DIV/0!</v>
      </c>
      <c r="N117" s="171" t="e">
        <f t="shared" si="14"/>
        <v>#DIV/0!</v>
      </c>
      <c r="O117" s="171" t="e">
        <f t="shared" si="18"/>
        <v>#DIV/0!</v>
      </c>
      <c r="P117" s="171" t="e">
        <f t="shared" si="19"/>
        <v>#DIV/0!</v>
      </c>
      <c r="Q117" s="186">
        <f>IF('prijem - EUR'!$I$87=TRUE,IF($C$11&gt;0,0.00025*M116,0),IF('prijem - EUR'!$I$88=TRUE,IF('prijem - EUR'!$F$88&gt;0,0.00025*M116*-1,0),0))</f>
        <v>0</v>
      </c>
    </row>
    <row r="118" spans="1:17" x14ac:dyDescent="0.2">
      <c r="A118" s="89">
        <v>102</v>
      </c>
      <c r="B118" s="186" t="e">
        <f t="shared" si="20"/>
        <v>#NUM!</v>
      </c>
      <c r="C118" s="171" t="e">
        <f t="shared" si="12"/>
        <v>#NUM!</v>
      </c>
      <c r="D118" s="171" t="e">
        <f t="shared" si="15"/>
        <v>#NUM!</v>
      </c>
      <c r="E118" s="171" t="e">
        <f t="shared" si="16"/>
        <v>#NUM!</v>
      </c>
      <c r="F118" s="171" t="e">
        <f t="shared" si="17"/>
        <v>#NUM!</v>
      </c>
      <c r="G118" s="186">
        <f>IF('prijem - EUR'!$I$87=TRUE,IF($C$11&gt;0,0.00025*C117,0),IF('prijem - EUR'!$I$88=TRUE,IF('prijem - EUR'!$F$88&gt;0,0.00025*C117,0),0))</f>
        <v>0</v>
      </c>
      <c r="K118" s="89">
        <v>102</v>
      </c>
      <c r="L118" s="186" t="e">
        <f t="shared" si="21"/>
        <v>#DIV/0!</v>
      </c>
      <c r="M118" s="171" t="e">
        <f t="shared" si="13"/>
        <v>#DIV/0!</v>
      </c>
      <c r="N118" s="171" t="e">
        <f t="shared" si="14"/>
        <v>#DIV/0!</v>
      </c>
      <c r="O118" s="171" t="e">
        <f t="shared" si="18"/>
        <v>#DIV/0!</v>
      </c>
      <c r="P118" s="171" t="e">
        <f t="shared" si="19"/>
        <v>#DIV/0!</v>
      </c>
      <c r="Q118" s="186">
        <f>IF('prijem - EUR'!$I$87=TRUE,IF($C$11&gt;0,0.00025*M117,0),IF('prijem - EUR'!$I$88=TRUE,IF('prijem - EUR'!$F$88&gt;0,0.00025*M117*-1,0),0))</f>
        <v>0</v>
      </c>
    </row>
    <row r="119" spans="1:17" x14ac:dyDescent="0.2">
      <c r="A119" s="89">
        <v>103</v>
      </c>
      <c r="B119" s="186" t="e">
        <f t="shared" si="20"/>
        <v>#NUM!</v>
      </c>
      <c r="C119" s="171" t="e">
        <f t="shared" si="12"/>
        <v>#NUM!</v>
      </c>
      <c r="D119" s="171" t="e">
        <f t="shared" si="15"/>
        <v>#NUM!</v>
      </c>
      <c r="E119" s="171" t="e">
        <f t="shared" si="16"/>
        <v>#NUM!</v>
      </c>
      <c r="F119" s="171" t="e">
        <f t="shared" si="17"/>
        <v>#NUM!</v>
      </c>
      <c r="G119" s="186">
        <f>IF('prijem - EUR'!$I$87=TRUE,IF($C$11&gt;0,0.00025*C118,0),IF('prijem - EUR'!$I$88=TRUE,IF('prijem - EUR'!$F$88&gt;0,0.00025*C118,0),0))</f>
        <v>0</v>
      </c>
      <c r="K119" s="89">
        <v>103</v>
      </c>
      <c r="L119" s="186" t="e">
        <f t="shared" si="21"/>
        <v>#DIV/0!</v>
      </c>
      <c r="M119" s="171" t="e">
        <f t="shared" si="13"/>
        <v>#DIV/0!</v>
      </c>
      <c r="N119" s="171" t="e">
        <f t="shared" si="14"/>
        <v>#DIV/0!</v>
      </c>
      <c r="O119" s="171" t="e">
        <f t="shared" si="18"/>
        <v>#DIV/0!</v>
      </c>
      <c r="P119" s="171" t="e">
        <f t="shared" si="19"/>
        <v>#DIV/0!</v>
      </c>
      <c r="Q119" s="186">
        <f>IF('prijem - EUR'!$I$87=TRUE,IF($C$11&gt;0,0.00025*M118,0),IF('prijem - EUR'!$I$88=TRUE,IF('prijem - EUR'!$F$88&gt;0,0.00025*M118*-1,0),0))</f>
        <v>0</v>
      </c>
    </row>
    <row r="120" spans="1:17" x14ac:dyDescent="0.2">
      <c r="A120" s="89">
        <v>104</v>
      </c>
      <c r="B120" s="186" t="e">
        <f t="shared" si="20"/>
        <v>#NUM!</v>
      </c>
      <c r="C120" s="171" t="e">
        <f t="shared" si="12"/>
        <v>#NUM!</v>
      </c>
      <c r="D120" s="171" t="e">
        <f t="shared" si="15"/>
        <v>#NUM!</v>
      </c>
      <c r="E120" s="171" t="e">
        <f t="shared" si="16"/>
        <v>#NUM!</v>
      </c>
      <c r="F120" s="171" t="e">
        <f t="shared" si="17"/>
        <v>#NUM!</v>
      </c>
      <c r="G120" s="186">
        <f>IF('prijem - EUR'!$I$87=TRUE,IF($C$11&gt;0,0.00025*C119,0),IF('prijem - EUR'!$I$88=TRUE,IF('prijem - EUR'!$F$88&gt;0,0.00025*C119,0),0))</f>
        <v>0</v>
      </c>
      <c r="K120" s="89">
        <v>104</v>
      </c>
      <c r="L120" s="186" t="e">
        <f t="shared" si="21"/>
        <v>#DIV/0!</v>
      </c>
      <c r="M120" s="171" t="e">
        <f t="shared" si="13"/>
        <v>#DIV/0!</v>
      </c>
      <c r="N120" s="171" t="e">
        <f t="shared" si="14"/>
        <v>#DIV/0!</v>
      </c>
      <c r="O120" s="171" t="e">
        <f t="shared" si="18"/>
        <v>#DIV/0!</v>
      </c>
      <c r="P120" s="171" t="e">
        <f t="shared" si="19"/>
        <v>#DIV/0!</v>
      </c>
      <c r="Q120" s="186">
        <f>IF('prijem - EUR'!$I$87=TRUE,IF($C$11&gt;0,0.00025*M119,0),IF('prijem - EUR'!$I$88=TRUE,IF('prijem - EUR'!$F$88&gt;0,0.00025*M119*-1,0),0))</f>
        <v>0</v>
      </c>
    </row>
    <row r="121" spans="1:17" x14ac:dyDescent="0.2">
      <c r="A121" s="89">
        <v>105</v>
      </c>
      <c r="B121" s="186" t="e">
        <f t="shared" si="20"/>
        <v>#NUM!</v>
      </c>
      <c r="C121" s="171" t="e">
        <f t="shared" si="12"/>
        <v>#NUM!</v>
      </c>
      <c r="D121" s="171" t="e">
        <f t="shared" si="15"/>
        <v>#NUM!</v>
      </c>
      <c r="E121" s="171" t="e">
        <f t="shared" si="16"/>
        <v>#NUM!</v>
      </c>
      <c r="F121" s="171" t="e">
        <f t="shared" si="17"/>
        <v>#NUM!</v>
      </c>
      <c r="G121" s="186">
        <f>IF('prijem - EUR'!$I$87=TRUE,IF($C$11&gt;0,0.00025*C120,0),IF('prijem - EUR'!$I$88=TRUE,IF('prijem - EUR'!$F$88&gt;0,0.00025*C120,0),0))</f>
        <v>0</v>
      </c>
      <c r="K121" s="89">
        <v>105</v>
      </c>
      <c r="L121" s="186" t="e">
        <f t="shared" si="21"/>
        <v>#DIV/0!</v>
      </c>
      <c r="M121" s="171" t="e">
        <f t="shared" si="13"/>
        <v>#DIV/0!</v>
      </c>
      <c r="N121" s="171" t="e">
        <f t="shared" si="14"/>
        <v>#DIV/0!</v>
      </c>
      <c r="O121" s="171" t="e">
        <f t="shared" si="18"/>
        <v>#DIV/0!</v>
      </c>
      <c r="P121" s="171" t="e">
        <f t="shared" si="19"/>
        <v>#DIV/0!</v>
      </c>
      <c r="Q121" s="186">
        <f>IF('prijem - EUR'!$I$87=TRUE,IF($C$11&gt;0,0.00025*M120,0),IF('prijem - EUR'!$I$88=TRUE,IF('prijem - EUR'!$F$88&gt;0,0.00025*M120*-1,0),0))</f>
        <v>0</v>
      </c>
    </row>
    <row r="122" spans="1:17" x14ac:dyDescent="0.2">
      <c r="A122" s="89">
        <v>106</v>
      </c>
      <c r="B122" s="186" t="e">
        <f t="shared" si="20"/>
        <v>#NUM!</v>
      </c>
      <c r="C122" s="171" t="e">
        <f t="shared" si="12"/>
        <v>#NUM!</v>
      </c>
      <c r="D122" s="171" t="e">
        <f t="shared" si="15"/>
        <v>#NUM!</v>
      </c>
      <c r="E122" s="171" t="e">
        <f t="shared" si="16"/>
        <v>#NUM!</v>
      </c>
      <c r="F122" s="171" t="e">
        <f t="shared" si="17"/>
        <v>#NUM!</v>
      </c>
      <c r="G122" s="186">
        <f>IF('prijem - EUR'!$I$87=TRUE,IF($C$11&gt;0,0.00025*C121,0),IF('prijem - EUR'!$I$88=TRUE,IF('prijem - EUR'!$F$88&gt;0,0.00025*C121,0),0))</f>
        <v>0</v>
      </c>
      <c r="K122" s="89">
        <v>106</v>
      </c>
      <c r="L122" s="186" t="e">
        <f t="shared" si="21"/>
        <v>#DIV/0!</v>
      </c>
      <c r="M122" s="171" t="e">
        <f t="shared" si="13"/>
        <v>#DIV/0!</v>
      </c>
      <c r="N122" s="171" t="e">
        <f t="shared" si="14"/>
        <v>#DIV/0!</v>
      </c>
      <c r="O122" s="171" t="e">
        <f t="shared" si="18"/>
        <v>#DIV/0!</v>
      </c>
      <c r="P122" s="171" t="e">
        <f t="shared" si="19"/>
        <v>#DIV/0!</v>
      </c>
      <c r="Q122" s="186">
        <f>IF('prijem - EUR'!$I$87=TRUE,IF($C$11&gt;0,0.00025*M121,0),IF('prijem - EUR'!$I$88=TRUE,IF('prijem - EUR'!$F$88&gt;0,0.00025*M121*-1,0),0))</f>
        <v>0</v>
      </c>
    </row>
    <row r="123" spans="1:17" x14ac:dyDescent="0.2">
      <c r="A123" s="89">
        <v>107</v>
      </c>
      <c r="B123" s="186" t="e">
        <f t="shared" si="20"/>
        <v>#NUM!</v>
      </c>
      <c r="C123" s="171" t="e">
        <f t="shared" si="12"/>
        <v>#NUM!</v>
      </c>
      <c r="D123" s="171" t="e">
        <f t="shared" si="15"/>
        <v>#NUM!</v>
      </c>
      <c r="E123" s="171" t="e">
        <f t="shared" si="16"/>
        <v>#NUM!</v>
      </c>
      <c r="F123" s="171" t="e">
        <f t="shared" si="17"/>
        <v>#NUM!</v>
      </c>
      <c r="G123" s="186">
        <f>IF('prijem - EUR'!$I$87=TRUE,IF($C$11&gt;0,0.00025*C122,0),IF('prijem - EUR'!$I$88=TRUE,IF('prijem - EUR'!$F$88&gt;0,0.00025*C122,0),0))</f>
        <v>0</v>
      </c>
      <c r="K123" s="89">
        <v>107</v>
      </c>
      <c r="L123" s="186" t="e">
        <f t="shared" si="21"/>
        <v>#DIV/0!</v>
      </c>
      <c r="M123" s="171" t="e">
        <f t="shared" si="13"/>
        <v>#DIV/0!</v>
      </c>
      <c r="N123" s="171" t="e">
        <f t="shared" si="14"/>
        <v>#DIV/0!</v>
      </c>
      <c r="O123" s="171" t="e">
        <f t="shared" si="18"/>
        <v>#DIV/0!</v>
      </c>
      <c r="P123" s="171" t="e">
        <f t="shared" si="19"/>
        <v>#DIV/0!</v>
      </c>
      <c r="Q123" s="186">
        <f>IF('prijem - EUR'!$I$87=TRUE,IF($C$11&gt;0,0.00025*M122,0),IF('prijem - EUR'!$I$88=TRUE,IF('prijem - EUR'!$F$88&gt;0,0.00025*M122*-1,0),0))</f>
        <v>0</v>
      </c>
    </row>
    <row r="124" spans="1:17" x14ac:dyDescent="0.2">
      <c r="A124" s="89">
        <v>108</v>
      </c>
      <c r="B124" s="186" t="e">
        <f t="shared" si="20"/>
        <v>#NUM!</v>
      </c>
      <c r="C124" s="171" t="e">
        <f t="shared" si="12"/>
        <v>#NUM!</v>
      </c>
      <c r="D124" s="171" t="e">
        <f t="shared" si="15"/>
        <v>#NUM!</v>
      </c>
      <c r="E124" s="171" t="e">
        <f t="shared" si="16"/>
        <v>#NUM!</v>
      </c>
      <c r="F124" s="171" t="e">
        <f t="shared" si="17"/>
        <v>#NUM!</v>
      </c>
      <c r="G124" s="186">
        <f>IF('prijem - EUR'!$I$87=TRUE,IF($C$11&gt;0,0.00025*C123,0),IF('prijem - EUR'!$I$88=TRUE,IF('prijem - EUR'!$F$88&gt;0,0.00025*C123,0),0))</f>
        <v>0</v>
      </c>
      <c r="K124" s="89">
        <v>108</v>
      </c>
      <c r="L124" s="186" t="e">
        <f t="shared" si="21"/>
        <v>#DIV/0!</v>
      </c>
      <c r="M124" s="171" t="e">
        <f t="shared" si="13"/>
        <v>#DIV/0!</v>
      </c>
      <c r="N124" s="171" t="e">
        <f t="shared" si="14"/>
        <v>#DIV/0!</v>
      </c>
      <c r="O124" s="171" t="e">
        <f t="shared" si="18"/>
        <v>#DIV/0!</v>
      </c>
      <c r="P124" s="171" t="e">
        <f t="shared" si="19"/>
        <v>#DIV/0!</v>
      </c>
      <c r="Q124" s="186">
        <f>IF('prijem - EUR'!$I$87=TRUE,IF($C$11&gt;0,0.00025*M123,0),IF('prijem - EUR'!$I$88=TRUE,IF('prijem - EUR'!$F$88&gt;0,0.00025*M123*-1,0),0))</f>
        <v>0</v>
      </c>
    </row>
    <row r="125" spans="1:17" x14ac:dyDescent="0.2">
      <c r="A125" s="89">
        <v>109</v>
      </c>
      <c r="B125" s="186" t="e">
        <f t="shared" si="20"/>
        <v>#NUM!</v>
      </c>
      <c r="C125" s="171" t="e">
        <f t="shared" si="12"/>
        <v>#NUM!</v>
      </c>
      <c r="D125" s="171" t="e">
        <f t="shared" si="15"/>
        <v>#NUM!</v>
      </c>
      <c r="E125" s="171" t="e">
        <f t="shared" si="16"/>
        <v>#NUM!</v>
      </c>
      <c r="F125" s="171" t="e">
        <f t="shared" si="17"/>
        <v>#NUM!</v>
      </c>
      <c r="G125" s="186">
        <f>IF('prijem - EUR'!$I$87=TRUE,IF($C$11&gt;0,0.00025*C124,0),IF('prijem - EUR'!$I$88=TRUE,IF('prijem - EUR'!$F$88&gt;0,0.00025*C124,0),0))</f>
        <v>0</v>
      </c>
      <c r="K125" s="89">
        <v>109</v>
      </c>
      <c r="L125" s="186" t="e">
        <f t="shared" si="21"/>
        <v>#DIV/0!</v>
      </c>
      <c r="M125" s="171" t="e">
        <f t="shared" si="13"/>
        <v>#DIV/0!</v>
      </c>
      <c r="N125" s="171" t="e">
        <f t="shared" si="14"/>
        <v>#DIV/0!</v>
      </c>
      <c r="O125" s="171" t="e">
        <f t="shared" si="18"/>
        <v>#DIV/0!</v>
      </c>
      <c r="P125" s="171" t="e">
        <f t="shared" si="19"/>
        <v>#DIV/0!</v>
      </c>
      <c r="Q125" s="186">
        <f>IF('prijem - EUR'!$I$87=TRUE,IF($C$11&gt;0,0.00025*M124,0),IF('prijem - EUR'!$I$88=TRUE,IF('prijem - EUR'!$F$88&gt;0,0.00025*M124*-1,0),0))</f>
        <v>0</v>
      </c>
    </row>
    <row r="126" spans="1:17" x14ac:dyDescent="0.2">
      <c r="A126" s="89">
        <v>110</v>
      </c>
      <c r="B126" s="186" t="e">
        <f t="shared" si="20"/>
        <v>#NUM!</v>
      </c>
      <c r="C126" s="171" t="e">
        <f t="shared" si="12"/>
        <v>#NUM!</v>
      </c>
      <c r="D126" s="171" t="e">
        <f t="shared" si="15"/>
        <v>#NUM!</v>
      </c>
      <c r="E126" s="171" t="e">
        <f t="shared" si="16"/>
        <v>#NUM!</v>
      </c>
      <c r="F126" s="171" t="e">
        <f t="shared" si="17"/>
        <v>#NUM!</v>
      </c>
      <c r="G126" s="186">
        <f>IF('prijem - EUR'!$I$87=TRUE,IF($C$11&gt;0,0.00025*C125,0),IF('prijem - EUR'!$I$88=TRUE,IF('prijem - EUR'!$F$88&gt;0,0.00025*C125,0),0))</f>
        <v>0</v>
      </c>
      <c r="K126" s="89">
        <v>110</v>
      </c>
      <c r="L126" s="186" t="e">
        <f t="shared" si="21"/>
        <v>#DIV/0!</v>
      </c>
      <c r="M126" s="171" t="e">
        <f t="shared" si="13"/>
        <v>#DIV/0!</v>
      </c>
      <c r="N126" s="171" t="e">
        <f t="shared" si="14"/>
        <v>#DIV/0!</v>
      </c>
      <c r="O126" s="171" t="e">
        <f t="shared" si="18"/>
        <v>#DIV/0!</v>
      </c>
      <c r="P126" s="171" t="e">
        <f t="shared" si="19"/>
        <v>#DIV/0!</v>
      </c>
      <c r="Q126" s="186">
        <f>IF('prijem - EUR'!$I$87=TRUE,IF($C$11&gt;0,0.00025*M125,0),IF('prijem - EUR'!$I$88=TRUE,IF('prijem - EUR'!$F$88&gt;0,0.00025*M125*-1,0),0))</f>
        <v>0</v>
      </c>
    </row>
    <row r="127" spans="1:17" x14ac:dyDescent="0.2">
      <c r="A127" s="89">
        <v>111</v>
      </c>
      <c r="B127" s="186" t="e">
        <f t="shared" si="20"/>
        <v>#NUM!</v>
      </c>
      <c r="C127" s="171" t="e">
        <f t="shared" si="12"/>
        <v>#NUM!</v>
      </c>
      <c r="D127" s="171" t="e">
        <f t="shared" si="15"/>
        <v>#NUM!</v>
      </c>
      <c r="E127" s="171" t="e">
        <f t="shared" si="16"/>
        <v>#NUM!</v>
      </c>
      <c r="F127" s="171" t="e">
        <f t="shared" si="17"/>
        <v>#NUM!</v>
      </c>
      <c r="G127" s="186">
        <f>IF('prijem - EUR'!$I$87=TRUE,IF($C$11&gt;0,0.00025*C126,0),IF('prijem - EUR'!$I$88=TRUE,IF('prijem - EUR'!$F$88&gt;0,0.00025*C126,0),0))</f>
        <v>0</v>
      </c>
      <c r="K127" s="89">
        <v>111</v>
      </c>
      <c r="L127" s="186" t="e">
        <f t="shared" si="21"/>
        <v>#DIV/0!</v>
      </c>
      <c r="M127" s="171" t="e">
        <f t="shared" si="13"/>
        <v>#DIV/0!</v>
      </c>
      <c r="N127" s="171" t="e">
        <f t="shared" si="14"/>
        <v>#DIV/0!</v>
      </c>
      <c r="O127" s="171" t="e">
        <f t="shared" si="18"/>
        <v>#DIV/0!</v>
      </c>
      <c r="P127" s="171" t="e">
        <f t="shared" si="19"/>
        <v>#DIV/0!</v>
      </c>
      <c r="Q127" s="186">
        <f>IF('prijem - EUR'!$I$87=TRUE,IF($C$11&gt;0,0.00025*M126,0),IF('prijem - EUR'!$I$88=TRUE,IF('prijem - EUR'!$F$88&gt;0,0.00025*M126*-1,0),0))</f>
        <v>0</v>
      </c>
    </row>
    <row r="128" spans="1:17" x14ac:dyDescent="0.2">
      <c r="A128" s="89">
        <v>112</v>
      </c>
      <c r="B128" s="186" t="e">
        <f t="shared" si="20"/>
        <v>#NUM!</v>
      </c>
      <c r="C128" s="171" t="e">
        <f t="shared" si="12"/>
        <v>#NUM!</v>
      </c>
      <c r="D128" s="171" t="e">
        <f t="shared" si="15"/>
        <v>#NUM!</v>
      </c>
      <c r="E128" s="171" t="e">
        <f t="shared" si="16"/>
        <v>#NUM!</v>
      </c>
      <c r="F128" s="171" t="e">
        <f t="shared" si="17"/>
        <v>#NUM!</v>
      </c>
      <c r="G128" s="186">
        <f>IF('prijem - EUR'!$I$87=TRUE,IF($C$11&gt;0,0.00025*C127,0),IF('prijem - EUR'!$I$88=TRUE,IF('prijem - EUR'!$F$88&gt;0,0.00025*C127,0),0))</f>
        <v>0</v>
      </c>
      <c r="K128" s="89">
        <v>112</v>
      </c>
      <c r="L128" s="186" t="e">
        <f t="shared" si="21"/>
        <v>#DIV/0!</v>
      </c>
      <c r="M128" s="171" t="e">
        <f t="shared" si="13"/>
        <v>#DIV/0!</v>
      </c>
      <c r="N128" s="171" t="e">
        <f t="shared" si="14"/>
        <v>#DIV/0!</v>
      </c>
      <c r="O128" s="171" t="e">
        <f t="shared" si="18"/>
        <v>#DIV/0!</v>
      </c>
      <c r="P128" s="171" t="e">
        <f t="shared" si="19"/>
        <v>#DIV/0!</v>
      </c>
      <c r="Q128" s="186">
        <f>IF('prijem - EUR'!$I$87=TRUE,IF($C$11&gt;0,0.00025*M127,0),IF('prijem - EUR'!$I$88=TRUE,IF('prijem - EUR'!$F$88&gt;0,0.00025*M127*-1,0),0))</f>
        <v>0</v>
      </c>
    </row>
    <row r="129" spans="1:17" x14ac:dyDescent="0.2">
      <c r="A129" s="89">
        <v>113</v>
      </c>
      <c r="B129" s="186" t="e">
        <f t="shared" si="20"/>
        <v>#NUM!</v>
      </c>
      <c r="C129" s="171" t="e">
        <f t="shared" si="12"/>
        <v>#NUM!</v>
      </c>
      <c r="D129" s="171" t="e">
        <f t="shared" si="15"/>
        <v>#NUM!</v>
      </c>
      <c r="E129" s="171" t="e">
        <f t="shared" si="16"/>
        <v>#NUM!</v>
      </c>
      <c r="F129" s="171" t="e">
        <f t="shared" si="17"/>
        <v>#NUM!</v>
      </c>
      <c r="G129" s="186">
        <f>IF('prijem - EUR'!$I$87=TRUE,IF($C$11&gt;0,0.00025*C128,0),IF('prijem - EUR'!$I$88=TRUE,IF('prijem - EUR'!$F$88&gt;0,0.00025*C128,0),0))</f>
        <v>0</v>
      </c>
      <c r="K129" s="89">
        <v>113</v>
      </c>
      <c r="L129" s="186" t="e">
        <f t="shared" si="21"/>
        <v>#DIV/0!</v>
      </c>
      <c r="M129" s="171" t="e">
        <f t="shared" si="13"/>
        <v>#DIV/0!</v>
      </c>
      <c r="N129" s="171" t="e">
        <f t="shared" si="14"/>
        <v>#DIV/0!</v>
      </c>
      <c r="O129" s="171" t="e">
        <f t="shared" si="18"/>
        <v>#DIV/0!</v>
      </c>
      <c r="P129" s="171" t="e">
        <f t="shared" si="19"/>
        <v>#DIV/0!</v>
      </c>
      <c r="Q129" s="186">
        <f>IF('prijem - EUR'!$I$87=TRUE,IF($C$11&gt;0,0.00025*M128,0),IF('prijem - EUR'!$I$88=TRUE,IF('prijem - EUR'!$F$88&gt;0,0.00025*M128*-1,0),0))</f>
        <v>0</v>
      </c>
    </row>
    <row r="130" spans="1:17" x14ac:dyDescent="0.2">
      <c r="A130" s="89">
        <v>114</v>
      </c>
      <c r="B130" s="186" t="e">
        <f t="shared" si="20"/>
        <v>#NUM!</v>
      </c>
      <c r="C130" s="171" t="e">
        <f t="shared" si="12"/>
        <v>#NUM!</v>
      </c>
      <c r="D130" s="171" t="e">
        <f t="shared" si="15"/>
        <v>#NUM!</v>
      </c>
      <c r="E130" s="171" t="e">
        <f t="shared" si="16"/>
        <v>#NUM!</v>
      </c>
      <c r="F130" s="171" t="e">
        <f t="shared" si="17"/>
        <v>#NUM!</v>
      </c>
      <c r="G130" s="186">
        <f>IF('prijem - EUR'!$I$87=TRUE,IF($C$11&gt;0,0.00025*C129,0),IF('prijem - EUR'!$I$88=TRUE,IF('prijem - EUR'!$F$88&gt;0,0.00025*C129,0),0))</f>
        <v>0</v>
      </c>
      <c r="K130" s="89">
        <v>114</v>
      </c>
      <c r="L130" s="186" t="e">
        <f t="shared" si="21"/>
        <v>#DIV/0!</v>
      </c>
      <c r="M130" s="171" t="e">
        <f t="shared" si="13"/>
        <v>#DIV/0!</v>
      </c>
      <c r="N130" s="171" t="e">
        <f t="shared" si="14"/>
        <v>#DIV/0!</v>
      </c>
      <c r="O130" s="171" t="e">
        <f t="shared" si="18"/>
        <v>#DIV/0!</v>
      </c>
      <c r="P130" s="171" t="e">
        <f t="shared" si="19"/>
        <v>#DIV/0!</v>
      </c>
      <c r="Q130" s="186">
        <f>IF('prijem - EUR'!$I$87=TRUE,IF($C$11&gt;0,0.00025*M129,0),IF('prijem - EUR'!$I$88=TRUE,IF('prijem - EUR'!$F$88&gt;0,0.00025*M129*-1,0),0))</f>
        <v>0</v>
      </c>
    </row>
    <row r="131" spans="1:17" x14ac:dyDescent="0.2">
      <c r="A131" s="89">
        <v>115</v>
      </c>
      <c r="B131" s="186" t="e">
        <f t="shared" si="20"/>
        <v>#NUM!</v>
      </c>
      <c r="C131" s="171" t="e">
        <f t="shared" si="12"/>
        <v>#NUM!</v>
      </c>
      <c r="D131" s="171" t="e">
        <f t="shared" si="15"/>
        <v>#NUM!</v>
      </c>
      <c r="E131" s="171" t="e">
        <f t="shared" si="16"/>
        <v>#NUM!</v>
      </c>
      <c r="F131" s="171" t="e">
        <f t="shared" si="17"/>
        <v>#NUM!</v>
      </c>
      <c r="G131" s="186">
        <f>IF('prijem - EUR'!$I$87=TRUE,IF($C$11&gt;0,0.00025*C130,0),IF('prijem - EUR'!$I$88=TRUE,IF('prijem - EUR'!$F$88&gt;0,0.00025*C130,0),0))</f>
        <v>0</v>
      </c>
      <c r="K131" s="89">
        <v>115</v>
      </c>
      <c r="L131" s="186" t="e">
        <f t="shared" si="21"/>
        <v>#DIV/0!</v>
      </c>
      <c r="M131" s="171" t="e">
        <f t="shared" si="13"/>
        <v>#DIV/0!</v>
      </c>
      <c r="N131" s="171" t="e">
        <f t="shared" si="14"/>
        <v>#DIV/0!</v>
      </c>
      <c r="O131" s="171" t="e">
        <f t="shared" si="18"/>
        <v>#DIV/0!</v>
      </c>
      <c r="P131" s="171" t="e">
        <f t="shared" si="19"/>
        <v>#DIV/0!</v>
      </c>
      <c r="Q131" s="186">
        <f>IF('prijem - EUR'!$I$87=TRUE,IF($C$11&gt;0,0.00025*M130,0),IF('prijem - EUR'!$I$88=TRUE,IF('prijem - EUR'!$F$88&gt;0,0.00025*M130*-1,0),0))</f>
        <v>0</v>
      </c>
    </row>
    <row r="132" spans="1:17" x14ac:dyDescent="0.2">
      <c r="A132" s="89">
        <v>116</v>
      </c>
      <c r="B132" s="186" t="e">
        <f t="shared" si="20"/>
        <v>#NUM!</v>
      </c>
      <c r="C132" s="171" t="e">
        <f t="shared" si="12"/>
        <v>#NUM!</v>
      </c>
      <c r="D132" s="171" t="e">
        <f t="shared" si="15"/>
        <v>#NUM!</v>
      </c>
      <c r="E132" s="171" t="e">
        <f t="shared" si="16"/>
        <v>#NUM!</v>
      </c>
      <c r="F132" s="171" t="e">
        <f t="shared" si="17"/>
        <v>#NUM!</v>
      </c>
      <c r="G132" s="186">
        <f>IF('prijem - EUR'!$I$87=TRUE,IF($C$11&gt;0,0.00025*C131,0),IF('prijem - EUR'!$I$88=TRUE,IF('prijem - EUR'!$F$88&gt;0,0.00025*C131,0),0))</f>
        <v>0</v>
      </c>
      <c r="K132" s="89">
        <v>116</v>
      </c>
      <c r="L132" s="186" t="e">
        <f t="shared" si="21"/>
        <v>#DIV/0!</v>
      </c>
      <c r="M132" s="171" t="e">
        <f t="shared" si="13"/>
        <v>#DIV/0!</v>
      </c>
      <c r="N132" s="171" t="e">
        <f t="shared" si="14"/>
        <v>#DIV/0!</v>
      </c>
      <c r="O132" s="171" t="e">
        <f t="shared" si="18"/>
        <v>#DIV/0!</v>
      </c>
      <c r="P132" s="171" t="e">
        <f t="shared" si="19"/>
        <v>#DIV/0!</v>
      </c>
      <c r="Q132" s="186">
        <f>IF('prijem - EUR'!$I$87=TRUE,IF($C$11&gt;0,0.00025*M131,0),IF('prijem - EUR'!$I$88=TRUE,IF('prijem - EUR'!$F$88&gt;0,0.00025*M131*-1,0),0))</f>
        <v>0</v>
      </c>
    </row>
    <row r="133" spans="1:17" x14ac:dyDescent="0.2">
      <c r="A133" s="89">
        <v>117</v>
      </c>
      <c r="B133" s="186" t="e">
        <f t="shared" si="20"/>
        <v>#NUM!</v>
      </c>
      <c r="C133" s="171" t="e">
        <f t="shared" si="12"/>
        <v>#NUM!</v>
      </c>
      <c r="D133" s="171" t="e">
        <f t="shared" si="15"/>
        <v>#NUM!</v>
      </c>
      <c r="E133" s="171" t="e">
        <f t="shared" si="16"/>
        <v>#NUM!</v>
      </c>
      <c r="F133" s="171" t="e">
        <f t="shared" si="17"/>
        <v>#NUM!</v>
      </c>
      <c r="G133" s="186">
        <f>IF('prijem - EUR'!$I$87=TRUE,IF($C$11&gt;0,0.00025*C132,0),IF('prijem - EUR'!$I$88=TRUE,IF('prijem - EUR'!$F$88&gt;0,0.00025*C132,0),0))</f>
        <v>0</v>
      </c>
      <c r="K133" s="89">
        <v>117</v>
      </c>
      <c r="L133" s="186" t="e">
        <f t="shared" si="21"/>
        <v>#DIV/0!</v>
      </c>
      <c r="M133" s="171" t="e">
        <f t="shared" si="13"/>
        <v>#DIV/0!</v>
      </c>
      <c r="N133" s="171" t="e">
        <f t="shared" si="14"/>
        <v>#DIV/0!</v>
      </c>
      <c r="O133" s="171" t="e">
        <f t="shared" si="18"/>
        <v>#DIV/0!</v>
      </c>
      <c r="P133" s="171" t="e">
        <f t="shared" si="19"/>
        <v>#DIV/0!</v>
      </c>
      <c r="Q133" s="186">
        <f>IF('prijem - EUR'!$I$87=TRUE,IF($C$11&gt;0,0.00025*M132,0),IF('prijem - EUR'!$I$88=TRUE,IF('prijem - EUR'!$F$88&gt;0,0.00025*M132*-1,0),0))</f>
        <v>0</v>
      </c>
    </row>
    <row r="134" spans="1:17" x14ac:dyDescent="0.2">
      <c r="A134" s="89">
        <v>118</v>
      </c>
      <c r="B134" s="186" t="e">
        <f t="shared" si="20"/>
        <v>#NUM!</v>
      </c>
      <c r="C134" s="171" t="e">
        <f t="shared" si="12"/>
        <v>#NUM!</v>
      </c>
      <c r="D134" s="171" t="e">
        <f t="shared" si="15"/>
        <v>#NUM!</v>
      </c>
      <c r="E134" s="171" t="e">
        <f t="shared" si="16"/>
        <v>#NUM!</v>
      </c>
      <c r="F134" s="171" t="e">
        <f t="shared" si="17"/>
        <v>#NUM!</v>
      </c>
      <c r="G134" s="186">
        <f>IF('prijem - EUR'!$I$87=TRUE,IF($C$11&gt;0,0.00025*C133,0),IF('prijem - EUR'!$I$88=TRUE,IF('prijem - EUR'!$F$88&gt;0,0.00025*C133,0),0))</f>
        <v>0</v>
      </c>
      <c r="K134" s="89">
        <v>118</v>
      </c>
      <c r="L134" s="186" t="e">
        <f t="shared" si="21"/>
        <v>#DIV/0!</v>
      </c>
      <c r="M134" s="171" t="e">
        <f t="shared" si="13"/>
        <v>#DIV/0!</v>
      </c>
      <c r="N134" s="171" t="e">
        <f t="shared" si="14"/>
        <v>#DIV/0!</v>
      </c>
      <c r="O134" s="171" t="e">
        <f t="shared" si="18"/>
        <v>#DIV/0!</v>
      </c>
      <c r="P134" s="171" t="e">
        <f t="shared" si="19"/>
        <v>#DIV/0!</v>
      </c>
      <c r="Q134" s="186">
        <f>IF('prijem - EUR'!$I$87=TRUE,IF($C$11&gt;0,0.00025*M133,0),IF('prijem - EUR'!$I$88=TRUE,IF('prijem - EUR'!$F$88&gt;0,0.00025*M133*-1,0),0))</f>
        <v>0</v>
      </c>
    </row>
    <row r="135" spans="1:17" x14ac:dyDescent="0.2">
      <c r="A135" s="89">
        <v>119</v>
      </c>
      <c r="B135" s="186" t="e">
        <f t="shared" si="20"/>
        <v>#NUM!</v>
      </c>
      <c r="C135" s="171" t="e">
        <f t="shared" si="12"/>
        <v>#NUM!</v>
      </c>
      <c r="D135" s="171" t="e">
        <f t="shared" si="15"/>
        <v>#NUM!</v>
      </c>
      <c r="E135" s="171" t="e">
        <f t="shared" si="16"/>
        <v>#NUM!</v>
      </c>
      <c r="F135" s="171" t="e">
        <f t="shared" si="17"/>
        <v>#NUM!</v>
      </c>
      <c r="G135" s="186">
        <f>IF('prijem - EUR'!$I$87=TRUE,IF($C$11&gt;0,0.00025*C134,0),IF('prijem - EUR'!$I$88=TRUE,IF('prijem - EUR'!$F$88&gt;0,0.00025*C134,0),0))</f>
        <v>0</v>
      </c>
      <c r="K135" s="89">
        <v>119</v>
      </c>
      <c r="L135" s="186" t="e">
        <f t="shared" si="21"/>
        <v>#DIV/0!</v>
      </c>
      <c r="M135" s="171" t="e">
        <f t="shared" si="13"/>
        <v>#DIV/0!</v>
      </c>
      <c r="N135" s="171" t="e">
        <f t="shared" si="14"/>
        <v>#DIV/0!</v>
      </c>
      <c r="O135" s="171" t="e">
        <f t="shared" si="18"/>
        <v>#DIV/0!</v>
      </c>
      <c r="P135" s="171" t="e">
        <f t="shared" si="19"/>
        <v>#DIV/0!</v>
      </c>
      <c r="Q135" s="186">
        <f>IF('prijem - EUR'!$I$87=TRUE,IF($C$11&gt;0,0.00025*M134,0),IF('prijem - EUR'!$I$88=TRUE,IF('prijem - EUR'!$F$88&gt;0,0.00025*M134*-1,0),0))</f>
        <v>0</v>
      </c>
    </row>
    <row r="136" spans="1:17" x14ac:dyDescent="0.2">
      <c r="A136" s="89">
        <v>120</v>
      </c>
      <c r="B136" s="186" t="e">
        <f t="shared" si="20"/>
        <v>#NUM!</v>
      </c>
      <c r="C136" s="171" t="e">
        <f t="shared" si="12"/>
        <v>#NUM!</v>
      </c>
      <c r="D136" s="171" t="e">
        <f t="shared" si="15"/>
        <v>#NUM!</v>
      </c>
      <c r="E136" s="171" t="e">
        <f t="shared" si="16"/>
        <v>#NUM!</v>
      </c>
      <c r="F136" s="171" t="e">
        <f t="shared" si="17"/>
        <v>#NUM!</v>
      </c>
      <c r="G136" s="186">
        <f>IF('prijem - EUR'!$I$87=TRUE,IF($C$11&gt;0,0.00025*C135,0),IF('prijem - EUR'!$I$88=TRUE,IF('prijem - EUR'!$F$88&gt;0,0.00025*C135,0),0))</f>
        <v>0</v>
      </c>
      <c r="K136" s="89">
        <v>120</v>
      </c>
      <c r="L136" s="186" t="e">
        <f t="shared" si="21"/>
        <v>#DIV/0!</v>
      </c>
      <c r="M136" s="171" t="e">
        <f t="shared" si="13"/>
        <v>#DIV/0!</v>
      </c>
      <c r="N136" s="171" t="e">
        <f t="shared" si="14"/>
        <v>#DIV/0!</v>
      </c>
      <c r="O136" s="171" t="e">
        <f t="shared" si="18"/>
        <v>#DIV/0!</v>
      </c>
      <c r="P136" s="171" t="e">
        <f t="shared" si="19"/>
        <v>#DIV/0!</v>
      </c>
      <c r="Q136" s="186">
        <f>IF('prijem - EUR'!$I$87=TRUE,IF($C$11&gt;0,0.00025*M135,0),IF('prijem - EUR'!$I$88=TRUE,IF('prijem - EUR'!$F$88&gt;0,0.00025*M135*-1,0),0))</f>
        <v>0</v>
      </c>
    </row>
    <row r="137" spans="1:17" x14ac:dyDescent="0.2">
      <c r="A137" s="89">
        <v>121</v>
      </c>
      <c r="B137" s="186" t="e">
        <f t="shared" si="20"/>
        <v>#NUM!</v>
      </c>
      <c r="C137" s="171" t="e">
        <f t="shared" si="12"/>
        <v>#NUM!</v>
      </c>
      <c r="D137" s="171" t="e">
        <f t="shared" si="15"/>
        <v>#NUM!</v>
      </c>
      <c r="E137" s="171" t="e">
        <f t="shared" si="16"/>
        <v>#NUM!</v>
      </c>
      <c r="F137" s="171" t="e">
        <f t="shared" si="17"/>
        <v>#NUM!</v>
      </c>
      <c r="G137" s="186">
        <f>IF('prijem - EUR'!$I$87=TRUE,IF($C$11&gt;0,0.00025*C136,0),IF('prijem - EUR'!$I$88=TRUE,IF('prijem - EUR'!$F$88&gt;0,0.00025*C136,0),0))</f>
        <v>0</v>
      </c>
      <c r="K137" s="89">
        <v>121</v>
      </c>
      <c r="L137" s="186" t="e">
        <f t="shared" si="21"/>
        <v>#DIV/0!</v>
      </c>
      <c r="M137" s="171" t="e">
        <f t="shared" si="13"/>
        <v>#DIV/0!</v>
      </c>
      <c r="N137" s="171" t="e">
        <f t="shared" si="14"/>
        <v>#DIV/0!</v>
      </c>
      <c r="O137" s="171" t="e">
        <f t="shared" si="18"/>
        <v>#DIV/0!</v>
      </c>
      <c r="P137" s="171" t="e">
        <f t="shared" si="19"/>
        <v>#DIV/0!</v>
      </c>
      <c r="Q137" s="186">
        <f>IF('prijem - EUR'!$I$87=TRUE,IF($C$11&gt;0,0.00025*M136,0),IF('prijem - EUR'!$I$88=TRUE,IF('prijem - EUR'!$F$88&gt;0,0.00025*M136*-1,0),0))</f>
        <v>0</v>
      </c>
    </row>
    <row r="138" spans="1:17" x14ac:dyDescent="0.2">
      <c r="A138" s="89">
        <v>122</v>
      </c>
      <c r="B138" s="186" t="e">
        <f t="shared" si="20"/>
        <v>#NUM!</v>
      </c>
      <c r="C138" s="171" t="e">
        <f t="shared" si="12"/>
        <v>#NUM!</v>
      </c>
      <c r="D138" s="171" t="e">
        <f t="shared" si="15"/>
        <v>#NUM!</v>
      </c>
      <c r="E138" s="171" t="e">
        <f t="shared" si="16"/>
        <v>#NUM!</v>
      </c>
      <c r="F138" s="171" t="e">
        <f t="shared" si="17"/>
        <v>#NUM!</v>
      </c>
      <c r="G138" s="186">
        <f>IF('prijem - EUR'!$I$87=TRUE,IF($C$11&gt;0,0.00025*C137,0),IF('prijem - EUR'!$I$88=TRUE,IF('prijem - EUR'!$F$88&gt;0,0.00025*C137,0),0))</f>
        <v>0</v>
      </c>
      <c r="K138" s="89">
        <v>122</v>
      </c>
      <c r="L138" s="186" t="e">
        <f t="shared" si="21"/>
        <v>#DIV/0!</v>
      </c>
      <c r="M138" s="171" t="e">
        <f t="shared" si="13"/>
        <v>#DIV/0!</v>
      </c>
      <c r="N138" s="171" t="e">
        <f t="shared" si="14"/>
        <v>#DIV/0!</v>
      </c>
      <c r="O138" s="171" t="e">
        <f t="shared" si="18"/>
        <v>#DIV/0!</v>
      </c>
      <c r="P138" s="171" t="e">
        <f t="shared" si="19"/>
        <v>#DIV/0!</v>
      </c>
      <c r="Q138" s="186">
        <f>IF('prijem - EUR'!$I$87=TRUE,IF($C$11&gt;0,0.00025*M137,0),IF('prijem - EUR'!$I$88=TRUE,IF('prijem - EUR'!$F$88&gt;0,0.00025*M137*-1,0),0))</f>
        <v>0</v>
      </c>
    </row>
    <row r="139" spans="1:17" x14ac:dyDescent="0.2">
      <c r="A139" s="89">
        <v>123</v>
      </c>
      <c r="B139" s="186" t="e">
        <f t="shared" si="20"/>
        <v>#NUM!</v>
      </c>
      <c r="C139" s="171" t="e">
        <f t="shared" si="12"/>
        <v>#NUM!</v>
      </c>
      <c r="D139" s="171" t="e">
        <f t="shared" si="15"/>
        <v>#NUM!</v>
      </c>
      <c r="E139" s="171" t="e">
        <f t="shared" si="16"/>
        <v>#NUM!</v>
      </c>
      <c r="F139" s="171" t="e">
        <f t="shared" si="17"/>
        <v>#NUM!</v>
      </c>
      <c r="G139" s="186">
        <f>IF('prijem - EUR'!$I$87=TRUE,IF($C$11&gt;0,0.00025*C138,0),IF('prijem - EUR'!$I$88=TRUE,IF('prijem - EUR'!$F$88&gt;0,0.00025*C138,0),0))</f>
        <v>0</v>
      </c>
      <c r="K139" s="89">
        <v>123</v>
      </c>
      <c r="L139" s="186" t="e">
        <f t="shared" si="21"/>
        <v>#DIV/0!</v>
      </c>
      <c r="M139" s="171" t="e">
        <f t="shared" si="13"/>
        <v>#DIV/0!</v>
      </c>
      <c r="N139" s="171" t="e">
        <f t="shared" si="14"/>
        <v>#DIV/0!</v>
      </c>
      <c r="O139" s="171" t="e">
        <f t="shared" si="18"/>
        <v>#DIV/0!</v>
      </c>
      <c r="P139" s="171" t="e">
        <f t="shared" si="19"/>
        <v>#DIV/0!</v>
      </c>
      <c r="Q139" s="186">
        <f>IF('prijem - EUR'!$I$87=TRUE,IF($C$11&gt;0,0.00025*M138,0),IF('prijem - EUR'!$I$88=TRUE,IF('prijem - EUR'!$F$88&gt;0,0.00025*M138*-1,0),0))</f>
        <v>0</v>
      </c>
    </row>
    <row r="140" spans="1:17" x14ac:dyDescent="0.2">
      <c r="A140" s="89">
        <v>124</v>
      </c>
      <c r="B140" s="186" t="e">
        <f t="shared" si="20"/>
        <v>#NUM!</v>
      </c>
      <c r="C140" s="171" t="e">
        <f t="shared" si="12"/>
        <v>#NUM!</v>
      </c>
      <c r="D140" s="171" t="e">
        <f t="shared" si="15"/>
        <v>#NUM!</v>
      </c>
      <c r="E140" s="171" t="e">
        <f t="shared" si="16"/>
        <v>#NUM!</v>
      </c>
      <c r="F140" s="171" t="e">
        <f t="shared" si="17"/>
        <v>#NUM!</v>
      </c>
      <c r="G140" s="186">
        <f>IF('prijem - EUR'!$I$87=TRUE,IF($C$11&gt;0,0.00025*C139,0),IF('prijem - EUR'!$I$88=TRUE,IF('prijem - EUR'!$F$88&gt;0,0.00025*C139,0),0))</f>
        <v>0</v>
      </c>
      <c r="K140" s="89">
        <v>124</v>
      </c>
      <c r="L140" s="186" t="e">
        <f t="shared" si="21"/>
        <v>#DIV/0!</v>
      </c>
      <c r="M140" s="171" t="e">
        <f t="shared" si="13"/>
        <v>#DIV/0!</v>
      </c>
      <c r="N140" s="171" t="e">
        <f t="shared" si="14"/>
        <v>#DIV/0!</v>
      </c>
      <c r="O140" s="171" t="e">
        <f t="shared" si="18"/>
        <v>#DIV/0!</v>
      </c>
      <c r="P140" s="171" t="e">
        <f t="shared" si="19"/>
        <v>#DIV/0!</v>
      </c>
      <c r="Q140" s="186">
        <f>IF('prijem - EUR'!$I$87=TRUE,IF($C$11&gt;0,0.00025*M139,0),IF('prijem - EUR'!$I$88=TRUE,IF('prijem - EUR'!$F$88&gt;0,0.00025*M139*-1,0),0))</f>
        <v>0</v>
      </c>
    </row>
    <row r="141" spans="1:17" x14ac:dyDescent="0.2">
      <c r="A141" s="89">
        <v>125</v>
      </c>
      <c r="B141" s="186" t="e">
        <f t="shared" si="20"/>
        <v>#NUM!</v>
      </c>
      <c r="C141" s="171" t="e">
        <f t="shared" si="12"/>
        <v>#NUM!</v>
      </c>
      <c r="D141" s="171" t="e">
        <f t="shared" si="15"/>
        <v>#NUM!</v>
      </c>
      <c r="E141" s="171" t="e">
        <f t="shared" si="16"/>
        <v>#NUM!</v>
      </c>
      <c r="F141" s="171" t="e">
        <f t="shared" si="17"/>
        <v>#NUM!</v>
      </c>
      <c r="G141" s="186">
        <f>IF('prijem - EUR'!$I$87=TRUE,IF($C$11&gt;0,0.00025*C140,0),IF('prijem - EUR'!$I$88=TRUE,IF('prijem - EUR'!$F$88&gt;0,0.00025*C140,0),0))</f>
        <v>0</v>
      </c>
      <c r="K141" s="89">
        <v>125</v>
      </c>
      <c r="L141" s="186" t="e">
        <f t="shared" si="21"/>
        <v>#DIV/0!</v>
      </c>
      <c r="M141" s="171" t="e">
        <f t="shared" si="13"/>
        <v>#DIV/0!</v>
      </c>
      <c r="N141" s="171" t="e">
        <f t="shared" si="14"/>
        <v>#DIV/0!</v>
      </c>
      <c r="O141" s="171" t="e">
        <f t="shared" si="18"/>
        <v>#DIV/0!</v>
      </c>
      <c r="P141" s="171" t="e">
        <f t="shared" si="19"/>
        <v>#DIV/0!</v>
      </c>
      <c r="Q141" s="186">
        <f>IF('prijem - EUR'!$I$87=TRUE,IF($C$11&gt;0,0.00025*M140,0),IF('prijem - EUR'!$I$88=TRUE,IF('prijem - EUR'!$F$88&gt;0,0.00025*M140*-1,0),0))</f>
        <v>0</v>
      </c>
    </row>
    <row r="142" spans="1:17" x14ac:dyDescent="0.2">
      <c r="A142" s="89">
        <v>126</v>
      </c>
      <c r="B142" s="186" t="e">
        <f t="shared" si="20"/>
        <v>#NUM!</v>
      </c>
      <c r="C142" s="171" t="e">
        <f t="shared" si="12"/>
        <v>#NUM!</v>
      </c>
      <c r="D142" s="171" t="e">
        <f t="shared" si="15"/>
        <v>#NUM!</v>
      </c>
      <c r="E142" s="171" t="e">
        <f t="shared" si="16"/>
        <v>#NUM!</v>
      </c>
      <c r="F142" s="171" t="e">
        <f t="shared" si="17"/>
        <v>#NUM!</v>
      </c>
      <c r="G142" s="186">
        <f>IF('prijem - EUR'!$I$87=TRUE,IF($C$11&gt;0,0.00025*C141,0),IF('prijem - EUR'!$I$88=TRUE,IF('prijem - EUR'!$F$88&gt;0,0.00025*C141,0),0))</f>
        <v>0</v>
      </c>
      <c r="K142" s="89">
        <v>126</v>
      </c>
      <c r="L142" s="186" t="e">
        <f t="shared" si="21"/>
        <v>#DIV/0!</v>
      </c>
      <c r="M142" s="171" t="e">
        <f t="shared" si="13"/>
        <v>#DIV/0!</v>
      </c>
      <c r="N142" s="171" t="e">
        <f t="shared" si="14"/>
        <v>#DIV/0!</v>
      </c>
      <c r="O142" s="171" t="e">
        <f t="shared" si="18"/>
        <v>#DIV/0!</v>
      </c>
      <c r="P142" s="171" t="e">
        <f t="shared" si="19"/>
        <v>#DIV/0!</v>
      </c>
      <c r="Q142" s="186">
        <f>IF('prijem - EUR'!$I$87=TRUE,IF($C$11&gt;0,0.00025*M141,0),IF('prijem - EUR'!$I$88=TRUE,IF('prijem - EUR'!$F$88&gt;0,0.00025*M141*-1,0),0))</f>
        <v>0</v>
      </c>
    </row>
    <row r="143" spans="1:17" x14ac:dyDescent="0.2">
      <c r="A143" s="89">
        <v>127</v>
      </c>
      <c r="B143" s="186" t="e">
        <f t="shared" si="20"/>
        <v>#NUM!</v>
      </c>
      <c r="C143" s="171" t="e">
        <f t="shared" si="12"/>
        <v>#NUM!</v>
      </c>
      <c r="D143" s="171" t="e">
        <f t="shared" si="15"/>
        <v>#NUM!</v>
      </c>
      <c r="E143" s="171" t="e">
        <f t="shared" si="16"/>
        <v>#NUM!</v>
      </c>
      <c r="F143" s="171" t="e">
        <f t="shared" si="17"/>
        <v>#NUM!</v>
      </c>
      <c r="G143" s="186">
        <f>IF('prijem - EUR'!$I$87=TRUE,IF($C$11&gt;0,0.00025*C142,0),IF('prijem - EUR'!$I$88=TRUE,IF('prijem - EUR'!$F$88&gt;0,0.00025*C142,0),0))</f>
        <v>0</v>
      </c>
      <c r="K143" s="89">
        <v>127</v>
      </c>
      <c r="L143" s="186" t="e">
        <f t="shared" si="21"/>
        <v>#DIV/0!</v>
      </c>
      <c r="M143" s="171" t="e">
        <f t="shared" si="13"/>
        <v>#DIV/0!</v>
      </c>
      <c r="N143" s="171" t="e">
        <f t="shared" si="14"/>
        <v>#DIV/0!</v>
      </c>
      <c r="O143" s="171" t="e">
        <f t="shared" si="18"/>
        <v>#DIV/0!</v>
      </c>
      <c r="P143" s="171" t="e">
        <f t="shared" si="19"/>
        <v>#DIV/0!</v>
      </c>
      <c r="Q143" s="186">
        <f>IF('prijem - EUR'!$I$87=TRUE,IF($C$11&gt;0,0.00025*M142,0),IF('prijem - EUR'!$I$88=TRUE,IF('prijem - EUR'!$F$88&gt;0,0.00025*M142*-1,0),0))</f>
        <v>0</v>
      </c>
    </row>
    <row r="144" spans="1:17" x14ac:dyDescent="0.2">
      <c r="A144" s="89">
        <v>128</v>
      </c>
      <c r="B144" s="186" t="e">
        <f t="shared" si="20"/>
        <v>#NUM!</v>
      </c>
      <c r="C144" s="171" t="e">
        <f t="shared" si="12"/>
        <v>#NUM!</v>
      </c>
      <c r="D144" s="171" t="e">
        <f t="shared" si="15"/>
        <v>#NUM!</v>
      </c>
      <c r="E144" s="171" t="e">
        <f t="shared" si="16"/>
        <v>#NUM!</v>
      </c>
      <c r="F144" s="171" t="e">
        <f t="shared" si="17"/>
        <v>#NUM!</v>
      </c>
      <c r="G144" s="186">
        <f>IF('prijem - EUR'!$I$87=TRUE,IF($C$11&gt;0,0.00025*C143,0),IF('prijem - EUR'!$I$88=TRUE,IF('prijem - EUR'!$F$88&gt;0,0.00025*C143,0),0))</f>
        <v>0</v>
      </c>
      <c r="K144" s="89">
        <v>128</v>
      </c>
      <c r="L144" s="186" t="e">
        <f t="shared" si="21"/>
        <v>#DIV/0!</v>
      </c>
      <c r="M144" s="171" t="e">
        <f t="shared" si="13"/>
        <v>#DIV/0!</v>
      </c>
      <c r="N144" s="171" t="e">
        <f t="shared" si="14"/>
        <v>#DIV/0!</v>
      </c>
      <c r="O144" s="171" t="e">
        <f t="shared" si="18"/>
        <v>#DIV/0!</v>
      </c>
      <c r="P144" s="171" t="e">
        <f t="shared" si="19"/>
        <v>#DIV/0!</v>
      </c>
      <c r="Q144" s="186">
        <f>IF('prijem - EUR'!$I$87=TRUE,IF($C$11&gt;0,0.00025*M143,0),IF('prijem - EUR'!$I$88=TRUE,IF('prijem - EUR'!$F$88&gt;0,0.00025*M143*-1,0),0))</f>
        <v>0</v>
      </c>
    </row>
    <row r="145" spans="1:17" x14ac:dyDescent="0.2">
      <c r="A145" s="89">
        <v>129</v>
      </c>
      <c r="B145" s="186" t="e">
        <f t="shared" si="20"/>
        <v>#NUM!</v>
      </c>
      <c r="C145" s="171" t="e">
        <f t="shared" ref="C145:C208" si="22">MAX(C144-D145,0)</f>
        <v>#NUM!</v>
      </c>
      <c r="D145" s="171" t="e">
        <f t="shared" si="15"/>
        <v>#NUM!</v>
      </c>
      <c r="E145" s="171" t="e">
        <f t="shared" si="16"/>
        <v>#NUM!</v>
      </c>
      <c r="F145" s="171" t="e">
        <f t="shared" si="17"/>
        <v>#NUM!</v>
      </c>
      <c r="G145" s="186">
        <f>IF('prijem - EUR'!$I$87=TRUE,IF($C$11&gt;0,0.00025*C144,0),IF('prijem - EUR'!$I$88=TRUE,IF('prijem - EUR'!$F$88&gt;0,0.00025*C144,0),0))</f>
        <v>0</v>
      </c>
      <c r="K145" s="89">
        <v>129</v>
      </c>
      <c r="L145" s="186" t="e">
        <f t="shared" si="21"/>
        <v>#DIV/0!</v>
      </c>
      <c r="M145" s="171" t="e">
        <f t="shared" ref="M145:M208" si="23">MAX(M144-N145,0)</f>
        <v>#DIV/0!</v>
      </c>
      <c r="N145" s="171" t="e">
        <f t="shared" ref="N145:N208" si="24">$M$16/$M$5</f>
        <v>#DIV/0!</v>
      </c>
      <c r="O145" s="171" t="e">
        <f t="shared" si="18"/>
        <v>#DIV/0!</v>
      </c>
      <c r="P145" s="171" t="e">
        <f t="shared" si="19"/>
        <v>#DIV/0!</v>
      </c>
      <c r="Q145" s="186">
        <f>IF('prijem - EUR'!$I$87=TRUE,IF($C$11&gt;0,0.00025*M144,0),IF('prijem - EUR'!$I$88=TRUE,IF('prijem - EUR'!$F$88&gt;0,0.00025*M144*-1,0),0))</f>
        <v>0</v>
      </c>
    </row>
    <row r="146" spans="1:17" x14ac:dyDescent="0.2">
      <c r="A146" s="89">
        <v>130</v>
      </c>
      <c r="B146" s="186" t="e">
        <f t="shared" si="20"/>
        <v>#NUM!</v>
      </c>
      <c r="C146" s="171" t="e">
        <f t="shared" si="22"/>
        <v>#NUM!</v>
      </c>
      <c r="D146" s="171" t="e">
        <f t="shared" ref="D146:D209" si="25">(F146-E146)*-1</f>
        <v>#NUM!</v>
      </c>
      <c r="E146" s="171" t="e">
        <f t="shared" ref="E146:E209" si="26">IPMT($C$4/12,1,$C$5,C145)</f>
        <v>#NUM!</v>
      </c>
      <c r="F146" s="171" t="e">
        <f t="shared" ref="F146:F209" si="27">PMT($C$4/12,$C$5,$C$3)</f>
        <v>#NUM!</v>
      </c>
      <c r="G146" s="186">
        <f>IF('prijem - EUR'!$I$87=TRUE,IF($C$11&gt;0,0.00025*C145,0),IF('prijem - EUR'!$I$88=TRUE,IF('prijem - EUR'!$F$88&gt;0,0.00025*C145,0),0))</f>
        <v>0</v>
      </c>
      <c r="K146" s="89">
        <v>130</v>
      </c>
      <c r="L146" s="186" t="e">
        <f t="shared" si="21"/>
        <v>#DIV/0!</v>
      </c>
      <c r="M146" s="171" t="e">
        <f t="shared" si="23"/>
        <v>#DIV/0!</v>
      </c>
      <c r="N146" s="171" t="e">
        <f t="shared" si="24"/>
        <v>#DIV/0!</v>
      </c>
      <c r="O146" s="171" t="e">
        <f t="shared" ref="O146:O209" si="28">M145*$M$4/12</f>
        <v>#DIV/0!</v>
      </c>
      <c r="P146" s="171" t="e">
        <f t="shared" ref="P146:P209" si="29">O146+N146</f>
        <v>#DIV/0!</v>
      </c>
      <c r="Q146" s="186">
        <f>IF('prijem - EUR'!$I$87=TRUE,IF($C$11&gt;0,0.00025*M145,0),IF('prijem - EUR'!$I$88=TRUE,IF('prijem - EUR'!$F$88&gt;0,0.00025*M145*-1,0),0))</f>
        <v>0</v>
      </c>
    </row>
    <row r="147" spans="1:17" x14ac:dyDescent="0.2">
      <c r="A147" s="89">
        <v>131</v>
      </c>
      <c r="B147" s="186" t="e">
        <f t="shared" si="20"/>
        <v>#NUM!</v>
      </c>
      <c r="C147" s="171" t="e">
        <f t="shared" si="22"/>
        <v>#NUM!</v>
      </c>
      <c r="D147" s="171" t="e">
        <f t="shared" si="25"/>
        <v>#NUM!</v>
      </c>
      <c r="E147" s="171" t="e">
        <f t="shared" si="26"/>
        <v>#NUM!</v>
      </c>
      <c r="F147" s="171" t="e">
        <f t="shared" si="27"/>
        <v>#NUM!</v>
      </c>
      <c r="G147" s="186">
        <f>IF('prijem - EUR'!$I$87=TRUE,IF($C$11&gt;0,0.00025*C146,0),IF('prijem - EUR'!$I$88=TRUE,IF('prijem - EUR'!$F$88&gt;0,0.00025*C146,0),0))</f>
        <v>0</v>
      </c>
      <c r="K147" s="89">
        <v>131</v>
      </c>
      <c r="L147" s="186" t="e">
        <f t="shared" si="21"/>
        <v>#DIV/0!</v>
      </c>
      <c r="M147" s="171" t="e">
        <f t="shared" si="23"/>
        <v>#DIV/0!</v>
      </c>
      <c r="N147" s="171" t="e">
        <f t="shared" si="24"/>
        <v>#DIV/0!</v>
      </c>
      <c r="O147" s="171" t="e">
        <f t="shared" si="28"/>
        <v>#DIV/0!</v>
      </c>
      <c r="P147" s="171" t="e">
        <f t="shared" si="29"/>
        <v>#DIV/0!</v>
      </c>
      <c r="Q147" s="186">
        <f>IF('prijem - EUR'!$I$87=TRUE,IF($C$11&gt;0,0.00025*M146,0),IF('prijem - EUR'!$I$88=TRUE,IF('prijem - EUR'!$F$88&gt;0,0.00025*M146*-1,0),0))</f>
        <v>0</v>
      </c>
    </row>
    <row r="148" spans="1:17" x14ac:dyDescent="0.2">
      <c r="A148" s="89">
        <v>132</v>
      </c>
      <c r="B148" s="186" t="e">
        <f t="shared" si="20"/>
        <v>#NUM!</v>
      </c>
      <c r="C148" s="171" t="e">
        <f t="shared" si="22"/>
        <v>#NUM!</v>
      </c>
      <c r="D148" s="171" t="e">
        <f t="shared" si="25"/>
        <v>#NUM!</v>
      </c>
      <c r="E148" s="171" t="e">
        <f t="shared" si="26"/>
        <v>#NUM!</v>
      </c>
      <c r="F148" s="171" t="e">
        <f t="shared" si="27"/>
        <v>#NUM!</v>
      </c>
      <c r="G148" s="186">
        <f>IF('prijem - EUR'!$I$87=TRUE,IF($C$11&gt;0,0.00025*C147,0),IF('prijem - EUR'!$I$88=TRUE,IF('prijem - EUR'!$F$88&gt;0,0.00025*C147,0),0))</f>
        <v>0</v>
      </c>
      <c r="K148" s="89">
        <v>132</v>
      </c>
      <c r="L148" s="186" t="e">
        <f t="shared" si="21"/>
        <v>#DIV/0!</v>
      </c>
      <c r="M148" s="171" t="e">
        <f t="shared" si="23"/>
        <v>#DIV/0!</v>
      </c>
      <c r="N148" s="171" t="e">
        <f t="shared" si="24"/>
        <v>#DIV/0!</v>
      </c>
      <c r="O148" s="171" t="e">
        <f t="shared" si="28"/>
        <v>#DIV/0!</v>
      </c>
      <c r="P148" s="171" t="e">
        <f t="shared" si="29"/>
        <v>#DIV/0!</v>
      </c>
      <c r="Q148" s="186">
        <f>IF('prijem - EUR'!$I$87=TRUE,IF($C$11&gt;0,0.00025*M147,0),IF('prijem - EUR'!$I$88=TRUE,IF('prijem - EUR'!$F$88&gt;0,0.00025*M147*-1,0),0))</f>
        <v>0</v>
      </c>
    </row>
    <row r="149" spans="1:17" x14ac:dyDescent="0.2">
      <c r="A149" s="89">
        <v>133</v>
      </c>
      <c r="B149" s="186" t="e">
        <f t="shared" si="20"/>
        <v>#NUM!</v>
      </c>
      <c r="C149" s="171" t="e">
        <f t="shared" si="22"/>
        <v>#NUM!</v>
      </c>
      <c r="D149" s="171" t="e">
        <f t="shared" si="25"/>
        <v>#NUM!</v>
      </c>
      <c r="E149" s="171" t="e">
        <f t="shared" si="26"/>
        <v>#NUM!</v>
      </c>
      <c r="F149" s="171" t="e">
        <f t="shared" si="27"/>
        <v>#NUM!</v>
      </c>
      <c r="G149" s="186">
        <f>IF('prijem - EUR'!$I$87=TRUE,IF($C$11&gt;0,0.00025*C148,0),IF('prijem - EUR'!$I$88=TRUE,IF('prijem - EUR'!$F$88&gt;0,0.00025*C148,0),0))</f>
        <v>0</v>
      </c>
      <c r="K149" s="89">
        <v>133</v>
      </c>
      <c r="L149" s="186" t="e">
        <f t="shared" si="21"/>
        <v>#DIV/0!</v>
      </c>
      <c r="M149" s="171" t="e">
        <f t="shared" si="23"/>
        <v>#DIV/0!</v>
      </c>
      <c r="N149" s="171" t="e">
        <f t="shared" si="24"/>
        <v>#DIV/0!</v>
      </c>
      <c r="O149" s="171" t="e">
        <f t="shared" si="28"/>
        <v>#DIV/0!</v>
      </c>
      <c r="P149" s="171" t="e">
        <f t="shared" si="29"/>
        <v>#DIV/0!</v>
      </c>
      <c r="Q149" s="186">
        <f>IF('prijem - EUR'!$I$87=TRUE,IF($C$11&gt;0,0.00025*M148,0),IF('prijem - EUR'!$I$88=TRUE,IF('prijem - EUR'!$F$88&gt;0,0.00025*M148*-1,0),0))</f>
        <v>0</v>
      </c>
    </row>
    <row r="150" spans="1:17" x14ac:dyDescent="0.2">
      <c r="A150" s="89">
        <v>134</v>
      </c>
      <c r="B150" s="186" t="e">
        <f t="shared" si="20"/>
        <v>#NUM!</v>
      </c>
      <c r="C150" s="171" t="e">
        <f t="shared" si="22"/>
        <v>#NUM!</v>
      </c>
      <c r="D150" s="171" t="e">
        <f t="shared" si="25"/>
        <v>#NUM!</v>
      </c>
      <c r="E150" s="171" t="e">
        <f t="shared" si="26"/>
        <v>#NUM!</v>
      </c>
      <c r="F150" s="171" t="e">
        <f t="shared" si="27"/>
        <v>#NUM!</v>
      </c>
      <c r="G150" s="186">
        <f>IF('prijem - EUR'!$I$87=TRUE,IF($C$11&gt;0,0.00025*C149,0),IF('prijem - EUR'!$I$88=TRUE,IF('prijem - EUR'!$F$88&gt;0,0.00025*C149,0),0))</f>
        <v>0</v>
      </c>
      <c r="K150" s="89">
        <v>134</v>
      </c>
      <c r="L150" s="186" t="e">
        <f t="shared" si="21"/>
        <v>#DIV/0!</v>
      </c>
      <c r="M150" s="171" t="e">
        <f t="shared" si="23"/>
        <v>#DIV/0!</v>
      </c>
      <c r="N150" s="171" t="e">
        <f t="shared" si="24"/>
        <v>#DIV/0!</v>
      </c>
      <c r="O150" s="171" t="e">
        <f t="shared" si="28"/>
        <v>#DIV/0!</v>
      </c>
      <c r="P150" s="171" t="e">
        <f t="shared" si="29"/>
        <v>#DIV/0!</v>
      </c>
      <c r="Q150" s="186">
        <f>IF('prijem - EUR'!$I$87=TRUE,IF($C$11&gt;0,0.00025*M149,0),IF('prijem - EUR'!$I$88=TRUE,IF('prijem - EUR'!$F$88&gt;0,0.00025*M149*-1,0),0))</f>
        <v>0</v>
      </c>
    </row>
    <row r="151" spans="1:17" x14ac:dyDescent="0.2">
      <c r="A151" s="89">
        <v>135</v>
      </c>
      <c r="B151" s="186" t="e">
        <f t="shared" si="20"/>
        <v>#NUM!</v>
      </c>
      <c r="C151" s="171" t="e">
        <f t="shared" si="22"/>
        <v>#NUM!</v>
      </c>
      <c r="D151" s="171" t="e">
        <f t="shared" si="25"/>
        <v>#NUM!</v>
      </c>
      <c r="E151" s="171" t="e">
        <f t="shared" si="26"/>
        <v>#NUM!</v>
      </c>
      <c r="F151" s="171" t="e">
        <f t="shared" si="27"/>
        <v>#NUM!</v>
      </c>
      <c r="G151" s="186">
        <f>IF('prijem - EUR'!$I$87=TRUE,IF($C$11&gt;0,0.00025*C150,0),IF('prijem - EUR'!$I$88=TRUE,IF('prijem - EUR'!$F$88&gt;0,0.00025*C150,0),0))</f>
        <v>0</v>
      </c>
      <c r="K151" s="89">
        <v>135</v>
      </c>
      <c r="L151" s="186" t="e">
        <f t="shared" si="21"/>
        <v>#DIV/0!</v>
      </c>
      <c r="M151" s="171" t="e">
        <f t="shared" si="23"/>
        <v>#DIV/0!</v>
      </c>
      <c r="N151" s="171" t="e">
        <f t="shared" si="24"/>
        <v>#DIV/0!</v>
      </c>
      <c r="O151" s="171" t="e">
        <f t="shared" si="28"/>
        <v>#DIV/0!</v>
      </c>
      <c r="P151" s="171" t="e">
        <f t="shared" si="29"/>
        <v>#DIV/0!</v>
      </c>
      <c r="Q151" s="186">
        <f>IF('prijem - EUR'!$I$87=TRUE,IF($C$11&gt;0,0.00025*M150,0),IF('prijem - EUR'!$I$88=TRUE,IF('prijem - EUR'!$F$88&gt;0,0.00025*M150*-1,0),0))</f>
        <v>0</v>
      </c>
    </row>
    <row r="152" spans="1:17" x14ac:dyDescent="0.2">
      <c r="A152" s="89">
        <v>136</v>
      </c>
      <c r="B152" s="186" t="e">
        <f t="shared" si="20"/>
        <v>#NUM!</v>
      </c>
      <c r="C152" s="171" t="e">
        <f t="shared" si="22"/>
        <v>#NUM!</v>
      </c>
      <c r="D152" s="171" t="e">
        <f t="shared" si="25"/>
        <v>#NUM!</v>
      </c>
      <c r="E152" s="171" t="e">
        <f t="shared" si="26"/>
        <v>#NUM!</v>
      </c>
      <c r="F152" s="171" t="e">
        <f t="shared" si="27"/>
        <v>#NUM!</v>
      </c>
      <c r="G152" s="186">
        <f>IF('prijem - EUR'!$I$87=TRUE,IF($C$11&gt;0,0.00025*C151,0),IF('prijem - EUR'!$I$88=TRUE,IF('prijem - EUR'!$F$88&gt;0,0.00025*C151,0),0))</f>
        <v>0</v>
      </c>
      <c r="K152" s="89">
        <v>136</v>
      </c>
      <c r="L152" s="186" t="e">
        <f t="shared" si="21"/>
        <v>#DIV/0!</v>
      </c>
      <c r="M152" s="171" t="e">
        <f t="shared" si="23"/>
        <v>#DIV/0!</v>
      </c>
      <c r="N152" s="171" t="e">
        <f t="shared" si="24"/>
        <v>#DIV/0!</v>
      </c>
      <c r="O152" s="171" t="e">
        <f t="shared" si="28"/>
        <v>#DIV/0!</v>
      </c>
      <c r="P152" s="171" t="e">
        <f t="shared" si="29"/>
        <v>#DIV/0!</v>
      </c>
      <c r="Q152" s="186">
        <f>IF('prijem - EUR'!$I$87=TRUE,IF($C$11&gt;0,0.00025*M151,0),IF('prijem - EUR'!$I$88=TRUE,IF('prijem - EUR'!$F$88&gt;0,0.00025*M151*-1,0),0))</f>
        <v>0</v>
      </c>
    </row>
    <row r="153" spans="1:17" x14ac:dyDescent="0.2">
      <c r="A153" s="89">
        <v>137</v>
      </c>
      <c r="B153" s="186" t="e">
        <f t="shared" si="20"/>
        <v>#NUM!</v>
      </c>
      <c r="C153" s="171" t="e">
        <f t="shared" si="22"/>
        <v>#NUM!</v>
      </c>
      <c r="D153" s="171" t="e">
        <f t="shared" si="25"/>
        <v>#NUM!</v>
      </c>
      <c r="E153" s="171" t="e">
        <f t="shared" si="26"/>
        <v>#NUM!</v>
      </c>
      <c r="F153" s="171" t="e">
        <f t="shared" si="27"/>
        <v>#NUM!</v>
      </c>
      <c r="G153" s="186">
        <f>IF('prijem - EUR'!$I$87=TRUE,IF($C$11&gt;0,0.00025*C152,0),IF('prijem - EUR'!$I$88=TRUE,IF('prijem - EUR'!$F$88&gt;0,0.00025*C152,0),0))</f>
        <v>0</v>
      </c>
      <c r="K153" s="89">
        <v>137</v>
      </c>
      <c r="L153" s="186" t="e">
        <f t="shared" si="21"/>
        <v>#DIV/0!</v>
      </c>
      <c r="M153" s="171" t="e">
        <f t="shared" si="23"/>
        <v>#DIV/0!</v>
      </c>
      <c r="N153" s="171" t="e">
        <f t="shared" si="24"/>
        <v>#DIV/0!</v>
      </c>
      <c r="O153" s="171" t="e">
        <f t="shared" si="28"/>
        <v>#DIV/0!</v>
      </c>
      <c r="P153" s="171" t="e">
        <f t="shared" si="29"/>
        <v>#DIV/0!</v>
      </c>
      <c r="Q153" s="186">
        <f>IF('prijem - EUR'!$I$87=TRUE,IF($C$11&gt;0,0.00025*M152,0),IF('prijem - EUR'!$I$88=TRUE,IF('prijem - EUR'!$F$88&gt;0,0.00025*M152*-1,0),0))</f>
        <v>0</v>
      </c>
    </row>
    <row r="154" spans="1:17" x14ac:dyDescent="0.2">
      <c r="A154" s="89">
        <v>138</v>
      </c>
      <c r="B154" s="186" t="e">
        <f t="shared" si="20"/>
        <v>#NUM!</v>
      </c>
      <c r="C154" s="171" t="e">
        <f t="shared" si="22"/>
        <v>#NUM!</v>
      </c>
      <c r="D154" s="171" t="e">
        <f t="shared" si="25"/>
        <v>#NUM!</v>
      </c>
      <c r="E154" s="171" t="e">
        <f t="shared" si="26"/>
        <v>#NUM!</v>
      </c>
      <c r="F154" s="171" t="e">
        <f t="shared" si="27"/>
        <v>#NUM!</v>
      </c>
      <c r="G154" s="186">
        <f>IF('prijem - EUR'!$I$87=TRUE,IF($C$11&gt;0,0.00025*C153,0),IF('prijem - EUR'!$I$88=TRUE,IF('prijem - EUR'!$F$88&gt;0,0.00025*C153,0),0))</f>
        <v>0</v>
      </c>
      <c r="K154" s="89">
        <v>138</v>
      </c>
      <c r="L154" s="186" t="e">
        <f t="shared" si="21"/>
        <v>#DIV/0!</v>
      </c>
      <c r="M154" s="171" t="e">
        <f t="shared" si="23"/>
        <v>#DIV/0!</v>
      </c>
      <c r="N154" s="171" t="e">
        <f t="shared" si="24"/>
        <v>#DIV/0!</v>
      </c>
      <c r="O154" s="171" t="e">
        <f t="shared" si="28"/>
        <v>#DIV/0!</v>
      </c>
      <c r="P154" s="171" t="e">
        <f t="shared" si="29"/>
        <v>#DIV/0!</v>
      </c>
      <c r="Q154" s="186">
        <f>IF('prijem - EUR'!$I$87=TRUE,IF($C$11&gt;0,0.00025*M153,0),IF('prijem - EUR'!$I$88=TRUE,IF('prijem - EUR'!$F$88&gt;0,0.00025*M153*-1,0),0))</f>
        <v>0</v>
      </c>
    </row>
    <row r="155" spans="1:17" x14ac:dyDescent="0.2">
      <c r="A155" s="89">
        <v>139</v>
      </c>
      <c r="B155" s="186" t="e">
        <f t="shared" si="20"/>
        <v>#NUM!</v>
      </c>
      <c r="C155" s="171" t="e">
        <f t="shared" si="22"/>
        <v>#NUM!</v>
      </c>
      <c r="D155" s="171" t="e">
        <f t="shared" si="25"/>
        <v>#NUM!</v>
      </c>
      <c r="E155" s="171" t="e">
        <f t="shared" si="26"/>
        <v>#NUM!</v>
      </c>
      <c r="F155" s="171" t="e">
        <f t="shared" si="27"/>
        <v>#NUM!</v>
      </c>
      <c r="G155" s="186">
        <f>IF('prijem - EUR'!$I$87=TRUE,IF($C$11&gt;0,0.00025*C154,0),IF('prijem - EUR'!$I$88=TRUE,IF('prijem - EUR'!$F$88&gt;0,0.00025*C154,0),0))</f>
        <v>0</v>
      </c>
      <c r="K155" s="89">
        <v>139</v>
      </c>
      <c r="L155" s="186" t="e">
        <f t="shared" si="21"/>
        <v>#DIV/0!</v>
      </c>
      <c r="M155" s="171" t="e">
        <f t="shared" si="23"/>
        <v>#DIV/0!</v>
      </c>
      <c r="N155" s="171" t="e">
        <f t="shared" si="24"/>
        <v>#DIV/0!</v>
      </c>
      <c r="O155" s="171" t="e">
        <f t="shared" si="28"/>
        <v>#DIV/0!</v>
      </c>
      <c r="P155" s="171" t="e">
        <f t="shared" si="29"/>
        <v>#DIV/0!</v>
      </c>
      <c r="Q155" s="186">
        <f>IF('prijem - EUR'!$I$87=TRUE,IF($C$11&gt;0,0.00025*M154,0),IF('prijem - EUR'!$I$88=TRUE,IF('prijem - EUR'!$F$88&gt;0,0.00025*M154*-1,0),0))</f>
        <v>0</v>
      </c>
    </row>
    <row r="156" spans="1:17" x14ac:dyDescent="0.2">
      <c r="A156" s="89">
        <v>140</v>
      </c>
      <c r="B156" s="186" t="e">
        <f t="shared" si="20"/>
        <v>#NUM!</v>
      </c>
      <c r="C156" s="171" t="e">
        <f t="shared" si="22"/>
        <v>#NUM!</v>
      </c>
      <c r="D156" s="171" t="e">
        <f t="shared" si="25"/>
        <v>#NUM!</v>
      </c>
      <c r="E156" s="171" t="e">
        <f t="shared" si="26"/>
        <v>#NUM!</v>
      </c>
      <c r="F156" s="171" t="e">
        <f t="shared" si="27"/>
        <v>#NUM!</v>
      </c>
      <c r="G156" s="186">
        <f>IF('prijem - EUR'!$I$87=TRUE,IF($C$11&gt;0,0.00025*C155,0),IF('prijem - EUR'!$I$88=TRUE,IF('prijem - EUR'!$F$88&gt;0,0.00025*C155,0),0))</f>
        <v>0</v>
      </c>
      <c r="K156" s="89">
        <v>140</v>
      </c>
      <c r="L156" s="186" t="e">
        <f t="shared" si="21"/>
        <v>#DIV/0!</v>
      </c>
      <c r="M156" s="171" t="e">
        <f t="shared" si="23"/>
        <v>#DIV/0!</v>
      </c>
      <c r="N156" s="171" t="e">
        <f t="shared" si="24"/>
        <v>#DIV/0!</v>
      </c>
      <c r="O156" s="171" t="e">
        <f t="shared" si="28"/>
        <v>#DIV/0!</v>
      </c>
      <c r="P156" s="171" t="e">
        <f t="shared" si="29"/>
        <v>#DIV/0!</v>
      </c>
      <c r="Q156" s="186">
        <f>IF('prijem - EUR'!$I$87=TRUE,IF($C$11&gt;0,0.00025*M155,0),IF('prijem - EUR'!$I$88=TRUE,IF('prijem - EUR'!$F$88&gt;0,0.00025*M155*-1,0),0))</f>
        <v>0</v>
      </c>
    </row>
    <row r="157" spans="1:17" x14ac:dyDescent="0.2">
      <c r="A157" s="89">
        <v>141</v>
      </c>
      <c r="B157" s="186" t="e">
        <f t="shared" si="20"/>
        <v>#NUM!</v>
      </c>
      <c r="C157" s="171" t="e">
        <f t="shared" si="22"/>
        <v>#NUM!</v>
      </c>
      <c r="D157" s="171" t="e">
        <f t="shared" si="25"/>
        <v>#NUM!</v>
      </c>
      <c r="E157" s="171" t="e">
        <f t="shared" si="26"/>
        <v>#NUM!</v>
      </c>
      <c r="F157" s="171" t="e">
        <f t="shared" si="27"/>
        <v>#NUM!</v>
      </c>
      <c r="G157" s="186">
        <f>IF('prijem - EUR'!$I$87=TRUE,IF($C$11&gt;0,0.00025*C156,0),IF('prijem - EUR'!$I$88=TRUE,IF('prijem - EUR'!$F$88&gt;0,0.00025*C156,0),0))</f>
        <v>0</v>
      </c>
      <c r="K157" s="89">
        <v>141</v>
      </c>
      <c r="L157" s="186" t="e">
        <f t="shared" si="21"/>
        <v>#DIV/0!</v>
      </c>
      <c r="M157" s="171" t="e">
        <f t="shared" si="23"/>
        <v>#DIV/0!</v>
      </c>
      <c r="N157" s="171" t="e">
        <f t="shared" si="24"/>
        <v>#DIV/0!</v>
      </c>
      <c r="O157" s="171" t="e">
        <f t="shared" si="28"/>
        <v>#DIV/0!</v>
      </c>
      <c r="P157" s="171" t="e">
        <f t="shared" si="29"/>
        <v>#DIV/0!</v>
      </c>
      <c r="Q157" s="186">
        <f>IF('prijem - EUR'!$I$87=TRUE,IF($C$11&gt;0,0.00025*M156,0),IF('prijem - EUR'!$I$88=TRUE,IF('prijem - EUR'!$F$88&gt;0,0.00025*M156*-1,0),0))</f>
        <v>0</v>
      </c>
    </row>
    <row r="158" spans="1:17" x14ac:dyDescent="0.2">
      <c r="A158" s="89">
        <v>142</v>
      </c>
      <c r="B158" s="186" t="e">
        <f t="shared" si="20"/>
        <v>#NUM!</v>
      </c>
      <c r="C158" s="171" t="e">
        <f t="shared" si="22"/>
        <v>#NUM!</v>
      </c>
      <c r="D158" s="171" t="e">
        <f t="shared" si="25"/>
        <v>#NUM!</v>
      </c>
      <c r="E158" s="171" t="e">
        <f t="shared" si="26"/>
        <v>#NUM!</v>
      </c>
      <c r="F158" s="171" t="e">
        <f t="shared" si="27"/>
        <v>#NUM!</v>
      </c>
      <c r="G158" s="186">
        <f>IF('prijem - EUR'!$I$87=TRUE,IF($C$11&gt;0,0.00025*C157,0),IF('prijem - EUR'!$I$88=TRUE,IF('prijem - EUR'!$F$88&gt;0,0.00025*C157,0),0))</f>
        <v>0</v>
      </c>
      <c r="K158" s="89">
        <v>142</v>
      </c>
      <c r="L158" s="186" t="e">
        <f t="shared" si="21"/>
        <v>#DIV/0!</v>
      </c>
      <c r="M158" s="171" t="e">
        <f t="shared" si="23"/>
        <v>#DIV/0!</v>
      </c>
      <c r="N158" s="171" t="e">
        <f t="shared" si="24"/>
        <v>#DIV/0!</v>
      </c>
      <c r="O158" s="171" t="e">
        <f t="shared" si="28"/>
        <v>#DIV/0!</v>
      </c>
      <c r="P158" s="171" t="e">
        <f t="shared" si="29"/>
        <v>#DIV/0!</v>
      </c>
      <c r="Q158" s="186">
        <f>IF('prijem - EUR'!$I$87=TRUE,IF($C$11&gt;0,0.00025*M157,0),IF('prijem - EUR'!$I$88=TRUE,IF('prijem - EUR'!$F$88&gt;0,0.00025*M157*-1,0),0))</f>
        <v>0</v>
      </c>
    </row>
    <row r="159" spans="1:17" x14ac:dyDescent="0.2">
      <c r="A159" s="89">
        <v>143</v>
      </c>
      <c r="B159" s="186" t="e">
        <f t="shared" si="20"/>
        <v>#NUM!</v>
      </c>
      <c r="C159" s="171" t="e">
        <f t="shared" si="22"/>
        <v>#NUM!</v>
      </c>
      <c r="D159" s="171" t="e">
        <f t="shared" si="25"/>
        <v>#NUM!</v>
      </c>
      <c r="E159" s="171" t="e">
        <f t="shared" si="26"/>
        <v>#NUM!</v>
      </c>
      <c r="F159" s="171" t="e">
        <f t="shared" si="27"/>
        <v>#NUM!</v>
      </c>
      <c r="G159" s="186">
        <f>IF('prijem - EUR'!$I$87=TRUE,IF($C$11&gt;0,0.00025*C158,0),IF('prijem - EUR'!$I$88=TRUE,IF('prijem - EUR'!$F$88&gt;0,0.00025*C158,0),0))</f>
        <v>0</v>
      </c>
      <c r="K159" s="89">
        <v>143</v>
      </c>
      <c r="L159" s="186" t="e">
        <f t="shared" si="21"/>
        <v>#DIV/0!</v>
      </c>
      <c r="M159" s="171" t="e">
        <f t="shared" si="23"/>
        <v>#DIV/0!</v>
      </c>
      <c r="N159" s="171" t="e">
        <f t="shared" si="24"/>
        <v>#DIV/0!</v>
      </c>
      <c r="O159" s="171" t="e">
        <f t="shared" si="28"/>
        <v>#DIV/0!</v>
      </c>
      <c r="P159" s="171" t="e">
        <f t="shared" si="29"/>
        <v>#DIV/0!</v>
      </c>
      <c r="Q159" s="186">
        <f>IF('prijem - EUR'!$I$87=TRUE,IF($C$11&gt;0,0.00025*M158,0),IF('prijem - EUR'!$I$88=TRUE,IF('prijem - EUR'!$F$88&gt;0,0.00025*M158*-1,0),0))</f>
        <v>0</v>
      </c>
    </row>
    <row r="160" spans="1:17" x14ac:dyDescent="0.2">
      <c r="A160" s="89">
        <v>144</v>
      </c>
      <c r="B160" s="186" t="e">
        <f t="shared" si="20"/>
        <v>#NUM!</v>
      </c>
      <c r="C160" s="171" t="e">
        <f t="shared" si="22"/>
        <v>#NUM!</v>
      </c>
      <c r="D160" s="171" t="e">
        <f t="shared" si="25"/>
        <v>#NUM!</v>
      </c>
      <c r="E160" s="171" t="e">
        <f t="shared" si="26"/>
        <v>#NUM!</v>
      </c>
      <c r="F160" s="171" t="e">
        <f t="shared" si="27"/>
        <v>#NUM!</v>
      </c>
      <c r="G160" s="186">
        <f>IF('prijem - EUR'!$I$87=TRUE,IF($C$11&gt;0,0.00025*C159,0),IF('prijem - EUR'!$I$88=TRUE,IF('prijem - EUR'!$F$88&gt;0,0.00025*C159,0),0))</f>
        <v>0</v>
      </c>
      <c r="K160" s="89">
        <v>144</v>
      </c>
      <c r="L160" s="186" t="e">
        <f t="shared" si="21"/>
        <v>#DIV/0!</v>
      </c>
      <c r="M160" s="171" t="e">
        <f t="shared" si="23"/>
        <v>#DIV/0!</v>
      </c>
      <c r="N160" s="171" t="e">
        <f t="shared" si="24"/>
        <v>#DIV/0!</v>
      </c>
      <c r="O160" s="171" t="e">
        <f t="shared" si="28"/>
        <v>#DIV/0!</v>
      </c>
      <c r="P160" s="171" t="e">
        <f t="shared" si="29"/>
        <v>#DIV/0!</v>
      </c>
      <c r="Q160" s="186">
        <f>IF('prijem - EUR'!$I$87=TRUE,IF($C$11&gt;0,0.00025*M159,0),IF('prijem - EUR'!$I$88=TRUE,IF('prijem - EUR'!$F$88&gt;0,0.00025*M159*-1,0),0))</f>
        <v>0</v>
      </c>
    </row>
    <row r="161" spans="1:17" x14ac:dyDescent="0.2">
      <c r="A161" s="89">
        <v>145</v>
      </c>
      <c r="B161" s="186" t="e">
        <f t="shared" si="20"/>
        <v>#NUM!</v>
      </c>
      <c r="C161" s="171" t="e">
        <f t="shared" si="22"/>
        <v>#NUM!</v>
      </c>
      <c r="D161" s="171" t="e">
        <f t="shared" si="25"/>
        <v>#NUM!</v>
      </c>
      <c r="E161" s="171" t="e">
        <f t="shared" si="26"/>
        <v>#NUM!</v>
      </c>
      <c r="F161" s="171" t="e">
        <f t="shared" si="27"/>
        <v>#NUM!</v>
      </c>
      <c r="G161" s="186">
        <f>IF('prijem - EUR'!$I$87=TRUE,IF($C$11&gt;0,0.00025*C160,0),IF('prijem - EUR'!$I$88=TRUE,IF('prijem - EUR'!$F$88&gt;0,0.00025*C160,0),0))</f>
        <v>0</v>
      </c>
      <c r="K161" s="89">
        <v>145</v>
      </c>
      <c r="L161" s="186" t="e">
        <f t="shared" si="21"/>
        <v>#DIV/0!</v>
      </c>
      <c r="M161" s="171" t="e">
        <f t="shared" si="23"/>
        <v>#DIV/0!</v>
      </c>
      <c r="N161" s="171" t="e">
        <f t="shared" si="24"/>
        <v>#DIV/0!</v>
      </c>
      <c r="O161" s="171" t="e">
        <f t="shared" si="28"/>
        <v>#DIV/0!</v>
      </c>
      <c r="P161" s="171" t="e">
        <f t="shared" si="29"/>
        <v>#DIV/0!</v>
      </c>
      <c r="Q161" s="186">
        <f>IF('prijem - EUR'!$I$87=TRUE,IF($C$11&gt;0,0.00025*M160,0),IF('prijem - EUR'!$I$88=TRUE,IF('prijem - EUR'!$F$88&gt;0,0.00025*M160*-1,0),0))</f>
        <v>0</v>
      </c>
    </row>
    <row r="162" spans="1:17" x14ac:dyDescent="0.2">
      <c r="A162" s="89">
        <v>146</v>
      </c>
      <c r="B162" s="186" t="e">
        <f t="shared" si="20"/>
        <v>#NUM!</v>
      </c>
      <c r="C162" s="171" t="e">
        <f t="shared" si="22"/>
        <v>#NUM!</v>
      </c>
      <c r="D162" s="171" t="e">
        <f t="shared" si="25"/>
        <v>#NUM!</v>
      </c>
      <c r="E162" s="171" t="e">
        <f t="shared" si="26"/>
        <v>#NUM!</v>
      </c>
      <c r="F162" s="171" t="e">
        <f t="shared" si="27"/>
        <v>#NUM!</v>
      </c>
      <c r="G162" s="186">
        <f>IF('prijem - EUR'!$I$87=TRUE,IF($C$11&gt;0,0.00025*C161,0),IF('prijem - EUR'!$I$88=TRUE,IF('prijem - EUR'!$F$88&gt;0,0.00025*C161,0),0))</f>
        <v>0</v>
      </c>
      <c r="K162" s="89">
        <v>146</v>
      </c>
      <c r="L162" s="186" t="e">
        <f t="shared" si="21"/>
        <v>#DIV/0!</v>
      </c>
      <c r="M162" s="171" t="e">
        <f t="shared" si="23"/>
        <v>#DIV/0!</v>
      </c>
      <c r="N162" s="171" t="e">
        <f t="shared" si="24"/>
        <v>#DIV/0!</v>
      </c>
      <c r="O162" s="171" t="e">
        <f t="shared" si="28"/>
        <v>#DIV/0!</v>
      </c>
      <c r="P162" s="171" t="e">
        <f t="shared" si="29"/>
        <v>#DIV/0!</v>
      </c>
      <c r="Q162" s="186">
        <f>IF('prijem - EUR'!$I$87=TRUE,IF($C$11&gt;0,0.00025*M161,0),IF('prijem - EUR'!$I$88=TRUE,IF('prijem - EUR'!$F$88&gt;0,0.00025*M161*-1,0),0))</f>
        <v>0</v>
      </c>
    </row>
    <row r="163" spans="1:17" x14ac:dyDescent="0.2">
      <c r="A163" s="89">
        <v>147</v>
      </c>
      <c r="B163" s="186" t="e">
        <f t="shared" si="20"/>
        <v>#NUM!</v>
      </c>
      <c r="C163" s="171" t="e">
        <f t="shared" si="22"/>
        <v>#NUM!</v>
      </c>
      <c r="D163" s="171" t="e">
        <f t="shared" si="25"/>
        <v>#NUM!</v>
      </c>
      <c r="E163" s="171" t="e">
        <f t="shared" si="26"/>
        <v>#NUM!</v>
      </c>
      <c r="F163" s="171" t="e">
        <f t="shared" si="27"/>
        <v>#NUM!</v>
      </c>
      <c r="G163" s="186">
        <f>IF('prijem - EUR'!$I$87=TRUE,IF($C$11&gt;0,0.00025*C162,0),IF('prijem - EUR'!$I$88=TRUE,IF('prijem - EUR'!$F$88&gt;0,0.00025*C162,0),0))</f>
        <v>0</v>
      </c>
      <c r="K163" s="89">
        <v>147</v>
      </c>
      <c r="L163" s="186" t="e">
        <f t="shared" si="21"/>
        <v>#DIV/0!</v>
      </c>
      <c r="M163" s="171" t="e">
        <f t="shared" si="23"/>
        <v>#DIV/0!</v>
      </c>
      <c r="N163" s="171" t="e">
        <f t="shared" si="24"/>
        <v>#DIV/0!</v>
      </c>
      <c r="O163" s="171" t="e">
        <f t="shared" si="28"/>
        <v>#DIV/0!</v>
      </c>
      <c r="P163" s="171" t="e">
        <f t="shared" si="29"/>
        <v>#DIV/0!</v>
      </c>
      <c r="Q163" s="186">
        <f>IF('prijem - EUR'!$I$87=TRUE,IF($C$11&gt;0,0.00025*M162,0),IF('prijem - EUR'!$I$88=TRUE,IF('prijem - EUR'!$F$88&gt;0,0.00025*M162*-1,0),0))</f>
        <v>0</v>
      </c>
    </row>
    <row r="164" spans="1:17" x14ac:dyDescent="0.2">
      <c r="A164" s="89">
        <v>148</v>
      </c>
      <c r="B164" s="186" t="e">
        <f t="shared" si="20"/>
        <v>#NUM!</v>
      </c>
      <c r="C164" s="171" t="e">
        <f t="shared" si="22"/>
        <v>#NUM!</v>
      </c>
      <c r="D164" s="171" t="e">
        <f t="shared" si="25"/>
        <v>#NUM!</v>
      </c>
      <c r="E164" s="171" t="e">
        <f t="shared" si="26"/>
        <v>#NUM!</v>
      </c>
      <c r="F164" s="171" t="e">
        <f t="shared" si="27"/>
        <v>#NUM!</v>
      </c>
      <c r="G164" s="186">
        <f>IF('prijem - EUR'!$I$87=TRUE,IF($C$11&gt;0,0.00025*C163,0),IF('prijem - EUR'!$I$88=TRUE,IF('prijem - EUR'!$F$88&gt;0,0.00025*C163,0),0))</f>
        <v>0</v>
      </c>
      <c r="K164" s="89">
        <v>148</v>
      </c>
      <c r="L164" s="186" t="e">
        <f t="shared" si="21"/>
        <v>#DIV/0!</v>
      </c>
      <c r="M164" s="171" t="e">
        <f t="shared" si="23"/>
        <v>#DIV/0!</v>
      </c>
      <c r="N164" s="171" t="e">
        <f t="shared" si="24"/>
        <v>#DIV/0!</v>
      </c>
      <c r="O164" s="171" t="e">
        <f t="shared" si="28"/>
        <v>#DIV/0!</v>
      </c>
      <c r="P164" s="171" t="e">
        <f t="shared" si="29"/>
        <v>#DIV/0!</v>
      </c>
      <c r="Q164" s="186">
        <f>IF('prijem - EUR'!$I$87=TRUE,IF($C$11&gt;0,0.00025*M163,0),IF('prijem - EUR'!$I$88=TRUE,IF('prijem - EUR'!$F$88&gt;0,0.00025*M163*-1,0),0))</f>
        <v>0</v>
      </c>
    </row>
    <row r="165" spans="1:17" x14ac:dyDescent="0.2">
      <c r="A165" s="89">
        <v>149</v>
      </c>
      <c r="B165" s="186" t="e">
        <f t="shared" si="20"/>
        <v>#NUM!</v>
      </c>
      <c r="C165" s="171" t="e">
        <f t="shared" si="22"/>
        <v>#NUM!</v>
      </c>
      <c r="D165" s="171" t="e">
        <f t="shared" si="25"/>
        <v>#NUM!</v>
      </c>
      <c r="E165" s="171" t="e">
        <f t="shared" si="26"/>
        <v>#NUM!</v>
      </c>
      <c r="F165" s="171" t="e">
        <f t="shared" si="27"/>
        <v>#NUM!</v>
      </c>
      <c r="G165" s="186">
        <f>IF('prijem - EUR'!$I$87=TRUE,IF($C$11&gt;0,0.00025*C164,0),IF('prijem - EUR'!$I$88=TRUE,IF('prijem - EUR'!$F$88&gt;0,0.00025*C164,0),0))</f>
        <v>0</v>
      </c>
      <c r="K165" s="89">
        <v>149</v>
      </c>
      <c r="L165" s="186" t="e">
        <f t="shared" si="21"/>
        <v>#DIV/0!</v>
      </c>
      <c r="M165" s="171" t="e">
        <f t="shared" si="23"/>
        <v>#DIV/0!</v>
      </c>
      <c r="N165" s="171" t="e">
        <f t="shared" si="24"/>
        <v>#DIV/0!</v>
      </c>
      <c r="O165" s="171" t="e">
        <f t="shared" si="28"/>
        <v>#DIV/0!</v>
      </c>
      <c r="P165" s="171" t="e">
        <f t="shared" si="29"/>
        <v>#DIV/0!</v>
      </c>
      <c r="Q165" s="186">
        <f>IF('prijem - EUR'!$I$87=TRUE,IF($C$11&gt;0,0.00025*M164,0),IF('prijem - EUR'!$I$88=TRUE,IF('prijem - EUR'!$F$88&gt;0,0.00025*M164*-1,0),0))</f>
        <v>0</v>
      </c>
    </row>
    <row r="166" spans="1:17" x14ac:dyDescent="0.2">
      <c r="A166" s="89">
        <v>150</v>
      </c>
      <c r="B166" s="186" t="e">
        <f t="shared" si="20"/>
        <v>#NUM!</v>
      </c>
      <c r="C166" s="171" t="e">
        <f t="shared" si="22"/>
        <v>#NUM!</v>
      </c>
      <c r="D166" s="171" t="e">
        <f t="shared" si="25"/>
        <v>#NUM!</v>
      </c>
      <c r="E166" s="171" t="e">
        <f t="shared" si="26"/>
        <v>#NUM!</v>
      </c>
      <c r="F166" s="171" t="e">
        <f t="shared" si="27"/>
        <v>#NUM!</v>
      </c>
      <c r="G166" s="186">
        <f>IF('prijem - EUR'!$I$87=TRUE,IF($C$11&gt;0,0.00025*C165,0),IF('prijem - EUR'!$I$88=TRUE,IF('prijem - EUR'!$F$88&gt;0,0.00025*C165,0),0))</f>
        <v>0</v>
      </c>
      <c r="K166" s="89">
        <v>150</v>
      </c>
      <c r="L166" s="186" t="e">
        <f t="shared" si="21"/>
        <v>#DIV/0!</v>
      </c>
      <c r="M166" s="171" t="e">
        <f t="shared" si="23"/>
        <v>#DIV/0!</v>
      </c>
      <c r="N166" s="171" t="e">
        <f t="shared" si="24"/>
        <v>#DIV/0!</v>
      </c>
      <c r="O166" s="171" t="e">
        <f t="shared" si="28"/>
        <v>#DIV/0!</v>
      </c>
      <c r="P166" s="171" t="e">
        <f t="shared" si="29"/>
        <v>#DIV/0!</v>
      </c>
      <c r="Q166" s="186">
        <f>IF('prijem - EUR'!$I$87=TRUE,IF($C$11&gt;0,0.00025*M165,0),IF('prijem - EUR'!$I$88=TRUE,IF('prijem - EUR'!$F$88&gt;0,0.00025*M165*-1,0),0))</f>
        <v>0</v>
      </c>
    </row>
    <row r="167" spans="1:17" x14ac:dyDescent="0.2">
      <c r="A167" s="89">
        <v>151</v>
      </c>
      <c r="B167" s="186" t="e">
        <f t="shared" si="20"/>
        <v>#NUM!</v>
      </c>
      <c r="C167" s="171" t="e">
        <f t="shared" si="22"/>
        <v>#NUM!</v>
      </c>
      <c r="D167" s="171" t="e">
        <f t="shared" si="25"/>
        <v>#NUM!</v>
      </c>
      <c r="E167" s="171" t="e">
        <f t="shared" si="26"/>
        <v>#NUM!</v>
      </c>
      <c r="F167" s="171" t="e">
        <f t="shared" si="27"/>
        <v>#NUM!</v>
      </c>
      <c r="G167" s="186">
        <f>IF('prijem - EUR'!$I$87=TRUE,IF($C$11&gt;0,0.00025*C166,0),IF('prijem - EUR'!$I$88=TRUE,IF('prijem - EUR'!$F$88&gt;0,0.00025*C166,0),0))</f>
        <v>0</v>
      </c>
      <c r="K167" s="89">
        <v>151</v>
      </c>
      <c r="L167" s="186" t="e">
        <f t="shared" si="21"/>
        <v>#DIV/0!</v>
      </c>
      <c r="M167" s="171" t="e">
        <f t="shared" si="23"/>
        <v>#DIV/0!</v>
      </c>
      <c r="N167" s="171" t="e">
        <f t="shared" si="24"/>
        <v>#DIV/0!</v>
      </c>
      <c r="O167" s="171" t="e">
        <f t="shared" si="28"/>
        <v>#DIV/0!</v>
      </c>
      <c r="P167" s="171" t="e">
        <f t="shared" si="29"/>
        <v>#DIV/0!</v>
      </c>
      <c r="Q167" s="186">
        <f>IF('prijem - EUR'!$I$87=TRUE,IF($C$11&gt;0,0.00025*M166,0),IF('prijem - EUR'!$I$88=TRUE,IF('prijem - EUR'!$F$88&gt;0,0.00025*M166*-1,0),0))</f>
        <v>0</v>
      </c>
    </row>
    <row r="168" spans="1:17" x14ac:dyDescent="0.2">
      <c r="A168" s="89">
        <v>152</v>
      </c>
      <c r="B168" s="186" t="e">
        <f t="shared" si="20"/>
        <v>#NUM!</v>
      </c>
      <c r="C168" s="171" t="e">
        <f t="shared" si="22"/>
        <v>#NUM!</v>
      </c>
      <c r="D168" s="171" t="e">
        <f t="shared" si="25"/>
        <v>#NUM!</v>
      </c>
      <c r="E168" s="171" t="e">
        <f t="shared" si="26"/>
        <v>#NUM!</v>
      </c>
      <c r="F168" s="171" t="e">
        <f t="shared" si="27"/>
        <v>#NUM!</v>
      </c>
      <c r="G168" s="186">
        <f>IF('prijem - EUR'!$I$87=TRUE,IF($C$11&gt;0,0.00025*C167,0),IF('prijem - EUR'!$I$88=TRUE,IF('prijem - EUR'!$F$88&gt;0,0.00025*C167,0),0))</f>
        <v>0</v>
      </c>
      <c r="K168" s="89">
        <v>152</v>
      </c>
      <c r="L168" s="186" t="e">
        <f t="shared" si="21"/>
        <v>#DIV/0!</v>
      </c>
      <c r="M168" s="171" t="e">
        <f t="shared" si="23"/>
        <v>#DIV/0!</v>
      </c>
      <c r="N168" s="171" t="e">
        <f t="shared" si="24"/>
        <v>#DIV/0!</v>
      </c>
      <c r="O168" s="171" t="e">
        <f t="shared" si="28"/>
        <v>#DIV/0!</v>
      </c>
      <c r="P168" s="171" t="e">
        <f t="shared" si="29"/>
        <v>#DIV/0!</v>
      </c>
      <c r="Q168" s="186">
        <f>IF('prijem - EUR'!$I$87=TRUE,IF($C$11&gt;0,0.00025*M167,0),IF('prijem - EUR'!$I$88=TRUE,IF('prijem - EUR'!$F$88&gt;0,0.00025*M167*-1,0),0))</f>
        <v>0</v>
      </c>
    </row>
    <row r="169" spans="1:17" x14ac:dyDescent="0.2">
      <c r="A169" s="89">
        <v>153</v>
      </c>
      <c r="B169" s="186" t="e">
        <f t="shared" si="20"/>
        <v>#NUM!</v>
      </c>
      <c r="C169" s="171" t="e">
        <f t="shared" si="22"/>
        <v>#NUM!</v>
      </c>
      <c r="D169" s="171" t="e">
        <f t="shared" si="25"/>
        <v>#NUM!</v>
      </c>
      <c r="E169" s="171" t="e">
        <f t="shared" si="26"/>
        <v>#NUM!</v>
      </c>
      <c r="F169" s="171" t="e">
        <f t="shared" si="27"/>
        <v>#NUM!</v>
      </c>
      <c r="G169" s="186">
        <f>IF('prijem - EUR'!$I$87=TRUE,IF($C$11&gt;0,0.00025*C168,0),IF('prijem - EUR'!$I$88=TRUE,IF('prijem - EUR'!$F$88&gt;0,0.00025*C168,0),0))</f>
        <v>0</v>
      </c>
      <c r="K169" s="89">
        <v>153</v>
      </c>
      <c r="L169" s="186" t="e">
        <f t="shared" si="21"/>
        <v>#DIV/0!</v>
      </c>
      <c r="M169" s="171" t="e">
        <f t="shared" si="23"/>
        <v>#DIV/0!</v>
      </c>
      <c r="N169" s="171" t="e">
        <f t="shared" si="24"/>
        <v>#DIV/0!</v>
      </c>
      <c r="O169" s="171" t="e">
        <f t="shared" si="28"/>
        <v>#DIV/0!</v>
      </c>
      <c r="P169" s="171" t="e">
        <f t="shared" si="29"/>
        <v>#DIV/0!</v>
      </c>
      <c r="Q169" s="186">
        <f>IF('prijem - EUR'!$I$87=TRUE,IF($C$11&gt;0,0.00025*M168,0),IF('prijem - EUR'!$I$88=TRUE,IF('prijem - EUR'!$F$88&gt;0,0.00025*M168*-1,0),0))</f>
        <v>0</v>
      </c>
    </row>
    <row r="170" spans="1:17" x14ac:dyDescent="0.2">
      <c r="A170" s="89">
        <v>154</v>
      </c>
      <c r="B170" s="186" t="e">
        <f t="shared" ref="B170:B233" si="30">IF(C169&gt;0.00001,F170-G170,0)</f>
        <v>#NUM!</v>
      </c>
      <c r="C170" s="171" t="e">
        <f t="shared" si="22"/>
        <v>#NUM!</v>
      </c>
      <c r="D170" s="171" t="e">
        <f t="shared" si="25"/>
        <v>#NUM!</v>
      </c>
      <c r="E170" s="171" t="e">
        <f t="shared" si="26"/>
        <v>#NUM!</v>
      </c>
      <c r="F170" s="171" t="e">
        <f t="shared" si="27"/>
        <v>#NUM!</v>
      </c>
      <c r="G170" s="186">
        <f>IF('prijem - EUR'!$I$87=TRUE,IF($C$11&gt;0,0.00025*C169,0),IF('prijem - EUR'!$I$88=TRUE,IF('prijem - EUR'!$F$88&gt;0,0.00025*C169,0),0))</f>
        <v>0</v>
      </c>
      <c r="K170" s="89">
        <v>154</v>
      </c>
      <c r="L170" s="186" t="e">
        <f t="shared" ref="L170:L233" si="31">IF(M169&gt;0.00001,P170-Q170,0)*-1</f>
        <v>#DIV/0!</v>
      </c>
      <c r="M170" s="171" t="e">
        <f t="shared" si="23"/>
        <v>#DIV/0!</v>
      </c>
      <c r="N170" s="171" t="e">
        <f t="shared" si="24"/>
        <v>#DIV/0!</v>
      </c>
      <c r="O170" s="171" t="e">
        <f t="shared" si="28"/>
        <v>#DIV/0!</v>
      </c>
      <c r="P170" s="171" t="e">
        <f t="shared" si="29"/>
        <v>#DIV/0!</v>
      </c>
      <c r="Q170" s="186">
        <f>IF('prijem - EUR'!$I$87=TRUE,IF($C$11&gt;0,0.00025*M169,0),IF('prijem - EUR'!$I$88=TRUE,IF('prijem - EUR'!$F$88&gt;0,0.00025*M169*-1,0),0))</f>
        <v>0</v>
      </c>
    </row>
    <row r="171" spans="1:17" x14ac:dyDescent="0.2">
      <c r="A171" s="89">
        <v>155</v>
      </c>
      <c r="B171" s="186" t="e">
        <f t="shared" si="30"/>
        <v>#NUM!</v>
      </c>
      <c r="C171" s="171" t="e">
        <f t="shared" si="22"/>
        <v>#NUM!</v>
      </c>
      <c r="D171" s="171" t="e">
        <f t="shared" si="25"/>
        <v>#NUM!</v>
      </c>
      <c r="E171" s="171" t="e">
        <f t="shared" si="26"/>
        <v>#NUM!</v>
      </c>
      <c r="F171" s="171" t="e">
        <f t="shared" si="27"/>
        <v>#NUM!</v>
      </c>
      <c r="G171" s="186">
        <f>IF('prijem - EUR'!$I$87=TRUE,IF($C$11&gt;0,0.00025*C170,0),IF('prijem - EUR'!$I$88=TRUE,IF('prijem - EUR'!$F$88&gt;0,0.00025*C170,0),0))</f>
        <v>0</v>
      </c>
      <c r="K171" s="89">
        <v>155</v>
      </c>
      <c r="L171" s="186" t="e">
        <f t="shared" si="31"/>
        <v>#DIV/0!</v>
      </c>
      <c r="M171" s="171" t="e">
        <f t="shared" si="23"/>
        <v>#DIV/0!</v>
      </c>
      <c r="N171" s="171" t="e">
        <f t="shared" si="24"/>
        <v>#DIV/0!</v>
      </c>
      <c r="O171" s="171" t="e">
        <f t="shared" si="28"/>
        <v>#DIV/0!</v>
      </c>
      <c r="P171" s="171" t="e">
        <f t="shared" si="29"/>
        <v>#DIV/0!</v>
      </c>
      <c r="Q171" s="186">
        <f>IF('prijem - EUR'!$I$87=TRUE,IF($C$11&gt;0,0.00025*M170,0),IF('prijem - EUR'!$I$88=TRUE,IF('prijem - EUR'!$F$88&gt;0,0.00025*M170*-1,0),0))</f>
        <v>0</v>
      </c>
    </row>
    <row r="172" spans="1:17" x14ac:dyDescent="0.2">
      <c r="A172" s="89">
        <v>156</v>
      </c>
      <c r="B172" s="186" t="e">
        <f t="shared" si="30"/>
        <v>#NUM!</v>
      </c>
      <c r="C172" s="171" t="e">
        <f t="shared" si="22"/>
        <v>#NUM!</v>
      </c>
      <c r="D172" s="171" t="e">
        <f t="shared" si="25"/>
        <v>#NUM!</v>
      </c>
      <c r="E172" s="171" t="e">
        <f t="shared" si="26"/>
        <v>#NUM!</v>
      </c>
      <c r="F172" s="171" t="e">
        <f t="shared" si="27"/>
        <v>#NUM!</v>
      </c>
      <c r="G172" s="186">
        <f>IF('prijem - EUR'!$I$87=TRUE,IF($C$11&gt;0,0.00025*C171,0),IF('prijem - EUR'!$I$88=TRUE,IF('prijem - EUR'!$F$88&gt;0,0.00025*C171,0),0))</f>
        <v>0</v>
      </c>
      <c r="K172" s="89">
        <v>156</v>
      </c>
      <c r="L172" s="186" t="e">
        <f t="shared" si="31"/>
        <v>#DIV/0!</v>
      </c>
      <c r="M172" s="171" t="e">
        <f t="shared" si="23"/>
        <v>#DIV/0!</v>
      </c>
      <c r="N172" s="171" t="e">
        <f t="shared" si="24"/>
        <v>#DIV/0!</v>
      </c>
      <c r="O172" s="171" t="e">
        <f t="shared" si="28"/>
        <v>#DIV/0!</v>
      </c>
      <c r="P172" s="171" t="e">
        <f t="shared" si="29"/>
        <v>#DIV/0!</v>
      </c>
      <c r="Q172" s="186">
        <f>IF('prijem - EUR'!$I$87=TRUE,IF($C$11&gt;0,0.00025*M171,0),IF('prijem - EUR'!$I$88=TRUE,IF('prijem - EUR'!$F$88&gt;0,0.00025*M171*-1,0),0))</f>
        <v>0</v>
      </c>
    </row>
    <row r="173" spans="1:17" x14ac:dyDescent="0.2">
      <c r="A173" s="89">
        <v>157</v>
      </c>
      <c r="B173" s="186" t="e">
        <f t="shared" si="30"/>
        <v>#NUM!</v>
      </c>
      <c r="C173" s="171" t="e">
        <f t="shared" si="22"/>
        <v>#NUM!</v>
      </c>
      <c r="D173" s="171" t="e">
        <f t="shared" si="25"/>
        <v>#NUM!</v>
      </c>
      <c r="E173" s="171" t="e">
        <f t="shared" si="26"/>
        <v>#NUM!</v>
      </c>
      <c r="F173" s="171" t="e">
        <f t="shared" si="27"/>
        <v>#NUM!</v>
      </c>
      <c r="G173" s="186">
        <f>IF('prijem - EUR'!$I$87=TRUE,IF($C$11&gt;0,0.00025*C172,0),IF('prijem - EUR'!$I$88=TRUE,IF('prijem - EUR'!$F$88&gt;0,0.00025*C172,0),0))</f>
        <v>0</v>
      </c>
      <c r="K173" s="89">
        <v>157</v>
      </c>
      <c r="L173" s="186" t="e">
        <f t="shared" si="31"/>
        <v>#DIV/0!</v>
      </c>
      <c r="M173" s="171" t="e">
        <f t="shared" si="23"/>
        <v>#DIV/0!</v>
      </c>
      <c r="N173" s="171" t="e">
        <f t="shared" si="24"/>
        <v>#DIV/0!</v>
      </c>
      <c r="O173" s="171" t="e">
        <f t="shared" si="28"/>
        <v>#DIV/0!</v>
      </c>
      <c r="P173" s="171" t="e">
        <f t="shared" si="29"/>
        <v>#DIV/0!</v>
      </c>
      <c r="Q173" s="186">
        <f>IF('prijem - EUR'!$I$87=TRUE,IF($C$11&gt;0,0.00025*M172,0),IF('prijem - EUR'!$I$88=TRUE,IF('prijem - EUR'!$F$88&gt;0,0.00025*M172*-1,0),0))</f>
        <v>0</v>
      </c>
    </row>
    <row r="174" spans="1:17" x14ac:dyDescent="0.2">
      <c r="A174" s="89">
        <v>158</v>
      </c>
      <c r="B174" s="186" t="e">
        <f t="shared" si="30"/>
        <v>#NUM!</v>
      </c>
      <c r="C174" s="171" t="e">
        <f t="shared" si="22"/>
        <v>#NUM!</v>
      </c>
      <c r="D174" s="171" t="e">
        <f t="shared" si="25"/>
        <v>#NUM!</v>
      </c>
      <c r="E174" s="171" t="e">
        <f t="shared" si="26"/>
        <v>#NUM!</v>
      </c>
      <c r="F174" s="171" t="e">
        <f t="shared" si="27"/>
        <v>#NUM!</v>
      </c>
      <c r="G174" s="186">
        <f>IF('prijem - EUR'!$I$87=TRUE,IF($C$11&gt;0,0.00025*C173,0),IF('prijem - EUR'!$I$88=TRUE,IF('prijem - EUR'!$F$88&gt;0,0.00025*C173,0),0))</f>
        <v>0</v>
      </c>
      <c r="K174" s="89">
        <v>158</v>
      </c>
      <c r="L174" s="186" t="e">
        <f t="shared" si="31"/>
        <v>#DIV/0!</v>
      </c>
      <c r="M174" s="171" t="e">
        <f t="shared" si="23"/>
        <v>#DIV/0!</v>
      </c>
      <c r="N174" s="171" t="e">
        <f t="shared" si="24"/>
        <v>#DIV/0!</v>
      </c>
      <c r="O174" s="171" t="e">
        <f t="shared" si="28"/>
        <v>#DIV/0!</v>
      </c>
      <c r="P174" s="171" t="e">
        <f t="shared" si="29"/>
        <v>#DIV/0!</v>
      </c>
      <c r="Q174" s="186">
        <f>IF('prijem - EUR'!$I$87=TRUE,IF($C$11&gt;0,0.00025*M173,0),IF('prijem - EUR'!$I$88=TRUE,IF('prijem - EUR'!$F$88&gt;0,0.00025*M173*-1,0),0))</f>
        <v>0</v>
      </c>
    </row>
    <row r="175" spans="1:17" x14ac:dyDescent="0.2">
      <c r="A175" s="89">
        <v>159</v>
      </c>
      <c r="B175" s="186" t="e">
        <f t="shared" si="30"/>
        <v>#NUM!</v>
      </c>
      <c r="C175" s="171" t="e">
        <f t="shared" si="22"/>
        <v>#NUM!</v>
      </c>
      <c r="D175" s="171" t="e">
        <f t="shared" si="25"/>
        <v>#NUM!</v>
      </c>
      <c r="E175" s="171" t="e">
        <f t="shared" si="26"/>
        <v>#NUM!</v>
      </c>
      <c r="F175" s="171" t="e">
        <f t="shared" si="27"/>
        <v>#NUM!</v>
      </c>
      <c r="G175" s="186">
        <f>IF('prijem - EUR'!$I$87=TRUE,IF($C$11&gt;0,0.00025*C174,0),IF('prijem - EUR'!$I$88=TRUE,IF('prijem - EUR'!$F$88&gt;0,0.00025*C174,0),0))</f>
        <v>0</v>
      </c>
      <c r="K175" s="89">
        <v>159</v>
      </c>
      <c r="L175" s="186" t="e">
        <f t="shared" si="31"/>
        <v>#DIV/0!</v>
      </c>
      <c r="M175" s="171" t="e">
        <f t="shared" si="23"/>
        <v>#DIV/0!</v>
      </c>
      <c r="N175" s="171" t="e">
        <f t="shared" si="24"/>
        <v>#DIV/0!</v>
      </c>
      <c r="O175" s="171" t="e">
        <f t="shared" si="28"/>
        <v>#DIV/0!</v>
      </c>
      <c r="P175" s="171" t="e">
        <f t="shared" si="29"/>
        <v>#DIV/0!</v>
      </c>
      <c r="Q175" s="186">
        <f>IF('prijem - EUR'!$I$87=TRUE,IF($C$11&gt;0,0.00025*M174,0),IF('prijem - EUR'!$I$88=TRUE,IF('prijem - EUR'!$F$88&gt;0,0.00025*M174*-1,0),0))</f>
        <v>0</v>
      </c>
    </row>
    <row r="176" spans="1:17" x14ac:dyDescent="0.2">
      <c r="A176" s="89">
        <v>160</v>
      </c>
      <c r="B176" s="186" t="e">
        <f t="shared" si="30"/>
        <v>#NUM!</v>
      </c>
      <c r="C176" s="171" t="e">
        <f t="shared" si="22"/>
        <v>#NUM!</v>
      </c>
      <c r="D176" s="171" t="e">
        <f t="shared" si="25"/>
        <v>#NUM!</v>
      </c>
      <c r="E176" s="171" t="e">
        <f t="shared" si="26"/>
        <v>#NUM!</v>
      </c>
      <c r="F176" s="171" t="e">
        <f t="shared" si="27"/>
        <v>#NUM!</v>
      </c>
      <c r="G176" s="186">
        <f>IF('prijem - EUR'!$I$87=TRUE,IF($C$11&gt;0,0.00025*C175,0),IF('prijem - EUR'!$I$88=TRUE,IF('prijem - EUR'!$F$88&gt;0,0.00025*C175,0),0))</f>
        <v>0</v>
      </c>
      <c r="K176" s="89">
        <v>160</v>
      </c>
      <c r="L176" s="186" t="e">
        <f t="shared" si="31"/>
        <v>#DIV/0!</v>
      </c>
      <c r="M176" s="171" t="e">
        <f t="shared" si="23"/>
        <v>#DIV/0!</v>
      </c>
      <c r="N176" s="171" t="e">
        <f t="shared" si="24"/>
        <v>#DIV/0!</v>
      </c>
      <c r="O176" s="171" t="e">
        <f t="shared" si="28"/>
        <v>#DIV/0!</v>
      </c>
      <c r="P176" s="171" t="e">
        <f t="shared" si="29"/>
        <v>#DIV/0!</v>
      </c>
      <c r="Q176" s="186">
        <f>IF('prijem - EUR'!$I$87=TRUE,IF($C$11&gt;0,0.00025*M175,0),IF('prijem - EUR'!$I$88=TRUE,IF('prijem - EUR'!$F$88&gt;0,0.00025*M175*-1,0),0))</f>
        <v>0</v>
      </c>
    </row>
    <row r="177" spans="1:17" x14ac:dyDescent="0.2">
      <c r="A177" s="89">
        <v>161</v>
      </c>
      <c r="B177" s="186" t="e">
        <f t="shared" si="30"/>
        <v>#NUM!</v>
      </c>
      <c r="C177" s="171" t="e">
        <f t="shared" si="22"/>
        <v>#NUM!</v>
      </c>
      <c r="D177" s="171" t="e">
        <f t="shared" si="25"/>
        <v>#NUM!</v>
      </c>
      <c r="E177" s="171" t="e">
        <f t="shared" si="26"/>
        <v>#NUM!</v>
      </c>
      <c r="F177" s="171" t="e">
        <f t="shared" si="27"/>
        <v>#NUM!</v>
      </c>
      <c r="G177" s="186">
        <f>IF('prijem - EUR'!$I$87=TRUE,IF($C$11&gt;0,0.00025*C176,0),IF('prijem - EUR'!$I$88=TRUE,IF('prijem - EUR'!$F$88&gt;0,0.00025*C176,0),0))</f>
        <v>0</v>
      </c>
      <c r="K177" s="89">
        <v>161</v>
      </c>
      <c r="L177" s="186" t="e">
        <f t="shared" si="31"/>
        <v>#DIV/0!</v>
      </c>
      <c r="M177" s="171" t="e">
        <f t="shared" si="23"/>
        <v>#DIV/0!</v>
      </c>
      <c r="N177" s="171" t="e">
        <f t="shared" si="24"/>
        <v>#DIV/0!</v>
      </c>
      <c r="O177" s="171" t="e">
        <f t="shared" si="28"/>
        <v>#DIV/0!</v>
      </c>
      <c r="P177" s="171" t="e">
        <f t="shared" si="29"/>
        <v>#DIV/0!</v>
      </c>
      <c r="Q177" s="186">
        <f>IF('prijem - EUR'!$I$87=TRUE,IF($C$11&gt;0,0.00025*M176,0),IF('prijem - EUR'!$I$88=TRUE,IF('prijem - EUR'!$F$88&gt;0,0.00025*M176*-1,0),0))</f>
        <v>0</v>
      </c>
    </row>
    <row r="178" spans="1:17" x14ac:dyDescent="0.2">
      <c r="A178" s="89">
        <v>162</v>
      </c>
      <c r="B178" s="186" t="e">
        <f t="shared" si="30"/>
        <v>#NUM!</v>
      </c>
      <c r="C178" s="171" t="e">
        <f t="shared" si="22"/>
        <v>#NUM!</v>
      </c>
      <c r="D178" s="171" t="e">
        <f t="shared" si="25"/>
        <v>#NUM!</v>
      </c>
      <c r="E178" s="171" t="e">
        <f t="shared" si="26"/>
        <v>#NUM!</v>
      </c>
      <c r="F178" s="171" t="e">
        <f t="shared" si="27"/>
        <v>#NUM!</v>
      </c>
      <c r="G178" s="186">
        <f>IF('prijem - EUR'!$I$87=TRUE,IF($C$11&gt;0,0.00025*C177,0),IF('prijem - EUR'!$I$88=TRUE,IF('prijem - EUR'!$F$88&gt;0,0.00025*C177,0),0))</f>
        <v>0</v>
      </c>
      <c r="K178" s="89">
        <v>162</v>
      </c>
      <c r="L178" s="186" t="e">
        <f t="shared" si="31"/>
        <v>#DIV/0!</v>
      </c>
      <c r="M178" s="171" t="e">
        <f t="shared" si="23"/>
        <v>#DIV/0!</v>
      </c>
      <c r="N178" s="171" t="e">
        <f t="shared" si="24"/>
        <v>#DIV/0!</v>
      </c>
      <c r="O178" s="171" t="e">
        <f t="shared" si="28"/>
        <v>#DIV/0!</v>
      </c>
      <c r="P178" s="171" t="e">
        <f t="shared" si="29"/>
        <v>#DIV/0!</v>
      </c>
      <c r="Q178" s="186">
        <f>IF('prijem - EUR'!$I$87=TRUE,IF($C$11&gt;0,0.00025*M177,0),IF('prijem - EUR'!$I$88=TRUE,IF('prijem - EUR'!$F$88&gt;0,0.00025*M177*-1,0),0))</f>
        <v>0</v>
      </c>
    </row>
    <row r="179" spans="1:17" x14ac:dyDescent="0.2">
      <c r="A179" s="89">
        <v>163</v>
      </c>
      <c r="B179" s="186" t="e">
        <f t="shared" si="30"/>
        <v>#NUM!</v>
      </c>
      <c r="C179" s="171" t="e">
        <f t="shared" si="22"/>
        <v>#NUM!</v>
      </c>
      <c r="D179" s="171" t="e">
        <f t="shared" si="25"/>
        <v>#NUM!</v>
      </c>
      <c r="E179" s="171" t="e">
        <f t="shared" si="26"/>
        <v>#NUM!</v>
      </c>
      <c r="F179" s="171" t="e">
        <f t="shared" si="27"/>
        <v>#NUM!</v>
      </c>
      <c r="G179" s="186">
        <f>IF('prijem - EUR'!$I$87=TRUE,IF($C$11&gt;0,0.00025*C178,0),IF('prijem - EUR'!$I$88=TRUE,IF('prijem - EUR'!$F$88&gt;0,0.00025*C178,0),0))</f>
        <v>0</v>
      </c>
      <c r="K179" s="89">
        <v>163</v>
      </c>
      <c r="L179" s="186" t="e">
        <f t="shared" si="31"/>
        <v>#DIV/0!</v>
      </c>
      <c r="M179" s="171" t="e">
        <f t="shared" si="23"/>
        <v>#DIV/0!</v>
      </c>
      <c r="N179" s="171" t="e">
        <f t="shared" si="24"/>
        <v>#DIV/0!</v>
      </c>
      <c r="O179" s="171" t="e">
        <f t="shared" si="28"/>
        <v>#DIV/0!</v>
      </c>
      <c r="P179" s="171" t="e">
        <f t="shared" si="29"/>
        <v>#DIV/0!</v>
      </c>
      <c r="Q179" s="186">
        <f>IF('prijem - EUR'!$I$87=TRUE,IF($C$11&gt;0,0.00025*M178,0),IF('prijem - EUR'!$I$88=TRUE,IF('prijem - EUR'!$F$88&gt;0,0.00025*M178*-1,0),0))</f>
        <v>0</v>
      </c>
    </row>
    <row r="180" spans="1:17" x14ac:dyDescent="0.2">
      <c r="A180" s="89">
        <v>164</v>
      </c>
      <c r="B180" s="186" t="e">
        <f t="shared" si="30"/>
        <v>#NUM!</v>
      </c>
      <c r="C180" s="171" t="e">
        <f t="shared" si="22"/>
        <v>#NUM!</v>
      </c>
      <c r="D180" s="171" t="e">
        <f t="shared" si="25"/>
        <v>#NUM!</v>
      </c>
      <c r="E180" s="171" t="e">
        <f t="shared" si="26"/>
        <v>#NUM!</v>
      </c>
      <c r="F180" s="171" t="e">
        <f t="shared" si="27"/>
        <v>#NUM!</v>
      </c>
      <c r="G180" s="186">
        <f>IF('prijem - EUR'!$I$87=TRUE,IF($C$11&gt;0,0.00025*C179,0),IF('prijem - EUR'!$I$88=TRUE,IF('prijem - EUR'!$F$88&gt;0,0.00025*C179,0),0))</f>
        <v>0</v>
      </c>
      <c r="K180" s="89">
        <v>164</v>
      </c>
      <c r="L180" s="186" t="e">
        <f t="shared" si="31"/>
        <v>#DIV/0!</v>
      </c>
      <c r="M180" s="171" t="e">
        <f t="shared" si="23"/>
        <v>#DIV/0!</v>
      </c>
      <c r="N180" s="171" t="e">
        <f t="shared" si="24"/>
        <v>#DIV/0!</v>
      </c>
      <c r="O180" s="171" t="e">
        <f t="shared" si="28"/>
        <v>#DIV/0!</v>
      </c>
      <c r="P180" s="171" t="e">
        <f t="shared" si="29"/>
        <v>#DIV/0!</v>
      </c>
      <c r="Q180" s="186">
        <f>IF('prijem - EUR'!$I$87=TRUE,IF($C$11&gt;0,0.00025*M179,0),IF('prijem - EUR'!$I$88=TRUE,IF('prijem - EUR'!$F$88&gt;0,0.00025*M179*-1,0),0))</f>
        <v>0</v>
      </c>
    </row>
    <row r="181" spans="1:17" x14ac:dyDescent="0.2">
      <c r="A181" s="89">
        <v>165</v>
      </c>
      <c r="B181" s="186" t="e">
        <f t="shared" si="30"/>
        <v>#NUM!</v>
      </c>
      <c r="C181" s="171" t="e">
        <f t="shared" si="22"/>
        <v>#NUM!</v>
      </c>
      <c r="D181" s="171" t="e">
        <f t="shared" si="25"/>
        <v>#NUM!</v>
      </c>
      <c r="E181" s="171" t="e">
        <f t="shared" si="26"/>
        <v>#NUM!</v>
      </c>
      <c r="F181" s="171" t="e">
        <f t="shared" si="27"/>
        <v>#NUM!</v>
      </c>
      <c r="G181" s="186">
        <f>IF('prijem - EUR'!$I$87=TRUE,IF($C$11&gt;0,0.00025*C180,0),IF('prijem - EUR'!$I$88=TRUE,IF('prijem - EUR'!$F$88&gt;0,0.00025*C180,0),0))</f>
        <v>0</v>
      </c>
      <c r="K181" s="89">
        <v>165</v>
      </c>
      <c r="L181" s="186" t="e">
        <f t="shared" si="31"/>
        <v>#DIV/0!</v>
      </c>
      <c r="M181" s="171" t="e">
        <f t="shared" si="23"/>
        <v>#DIV/0!</v>
      </c>
      <c r="N181" s="171" t="e">
        <f t="shared" si="24"/>
        <v>#DIV/0!</v>
      </c>
      <c r="O181" s="171" t="e">
        <f t="shared" si="28"/>
        <v>#DIV/0!</v>
      </c>
      <c r="P181" s="171" t="e">
        <f t="shared" si="29"/>
        <v>#DIV/0!</v>
      </c>
      <c r="Q181" s="186">
        <f>IF('prijem - EUR'!$I$87=TRUE,IF($C$11&gt;0,0.00025*M180,0),IF('prijem - EUR'!$I$88=TRUE,IF('prijem - EUR'!$F$88&gt;0,0.00025*M180*-1,0),0))</f>
        <v>0</v>
      </c>
    </row>
    <row r="182" spans="1:17" x14ac:dyDescent="0.2">
      <c r="A182" s="89">
        <v>166</v>
      </c>
      <c r="B182" s="186" t="e">
        <f t="shared" si="30"/>
        <v>#NUM!</v>
      </c>
      <c r="C182" s="171" t="e">
        <f t="shared" si="22"/>
        <v>#NUM!</v>
      </c>
      <c r="D182" s="171" t="e">
        <f t="shared" si="25"/>
        <v>#NUM!</v>
      </c>
      <c r="E182" s="171" t="e">
        <f t="shared" si="26"/>
        <v>#NUM!</v>
      </c>
      <c r="F182" s="171" t="e">
        <f t="shared" si="27"/>
        <v>#NUM!</v>
      </c>
      <c r="G182" s="186">
        <f>IF('prijem - EUR'!$I$87=TRUE,IF($C$11&gt;0,0.00025*C181,0),IF('prijem - EUR'!$I$88=TRUE,IF('prijem - EUR'!$F$88&gt;0,0.00025*C181,0),0))</f>
        <v>0</v>
      </c>
      <c r="K182" s="89">
        <v>166</v>
      </c>
      <c r="L182" s="186" t="e">
        <f t="shared" si="31"/>
        <v>#DIV/0!</v>
      </c>
      <c r="M182" s="171" t="e">
        <f t="shared" si="23"/>
        <v>#DIV/0!</v>
      </c>
      <c r="N182" s="171" t="e">
        <f t="shared" si="24"/>
        <v>#DIV/0!</v>
      </c>
      <c r="O182" s="171" t="e">
        <f t="shared" si="28"/>
        <v>#DIV/0!</v>
      </c>
      <c r="P182" s="171" t="e">
        <f t="shared" si="29"/>
        <v>#DIV/0!</v>
      </c>
      <c r="Q182" s="186">
        <f>IF('prijem - EUR'!$I$87=TRUE,IF($C$11&gt;0,0.00025*M181,0),IF('prijem - EUR'!$I$88=TRUE,IF('prijem - EUR'!$F$88&gt;0,0.00025*M181*-1,0),0))</f>
        <v>0</v>
      </c>
    </row>
    <row r="183" spans="1:17" x14ac:dyDescent="0.2">
      <c r="A183" s="89">
        <v>167</v>
      </c>
      <c r="B183" s="186" t="e">
        <f t="shared" si="30"/>
        <v>#NUM!</v>
      </c>
      <c r="C183" s="171" t="e">
        <f t="shared" si="22"/>
        <v>#NUM!</v>
      </c>
      <c r="D183" s="171" t="e">
        <f t="shared" si="25"/>
        <v>#NUM!</v>
      </c>
      <c r="E183" s="171" t="e">
        <f t="shared" si="26"/>
        <v>#NUM!</v>
      </c>
      <c r="F183" s="171" t="e">
        <f t="shared" si="27"/>
        <v>#NUM!</v>
      </c>
      <c r="G183" s="186">
        <f>IF('prijem - EUR'!$I$87=TRUE,IF($C$11&gt;0,0.00025*C182,0),IF('prijem - EUR'!$I$88=TRUE,IF('prijem - EUR'!$F$88&gt;0,0.00025*C182,0),0))</f>
        <v>0</v>
      </c>
      <c r="K183" s="89">
        <v>167</v>
      </c>
      <c r="L183" s="186" t="e">
        <f t="shared" si="31"/>
        <v>#DIV/0!</v>
      </c>
      <c r="M183" s="171" t="e">
        <f t="shared" si="23"/>
        <v>#DIV/0!</v>
      </c>
      <c r="N183" s="171" t="e">
        <f t="shared" si="24"/>
        <v>#DIV/0!</v>
      </c>
      <c r="O183" s="171" t="e">
        <f t="shared" si="28"/>
        <v>#DIV/0!</v>
      </c>
      <c r="P183" s="171" t="e">
        <f t="shared" si="29"/>
        <v>#DIV/0!</v>
      </c>
      <c r="Q183" s="186">
        <f>IF('prijem - EUR'!$I$87=TRUE,IF($C$11&gt;0,0.00025*M182,0),IF('prijem - EUR'!$I$88=TRUE,IF('prijem - EUR'!$F$88&gt;0,0.00025*M182*-1,0),0))</f>
        <v>0</v>
      </c>
    </row>
    <row r="184" spans="1:17" x14ac:dyDescent="0.2">
      <c r="A184" s="89">
        <v>168</v>
      </c>
      <c r="B184" s="186" t="e">
        <f t="shared" si="30"/>
        <v>#NUM!</v>
      </c>
      <c r="C184" s="171" t="e">
        <f t="shared" si="22"/>
        <v>#NUM!</v>
      </c>
      <c r="D184" s="171" t="e">
        <f t="shared" si="25"/>
        <v>#NUM!</v>
      </c>
      <c r="E184" s="171" t="e">
        <f t="shared" si="26"/>
        <v>#NUM!</v>
      </c>
      <c r="F184" s="171" t="e">
        <f t="shared" si="27"/>
        <v>#NUM!</v>
      </c>
      <c r="G184" s="186">
        <f>IF('prijem - EUR'!$I$87=TRUE,IF($C$11&gt;0,0.00025*C183,0),IF('prijem - EUR'!$I$88=TRUE,IF('prijem - EUR'!$F$88&gt;0,0.00025*C183,0),0))</f>
        <v>0</v>
      </c>
      <c r="K184" s="89">
        <v>168</v>
      </c>
      <c r="L184" s="186" t="e">
        <f t="shared" si="31"/>
        <v>#DIV/0!</v>
      </c>
      <c r="M184" s="171" t="e">
        <f t="shared" si="23"/>
        <v>#DIV/0!</v>
      </c>
      <c r="N184" s="171" t="e">
        <f t="shared" si="24"/>
        <v>#DIV/0!</v>
      </c>
      <c r="O184" s="171" t="e">
        <f t="shared" si="28"/>
        <v>#DIV/0!</v>
      </c>
      <c r="P184" s="171" t="e">
        <f t="shared" si="29"/>
        <v>#DIV/0!</v>
      </c>
      <c r="Q184" s="186">
        <f>IF('prijem - EUR'!$I$87=TRUE,IF($C$11&gt;0,0.00025*M183,0),IF('prijem - EUR'!$I$88=TRUE,IF('prijem - EUR'!$F$88&gt;0,0.00025*M183*-1,0),0))</f>
        <v>0</v>
      </c>
    </row>
    <row r="185" spans="1:17" x14ac:dyDescent="0.2">
      <c r="A185" s="89">
        <v>169</v>
      </c>
      <c r="B185" s="186" t="e">
        <f t="shared" si="30"/>
        <v>#NUM!</v>
      </c>
      <c r="C185" s="171" t="e">
        <f t="shared" si="22"/>
        <v>#NUM!</v>
      </c>
      <c r="D185" s="171" t="e">
        <f t="shared" si="25"/>
        <v>#NUM!</v>
      </c>
      <c r="E185" s="171" t="e">
        <f t="shared" si="26"/>
        <v>#NUM!</v>
      </c>
      <c r="F185" s="171" t="e">
        <f t="shared" si="27"/>
        <v>#NUM!</v>
      </c>
      <c r="G185" s="186">
        <f>IF('prijem - EUR'!$I$87=TRUE,IF($C$11&gt;0,0.00025*C184,0),IF('prijem - EUR'!$I$88=TRUE,IF('prijem - EUR'!$F$88&gt;0,0.00025*C184,0),0))</f>
        <v>0</v>
      </c>
      <c r="K185" s="89">
        <v>169</v>
      </c>
      <c r="L185" s="186" t="e">
        <f t="shared" si="31"/>
        <v>#DIV/0!</v>
      </c>
      <c r="M185" s="171" t="e">
        <f t="shared" si="23"/>
        <v>#DIV/0!</v>
      </c>
      <c r="N185" s="171" t="e">
        <f t="shared" si="24"/>
        <v>#DIV/0!</v>
      </c>
      <c r="O185" s="171" t="e">
        <f t="shared" si="28"/>
        <v>#DIV/0!</v>
      </c>
      <c r="P185" s="171" t="e">
        <f t="shared" si="29"/>
        <v>#DIV/0!</v>
      </c>
      <c r="Q185" s="186">
        <f>IF('prijem - EUR'!$I$87=TRUE,IF($C$11&gt;0,0.00025*M184,0),IF('prijem - EUR'!$I$88=TRUE,IF('prijem - EUR'!$F$88&gt;0,0.00025*M184*-1,0),0))</f>
        <v>0</v>
      </c>
    </row>
    <row r="186" spans="1:17" x14ac:dyDescent="0.2">
      <c r="A186" s="89">
        <v>170</v>
      </c>
      <c r="B186" s="186" t="e">
        <f t="shared" si="30"/>
        <v>#NUM!</v>
      </c>
      <c r="C186" s="171" t="e">
        <f t="shared" si="22"/>
        <v>#NUM!</v>
      </c>
      <c r="D186" s="171" t="e">
        <f t="shared" si="25"/>
        <v>#NUM!</v>
      </c>
      <c r="E186" s="171" t="e">
        <f t="shared" si="26"/>
        <v>#NUM!</v>
      </c>
      <c r="F186" s="171" t="e">
        <f t="shared" si="27"/>
        <v>#NUM!</v>
      </c>
      <c r="G186" s="186">
        <f>IF('prijem - EUR'!$I$87=TRUE,IF($C$11&gt;0,0.00025*C185,0),IF('prijem - EUR'!$I$88=TRUE,IF('prijem - EUR'!$F$88&gt;0,0.00025*C185,0),0))</f>
        <v>0</v>
      </c>
      <c r="K186" s="89">
        <v>170</v>
      </c>
      <c r="L186" s="186" t="e">
        <f t="shared" si="31"/>
        <v>#DIV/0!</v>
      </c>
      <c r="M186" s="171" t="e">
        <f t="shared" si="23"/>
        <v>#DIV/0!</v>
      </c>
      <c r="N186" s="171" t="e">
        <f t="shared" si="24"/>
        <v>#DIV/0!</v>
      </c>
      <c r="O186" s="171" t="e">
        <f t="shared" si="28"/>
        <v>#DIV/0!</v>
      </c>
      <c r="P186" s="171" t="e">
        <f t="shared" si="29"/>
        <v>#DIV/0!</v>
      </c>
      <c r="Q186" s="186">
        <f>IF('prijem - EUR'!$I$87=TRUE,IF($C$11&gt;0,0.00025*M185,0),IF('prijem - EUR'!$I$88=TRUE,IF('prijem - EUR'!$F$88&gt;0,0.00025*M185*-1,0),0))</f>
        <v>0</v>
      </c>
    </row>
    <row r="187" spans="1:17" x14ac:dyDescent="0.2">
      <c r="A187" s="89">
        <v>171</v>
      </c>
      <c r="B187" s="186" t="e">
        <f t="shared" si="30"/>
        <v>#NUM!</v>
      </c>
      <c r="C187" s="171" t="e">
        <f t="shared" si="22"/>
        <v>#NUM!</v>
      </c>
      <c r="D187" s="171" t="e">
        <f t="shared" si="25"/>
        <v>#NUM!</v>
      </c>
      <c r="E187" s="171" t="e">
        <f t="shared" si="26"/>
        <v>#NUM!</v>
      </c>
      <c r="F187" s="171" t="e">
        <f t="shared" si="27"/>
        <v>#NUM!</v>
      </c>
      <c r="G187" s="186">
        <f>IF('prijem - EUR'!$I$87=TRUE,IF($C$11&gt;0,0.00025*C186,0),IF('prijem - EUR'!$I$88=TRUE,IF('prijem - EUR'!$F$88&gt;0,0.00025*C186,0),0))</f>
        <v>0</v>
      </c>
      <c r="K187" s="89">
        <v>171</v>
      </c>
      <c r="L187" s="186" t="e">
        <f t="shared" si="31"/>
        <v>#DIV/0!</v>
      </c>
      <c r="M187" s="171" t="e">
        <f t="shared" si="23"/>
        <v>#DIV/0!</v>
      </c>
      <c r="N187" s="171" t="e">
        <f t="shared" si="24"/>
        <v>#DIV/0!</v>
      </c>
      <c r="O187" s="171" t="e">
        <f t="shared" si="28"/>
        <v>#DIV/0!</v>
      </c>
      <c r="P187" s="171" t="e">
        <f t="shared" si="29"/>
        <v>#DIV/0!</v>
      </c>
      <c r="Q187" s="186">
        <f>IF('prijem - EUR'!$I$87=TRUE,IF($C$11&gt;0,0.00025*M186,0),IF('prijem - EUR'!$I$88=TRUE,IF('prijem - EUR'!$F$88&gt;0,0.00025*M186*-1,0),0))</f>
        <v>0</v>
      </c>
    </row>
    <row r="188" spans="1:17" x14ac:dyDescent="0.2">
      <c r="A188" s="89">
        <v>172</v>
      </c>
      <c r="B188" s="186" t="e">
        <f t="shared" si="30"/>
        <v>#NUM!</v>
      </c>
      <c r="C188" s="171" t="e">
        <f t="shared" si="22"/>
        <v>#NUM!</v>
      </c>
      <c r="D188" s="171" t="e">
        <f t="shared" si="25"/>
        <v>#NUM!</v>
      </c>
      <c r="E188" s="171" t="e">
        <f t="shared" si="26"/>
        <v>#NUM!</v>
      </c>
      <c r="F188" s="171" t="e">
        <f t="shared" si="27"/>
        <v>#NUM!</v>
      </c>
      <c r="G188" s="186">
        <f>IF('prijem - EUR'!$I$87=TRUE,IF($C$11&gt;0,0.00025*C187,0),IF('prijem - EUR'!$I$88=TRUE,IF('prijem - EUR'!$F$88&gt;0,0.00025*C187,0),0))</f>
        <v>0</v>
      </c>
      <c r="K188" s="89">
        <v>172</v>
      </c>
      <c r="L188" s="186" t="e">
        <f t="shared" si="31"/>
        <v>#DIV/0!</v>
      </c>
      <c r="M188" s="171" t="e">
        <f t="shared" si="23"/>
        <v>#DIV/0!</v>
      </c>
      <c r="N188" s="171" t="e">
        <f t="shared" si="24"/>
        <v>#DIV/0!</v>
      </c>
      <c r="O188" s="171" t="e">
        <f t="shared" si="28"/>
        <v>#DIV/0!</v>
      </c>
      <c r="P188" s="171" t="e">
        <f t="shared" si="29"/>
        <v>#DIV/0!</v>
      </c>
      <c r="Q188" s="186">
        <f>IF('prijem - EUR'!$I$87=TRUE,IF($C$11&gt;0,0.00025*M187,0),IF('prijem - EUR'!$I$88=TRUE,IF('prijem - EUR'!$F$88&gt;0,0.00025*M187*-1,0),0))</f>
        <v>0</v>
      </c>
    </row>
    <row r="189" spans="1:17" x14ac:dyDescent="0.2">
      <c r="A189" s="89">
        <v>173</v>
      </c>
      <c r="B189" s="186" t="e">
        <f t="shared" si="30"/>
        <v>#NUM!</v>
      </c>
      <c r="C189" s="171" t="e">
        <f t="shared" si="22"/>
        <v>#NUM!</v>
      </c>
      <c r="D189" s="171" t="e">
        <f t="shared" si="25"/>
        <v>#NUM!</v>
      </c>
      <c r="E189" s="171" t="e">
        <f t="shared" si="26"/>
        <v>#NUM!</v>
      </c>
      <c r="F189" s="171" t="e">
        <f t="shared" si="27"/>
        <v>#NUM!</v>
      </c>
      <c r="G189" s="186">
        <f>IF('prijem - EUR'!$I$87=TRUE,IF($C$11&gt;0,0.00025*C188,0),IF('prijem - EUR'!$I$88=TRUE,IF('prijem - EUR'!$F$88&gt;0,0.00025*C188,0),0))</f>
        <v>0</v>
      </c>
      <c r="K189" s="89">
        <v>173</v>
      </c>
      <c r="L189" s="186" t="e">
        <f t="shared" si="31"/>
        <v>#DIV/0!</v>
      </c>
      <c r="M189" s="171" t="e">
        <f t="shared" si="23"/>
        <v>#DIV/0!</v>
      </c>
      <c r="N189" s="171" t="e">
        <f t="shared" si="24"/>
        <v>#DIV/0!</v>
      </c>
      <c r="O189" s="171" t="e">
        <f t="shared" si="28"/>
        <v>#DIV/0!</v>
      </c>
      <c r="P189" s="171" t="e">
        <f t="shared" si="29"/>
        <v>#DIV/0!</v>
      </c>
      <c r="Q189" s="186">
        <f>IF('prijem - EUR'!$I$87=TRUE,IF($C$11&gt;0,0.00025*M188,0),IF('prijem - EUR'!$I$88=TRUE,IF('prijem - EUR'!$F$88&gt;0,0.00025*M188*-1,0),0))</f>
        <v>0</v>
      </c>
    </row>
    <row r="190" spans="1:17" x14ac:dyDescent="0.2">
      <c r="A190" s="89">
        <v>174</v>
      </c>
      <c r="B190" s="186" t="e">
        <f t="shared" si="30"/>
        <v>#NUM!</v>
      </c>
      <c r="C190" s="171" t="e">
        <f t="shared" si="22"/>
        <v>#NUM!</v>
      </c>
      <c r="D190" s="171" t="e">
        <f t="shared" si="25"/>
        <v>#NUM!</v>
      </c>
      <c r="E190" s="171" t="e">
        <f t="shared" si="26"/>
        <v>#NUM!</v>
      </c>
      <c r="F190" s="171" t="e">
        <f t="shared" si="27"/>
        <v>#NUM!</v>
      </c>
      <c r="G190" s="186">
        <f>IF('prijem - EUR'!$I$87=TRUE,IF($C$11&gt;0,0.00025*C189,0),IF('prijem - EUR'!$I$88=TRUE,IF('prijem - EUR'!$F$88&gt;0,0.00025*C189,0),0))</f>
        <v>0</v>
      </c>
      <c r="K190" s="89">
        <v>174</v>
      </c>
      <c r="L190" s="186" t="e">
        <f t="shared" si="31"/>
        <v>#DIV/0!</v>
      </c>
      <c r="M190" s="171" t="e">
        <f t="shared" si="23"/>
        <v>#DIV/0!</v>
      </c>
      <c r="N190" s="171" t="e">
        <f t="shared" si="24"/>
        <v>#DIV/0!</v>
      </c>
      <c r="O190" s="171" t="e">
        <f t="shared" si="28"/>
        <v>#DIV/0!</v>
      </c>
      <c r="P190" s="171" t="e">
        <f t="shared" si="29"/>
        <v>#DIV/0!</v>
      </c>
      <c r="Q190" s="186">
        <f>IF('prijem - EUR'!$I$87=TRUE,IF($C$11&gt;0,0.00025*M189,0),IF('prijem - EUR'!$I$88=TRUE,IF('prijem - EUR'!$F$88&gt;0,0.00025*M189*-1,0),0))</f>
        <v>0</v>
      </c>
    </row>
    <row r="191" spans="1:17" x14ac:dyDescent="0.2">
      <c r="A191" s="89">
        <v>175</v>
      </c>
      <c r="B191" s="186" t="e">
        <f t="shared" si="30"/>
        <v>#NUM!</v>
      </c>
      <c r="C191" s="171" t="e">
        <f t="shared" si="22"/>
        <v>#NUM!</v>
      </c>
      <c r="D191" s="171" t="e">
        <f t="shared" si="25"/>
        <v>#NUM!</v>
      </c>
      <c r="E191" s="171" t="e">
        <f t="shared" si="26"/>
        <v>#NUM!</v>
      </c>
      <c r="F191" s="171" t="e">
        <f t="shared" si="27"/>
        <v>#NUM!</v>
      </c>
      <c r="G191" s="186">
        <f>IF('prijem - EUR'!$I$87=TRUE,IF($C$11&gt;0,0.00025*C190,0),IF('prijem - EUR'!$I$88=TRUE,IF('prijem - EUR'!$F$88&gt;0,0.00025*C190,0),0))</f>
        <v>0</v>
      </c>
      <c r="K191" s="89">
        <v>175</v>
      </c>
      <c r="L191" s="186" t="e">
        <f t="shared" si="31"/>
        <v>#DIV/0!</v>
      </c>
      <c r="M191" s="171" t="e">
        <f t="shared" si="23"/>
        <v>#DIV/0!</v>
      </c>
      <c r="N191" s="171" t="e">
        <f t="shared" si="24"/>
        <v>#DIV/0!</v>
      </c>
      <c r="O191" s="171" t="e">
        <f t="shared" si="28"/>
        <v>#DIV/0!</v>
      </c>
      <c r="P191" s="171" t="e">
        <f t="shared" si="29"/>
        <v>#DIV/0!</v>
      </c>
      <c r="Q191" s="186">
        <f>IF('prijem - EUR'!$I$87=TRUE,IF($C$11&gt;0,0.00025*M190,0),IF('prijem - EUR'!$I$88=TRUE,IF('prijem - EUR'!$F$88&gt;0,0.00025*M190*-1,0),0))</f>
        <v>0</v>
      </c>
    </row>
    <row r="192" spans="1:17" x14ac:dyDescent="0.2">
      <c r="A192" s="89">
        <v>176</v>
      </c>
      <c r="B192" s="186" t="e">
        <f t="shared" si="30"/>
        <v>#NUM!</v>
      </c>
      <c r="C192" s="171" t="e">
        <f t="shared" si="22"/>
        <v>#NUM!</v>
      </c>
      <c r="D192" s="171" t="e">
        <f t="shared" si="25"/>
        <v>#NUM!</v>
      </c>
      <c r="E192" s="171" t="e">
        <f t="shared" si="26"/>
        <v>#NUM!</v>
      </c>
      <c r="F192" s="171" t="e">
        <f t="shared" si="27"/>
        <v>#NUM!</v>
      </c>
      <c r="G192" s="186">
        <f>IF('prijem - EUR'!$I$87=TRUE,IF($C$11&gt;0,0.00025*C191,0),IF('prijem - EUR'!$I$88=TRUE,IF('prijem - EUR'!$F$88&gt;0,0.00025*C191,0),0))</f>
        <v>0</v>
      </c>
      <c r="K192" s="89">
        <v>176</v>
      </c>
      <c r="L192" s="186" t="e">
        <f t="shared" si="31"/>
        <v>#DIV/0!</v>
      </c>
      <c r="M192" s="171" t="e">
        <f t="shared" si="23"/>
        <v>#DIV/0!</v>
      </c>
      <c r="N192" s="171" t="e">
        <f t="shared" si="24"/>
        <v>#DIV/0!</v>
      </c>
      <c r="O192" s="171" t="e">
        <f t="shared" si="28"/>
        <v>#DIV/0!</v>
      </c>
      <c r="P192" s="171" t="e">
        <f t="shared" si="29"/>
        <v>#DIV/0!</v>
      </c>
      <c r="Q192" s="186">
        <f>IF('prijem - EUR'!$I$87=TRUE,IF($C$11&gt;0,0.00025*M191,0),IF('prijem - EUR'!$I$88=TRUE,IF('prijem - EUR'!$F$88&gt;0,0.00025*M191*-1,0),0))</f>
        <v>0</v>
      </c>
    </row>
    <row r="193" spans="1:17" x14ac:dyDescent="0.2">
      <c r="A193" s="89">
        <v>177</v>
      </c>
      <c r="B193" s="186" t="e">
        <f t="shared" si="30"/>
        <v>#NUM!</v>
      </c>
      <c r="C193" s="171" t="e">
        <f t="shared" si="22"/>
        <v>#NUM!</v>
      </c>
      <c r="D193" s="171" t="e">
        <f t="shared" si="25"/>
        <v>#NUM!</v>
      </c>
      <c r="E193" s="171" t="e">
        <f t="shared" si="26"/>
        <v>#NUM!</v>
      </c>
      <c r="F193" s="171" t="e">
        <f t="shared" si="27"/>
        <v>#NUM!</v>
      </c>
      <c r="G193" s="186">
        <f>IF('prijem - EUR'!$I$87=TRUE,IF($C$11&gt;0,0.00025*C192,0),IF('prijem - EUR'!$I$88=TRUE,IF('prijem - EUR'!$F$88&gt;0,0.00025*C192,0),0))</f>
        <v>0</v>
      </c>
      <c r="K193" s="89">
        <v>177</v>
      </c>
      <c r="L193" s="186" t="e">
        <f t="shared" si="31"/>
        <v>#DIV/0!</v>
      </c>
      <c r="M193" s="171" t="e">
        <f t="shared" si="23"/>
        <v>#DIV/0!</v>
      </c>
      <c r="N193" s="171" t="e">
        <f t="shared" si="24"/>
        <v>#DIV/0!</v>
      </c>
      <c r="O193" s="171" t="e">
        <f t="shared" si="28"/>
        <v>#DIV/0!</v>
      </c>
      <c r="P193" s="171" t="e">
        <f t="shared" si="29"/>
        <v>#DIV/0!</v>
      </c>
      <c r="Q193" s="186">
        <f>IF('prijem - EUR'!$I$87=TRUE,IF($C$11&gt;0,0.00025*M192,0),IF('prijem - EUR'!$I$88=TRUE,IF('prijem - EUR'!$F$88&gt;0,0.00025*M192*-1,0),0))</f>
        <v>0</v>
      </c>
    </row>
    <row r="194" spans="1:17" x14ac:dyDescent="0.2">
      <c r="A194" s="89">
        <v>178</v>
      </c>
      <c r="B194" s="186" t="e">
        <f t="shared" si="30"/>
        <v>#NUM!</v>
      </c>
      <c r="C194" s="171" t="e">
        <f t="shared" si="22"/>
        <v>#NUM!</v>
      </c>
      <c r="D194" s="171" t="e">
        <f t="shared" si="25"/>
        <v>#NUM!</v>
      </c>
      <c r="E194" s="171" t="e">
        <f t="shared" si="26"/>
        <v>#NUM!</v>
      </c>
      <c r="F194" s="171" t="e">
        <f t="shared" si="27"/>
        <v>#NUM!</v>
      </c>
      <c r="G194" s="186">
        <f>IF('prijem - EUR'!$I$87=TRUE,IF($C$11&gt;0,0.00025*C193,0),IF('prijem - EUR'!$I$88=TRUE,IF('prijem - EUR'!$F$88&gt;0,0.00025*C193,0),0))</f>
        <v>0</v>
      </c>
      <c r="K194" s="89">
        <v>178</v>
      </c>
      <c r="L194" s="186" t="e">
        <f t="shared" si="31"/>
        <v>#DIV/0!</v>
      </c>
      <c r="M194" s="171" t="e">
        <f t="shared" si="23"/>
        <v>#DIV/0!</v>
      </c>
      <c r="N194" s="171" t="e">
        <f t="shared" si="24"/>
        <v>#DIV/0!</v>
      </c>
      <c r="O194" s="171" t="e">
        <f t="shared" si="28"/>
        <v>#DIV/0!</v>
      </c>
      <c r="P194" s="171" t="e">
        <f t="shared" si="29"/>
        <v>#DIV/0!</v>
      </c>
      <c r="Q194" s="186">
        <f>IF('prijem - EUR'!$I$87=TRUE,IF($C$11&gt;0,0.00025*M193,0),IF('prijem - EUR'!$I$88=TRUE,IF('prijem - EUR'!$F$88&gt;0,0.00025*M193*-1,0),0))</f>
        <v>0</v>
      </c>
    </row>
    <row r="195" spans="1:17" x14ac:dyDescent="0.2">
      <c r="A195" s="89">
        <v>179</v>
      </c>
      <c r="B195" s="186" t="e">
        <f t="shared" si="30"/>
        <v>#NUM!</v>
      </c>
      <c r="C195" s="171" t="e">
        <f t="shared" si="22"/>
        <v>#NUM!</v>
      </c>
      <c r="D195" s="171" t="e">
        <f t="shared" si="25"/>
        <v>#NUM!</v>
      </c>
      <c r="E195" s="171" t="e">
        <f t="shared" si="26"/>
        <v>#NUM!</v>
      </c>
      <c r="F195" s="171" t="e">
        <f t="shared" si="27"/>
        <v>#NUM!</v>
      </c>
      <c r="G195" s="186">
        <f>IF('prijem - EUR'!$I$87=TRUE,IF($C$11&gt;0,0.00025*C194,0),IF('prijem - EUR'!$I$88=TRUE,IF('prijem - EUR'!$F$88&gt;0,0.00025*C194,0),0))</f>
        <v>0</v>
      </c>
      <c r="K195" s="89">
        <v>179</v>
      </c>
      <c r="L195" s="186" t="e">
        <f t="shared" si="31"/>
        <v>#DIV/0!</v>
      </c>
      <c r="M195" s="171" t="e">
        <f t="shared" si="23"/>
        <v>#DIV/0!</v>
      </c>
      <c r="N195" s="171" t="e">
        <f t="shared" si="24"/>
        <v>#DIV/0!</v>
      </c>
      <c r="O195" s="171" t="e">
        <f t="shared" si="28"/>
        <v>#DIV/0!</v>
      </c>
      <c r="P195" s="171" t="e">
        <f t="shared" si="29"/>
        <v>#DIV/0!</v>
      </c>
      <c r="Q195" s="186">
        <f>IF('prijem - EUR'!$I$87=TRUE,IF($C$11&gt;0,0.00025*M194,0),IF('prijem - EUR'!$I$88=TRUE,IF('prijem - EUR'!$F$88&gt;0,0.00025*M194*-1,0),0))</f>
        <v>0</v>
      </c>
    </row>
    <row r="196" spans="1:17" x14ac:dyDescent="0.2">
      <c r="A196" s="89">
        <v>180</v>
      </c>
      <c r="B196" s="186" t="e">
        <f t="shared" si="30"/>
        <v>#NUM!</v>
      </c>
      <c r="C196" s="171" t="e">
        <f t="shared" si="22"/>
        <v>#NUM!</v>
      </c>
      <c r="D196" s="171" t="e">
        <f t="shared" si="25"/>
        <v>#NUM!</v>
      </c>
      <c r="E196" s="171" t="e">
        <f t="shared" si="26"/>
        <v>#NUM!</v>
      </c>
      <c r="F196" s="171" t="e">
        <f t="shared" si="27"/>
        <v>#NUM!</v>
      </c>
      <c r="G196" s="186">
        <f>IF('prijem - EUR'!$I$87=TRUE,IF($C$11&gt;0,0.00025*C195,0),IF('prijem - EUR'!$I$88=TRUE,IF('prijem - EUR'!$F$88&gt;0,0.00025*C195,0),0))</f>
        <v>0</v>
      </c>
      <c r="K196" s="89">
        <v>180</v>
      </c>
      <c r="L196" s="186" t="e">
        <f t="shared" si="31"/>
        <v>#DIV/0!</v>
      </c>
      <c r="M196" s="171" t="e">
        <f t="shared" si="23"/>
        <v>#DIV/0!</v>
      </c>
      <c r="N196" s="171" t="e">
        <f t="shared" si="24"/>
        <v>#DIV/0!</v>
      </c>
      <c r="O196" s="171" t="e">
        <f t="shared" si="28"/>
        <v>#DIV/0!</v>
      </c>
      <c r="P196" s="171" t="e">
        <f t="shared" si="29"/>
        <v>#DIV/0!</v>
      </c>
      <c r="Q196" s="186">
        <f>IF('prijem - EUR'!$I$87=TRUE,IF($C$11&gt;0,0.00025*M195,0),IF('prijem - EUR'!$I$88=TRUE,IF('prijem - EUR'!$F$88&gt;0,0.00025*M195*-1,0),0))</f>
        <v>0</v>
      </c>
    </row>
    <row r="197" spans="1:17" x14ac:dyDescent="0.2">
      <c r="A197" s="89">
        <v>181</v>
      </c>
      <c r="B197" s="186" t="e">
        <f t="shared" si="30"/>
        <v>#NUM!</v>
      </c>
      <c r="C197" s="171" t="e">
        <f t="shared" si="22"/>
        <v>#NUM!</v>
      </c>
      <c r="D197" s="171" t="e">
        <f t="shared" si="25"/>
        <v>#NUM!</v>
      </c>
      <c r="E197" s="171" t="e">
        <f t="shared" si="26"/>
        <v>#NUM!</v>
      </c>
      <c r="F197" s="171" t="e">
        <f t="shared" si="27"/>
        <v>#NUM!</v>
      </c>
      <c r="G197" s="186">
        <f>IF('prijem - EUR'!$I$87=TRUE,IF($C$11&gt;0,0.00025*C196,0),IF('prijem - EUR'!$I$88=TRUE,IF('prijem - EUR'!$F$88&gt;0,0.00025*C196,0),0))</f>
        <v>0</v>
      </c>
      <c r="K197" s="89">
        <v>181</v>
      </c>
      <c r="L197" s="186" t="e">
        <f t="shared" si="31"/>
        <v>#DIV/0!</v>
      </c>
      <c r="M197" s="171" t="e">
        <f t="shared" si="23"/>
        <v>#DIV/0!</v>
      </c>
      <c r="N197" s="171" t="e">
        <f t="shared" si="24"/>
        <v>#DIV/0!</v>
      </c>
      <c r="O197" s="171" t="e">
        <f t="shared" si="28"/>
        <v>#DIV/0!</v>
      </c>
      <c r="P197" s="171" t="e">
        <f t="shared" si="29"/>
        <v>#DIV/0!</v>
      </c>
      <c r="Q197" s="186">
        <f>IF('prijem - EUR'!$I$87=TRUE,IF($C$11&gt;0,0.00025*M196,0),IF('prijem - EUR'!$I$88=TRUE,IF('prijem - EUR'!$F$88&gt;0,0.00025*M196*-1,0),0))</f>
        <v>0</v>
      </c>
    </row>
    <row r="198" spans="1:17" x14ac:dyDescent="0.2">
      <c r="A198" s="89">
        <v>182</v>
      </c>
      <c r="B198" s="186" t="e">
        <f t="shared" si="30"/>
        <v>#NUM!</v>
      </c>
      <c r="C198" s="171" t="e">
        <f t="shared" si="22"/>
        <v>#NUM!</v>
      </c>
      <c r="D198" s="171" t="e">
        <f t="shared" si="25"/>
        <v>#NUM!</v>
      </c>
      <c r="E198" s="171" t="e">
        <f t="shared" si="26"/>
        <v>#NUM!</v>
      </c>
      <c r="F198" s="171" t="e">
        <f t="shared" si="27"/>
        <v>#NUM!</v>
      </c>
      <c r="G198" s="186">
        <f>IF('prijem - EUR'!$I$87=TRUE,IF($C$11&gt;0,0.00025*C197,0),IF('prijem - EUR'!$I$88=TRUE,IF('prijem - EUR'!$F$88&gt;0,0.00025*C197,0),0))</f>
        <v>0</v>
      </c>
      <c r="K198" s="89">
        <v>182</v>
      </c>
      <c r="L198" s="186" t="e">
        <f t="shared" si="31"/>
        <v>#DIV/0!</v>
      </c>
      <c r="M198" s="171" t="e">
        <f t="shared" si="23"/>
        <v>#DIV/0!</v>
      </c>
      <c r="N198" s="171" t="e">
        <f t="shared" si="24"/>
        <v>#DIV/0!</v>
      </c>
      <c r="O198" s="171" t="e">
        <f t="shared" si="28"/>
        <v>#DIV/0!</v>
      </c>
      <c r="P198" s="171" t="e">
        <f t="shared" si="29"/>
        <v>#DIV/0!</v>
      </c>
      <c r="Q198" s="186">
        <f>IF('prijem - EUR'!$I$87=TRUE,IF($C$11&gt;0,0.00025*M197,0),IF('prijem - EUR'!$I$88=TRUE,IF('prijem - EUR'!$F$88&gt;0,0.00025*M197*-1,0),0))</f>
        <v>0</v>
      </c>
    </row>
    <row r="199" spans="1:17" x14ac:dyDescent="0.2">
      <c r="A199" s="89">
        <v>183</v>
      </c>
      <c r="B199" s="186" t="e">
        <f t="shared" si="30"/>
        <v>#NUM!</v>
      </c>
      <c r="C199" s="171" t="e">
        <f t="shared" si="22"/>
        <v>#NUM!</v>
      </c>
      <c r="D199" s="171" t="e">
        <f t="shared" si="25"/>
        <v>#NUM!</v>
      </c>
      <c r="E199" s="171" t="e">
        <f t="shared" si="26"/>
        <v>#NUM!</v>
      </c>
      <c r="F199" s="171" t="e">
        <f t="shared" si="27"/>
        <v>#NUM!</v>
      </c>
      <c r="G199" s="186">
        <f>IF('prijem - EUR'!$I$87=TRUE,IF($C$11&gt;0,0.00025*C198,0),IF('prijem - EUR'!$I$88=TRUE,IF('prijem - EUR'!$F$88&gt;0,0.00025*C198,0),0))</f>
        <v>0</v>
      </c>
      <c r="K199" s="89">
        <v>183</v>
      </c>
      <c r="L199" s="186" t="e">
        <f t="shared" si="31"/>
        <v>#DIV/0!</v>
      </c>
      <c r="M199" s="171" t="e">
        <f t="shared" si="23"/>
        <v>#DIV/0!</v>
      </c>
      <c r="N199" s="171" t="e">
        <f t="shared" si="24"/>
        <v>#DIV/0!</v>
      </c>
      <c r="O199" s="171" t="e">
        <f t="shared" si="28"/>
        <v>#DIV/0!</v>
      </c>
      <c r="P199" s="171" t="e">
        <f t="shared" si="29"/>
        <v>#DIV/0!</v>
      </c>
      <c r="Q199" s="186">
        <f>IF('prijem - EUR'!$I$87=TRUE,IF($C$11&gt;0,0.00025*M198,0),IF('prijem - EUR'!$I$88=TRUE,IF('prijem - EUR'!$F$88&gt;0,0.00025*M198*-1,0),0))</f>
        <v>0</v>
      </c>
    </row>
    <row r="200" spans="1:17" x14ac:dyDescent="0.2">
      <c r="A200" s="89">
        <v>184</v>
      </c>
      <c r="B200" s="186" t="e">
        <f t="shared" si="30"/>
        <v>#NUM!</v>
      </c>
      <c r="C200" s="171" t="e">
        <f t="shared" si="22"/>
        <v>#NUM!</v>
      </c>
      <c r="D200" s="171" t="e">
        <f t="shared" si="25"/>
        <v>#NUM!</v>
      </c>
      <c r="E200" s="171" t="e">
        <f t="shared" si="26"/>
        <v>#NUM!</v>
      </c>
      <c r="F200" s="171" t="e">
        <f t="shared" si="27"/>
        <v>#NUM!</v>
      </c>
      <c r="G200" s="186">
        <f>IF('prijem - EUR'!$I$87=TRUE,IF($C$11&gt;0,0.00025*C199,0),IF('prijem - EUR'!$I$88=TRUE,IF('prijem - EUR'!$F$88&gt;0,0.00025*C199,0),0))</f>
        <v>0</v>
      </c>
      <c r="K200" s="89">
        <v>184</v>
      </c>
      <c r="L200" s="186" t="e">
        <f t="shared" si="31"/>
        <v>#DIV/0!</v>
      </c>
      <c r="M200" s="171" t="e">
        <f t="shared" si="23"/>
        <v>#DIV/0!</v>
      </c>
      <c r="N200" s="171" t="e">
        <f t="shared" si="24"/>
        <v>#DIV/0!</v>
      </c>
      <c r="O200" s="171" t="e">
        <f t="shared" si="28"/>
        <v>#DIV/0!</v>
      </c>
      <c r="P200" s="171" t="e">
        <f t="shared" si="29"/>
        <v>#DIV/0!</v>
      </c>
      <c r="Q200" s="186">
        <f>IF('prijem - EUR'!$I$87=TRUE,IF($C$11&gt;0,0.00025*M199,0),IF('prijem - EUR'!$I$88=TRUE,IF('prijem - EUR'!$F$88&gt;0,0.00025*M199*-1,0),0))</f>
        <v>0</v>
      </c>
    </row>
    <row r="201" spans="1:17" x14ac:dyDescent="0.2">
      <c r="A201" s="89">
        <v>185</v>
      </c>
      <c r="B201" s="186" t="e">
        <f t="shared" si="30"/>
        <v>#NUM!</v>
      </c>
      <c r="C201" s="171" t="e">
        <f t="shared" si="22"/>
        <v>#NUM!</v>
      </c>
      <c r="D201" s="171" t="e">
        <f t="shared" si="25"/>
        <v>#NUM!</v>
      </c>
      <c r="E201" s="171" t="e">
        <f t="shared" si="26"/>
        <v>#NUM!</v>
      </c>
      <c r="F201" s="171" t="e">
        <f t="shared" si="27"/>
        <v>#NUM!</v>
      </c>
      <c r="G201" s="186">
        <f>IF('prijem - EUR'!$I$87=TRUE,IF($C$11&gt;0,0.00025*C200,0),IF('prijem - EUR'!$I$88=TRUE,IF('prijem - EUR'!$F$88&gt;0,0.00025*C200,0),0))</f>
        <v>0</v>
      </c>
      <c r="K201" s="89">
        <v>185</v>
      </c>
      <c r="L201" s="186" t="e">
        <f t="shared" si="31"/>
        <v>#DIV/0!</v>
      </c>
      <c r="M201" s="171" t="e">
        <f t="shared" si="23"/>
        <v>#DIV/0!</v>
      </c>
      <c r="N201" s="171" t="e">
        <f t="shared" si="24"/>
        <v>#DIV/0!</v>
      </c>
      <c r="O201" s="171" t="e">
        <f t="shared" si="28"/>
        <v>#DIV/0!</v>
      </c>
      <c r="P201" s="171" t="e">
        <f t="shared" si="29"/>
        <v>#DIV/0!</v>
      </c>
      <c r="Q201" s="186">
        <f>IF('prijem - EUR'!$I$87=TRUE,IF($C$11&gt;0,0.00025*M200,0),IF('prijem - EUR'!$I$88=TRUE,IF('prijem - EUR'!$F$88&gt;0,0.00025*M200*-1,0),0))</f>
        <v>0</v>
      </c>
    </row>
    <row r="202" spans="1:17" x14ac:dyDescent="0.2">
      <c r="A202" s="89">
        <v>186</v>
      </c>
      <c r="B202" s="186" t="e">
        <f t="shared" si="30"/>
        <v>#NUM!</v>
      </c>
      <c r="C202" s="171" t="e">
        <f t="shared" si="22"/>
        <v>#NUM!</v>
      </c>
      <c r="D202" s="171" t="e">
        <f t="shared" si="25"/>
        <v>#NUM!</v>
      </c>
      <c r="E202" s="171" t="e">
        <f t="shared" si="26"/>
        <v>#NUM!</v>
      </c>
      <c r="F202" s="171" t="e">
        <f t="shared" si="27"/>
        <v>#NUM!</v>
      </c>
      <c r="G202" s="186">
        <f>IF('prijem - EUR'!$I$87=TRUE,IF($C$11&gt;0,0.00025*C201,0),IF('prijem - EUR'!$I$88=TRUE,IF('prijem - EUR'!$F$88&gt;0,0.00025*C201,0),0))</f>
        <v>0</v>
      </c>
      <c r="K202" s="89">
        <v>186</v>
      </c>
      <c r="L202" s="186" t="e">
        <f t="shared" si="31"/>
        <v>#DIV/0!</v>
      </c>
      <c r="M202" s="171" t="e">
        <f t="shared" si="23"/>
        <v>#DIV/0!</v>
      </c>
      <c r="N202" s="171" t="e">
        <f t="shared" si="24"/>
        <v>#DIV/0!</v>
      </c>
      <c r="O202" s="171" t="e">
        <f t="shared" si="28"/>
        <v>#DIV/0!</v>
      </c>
      <c r="P202" s="171" t="e">
        <f t="shared" si="29"/>
        <v>#DIV/0!</v>
      </c>
      <c r="Q202" s="186">
        <f>IF('prijem - EUR'!$I$87=TRUE,IF($C$11&gt;0,0.00025*M201,0),IF('prijem - EUR'!$I$88=TRUE,IF('prijem - EUR'!$F$88&gt;0,0.00025*M201*-1,0),0))</f>
        <v>0</v>
      </c>
    </row>
    <row r="203" spans="1:17" x14ac:dyDescent="0.2">
      <c r="A203" s="89">
        <v>187</v>
      </c>
      <c r="B203" s="186" t="e">
        <f t="shared" si="30"/>
        <v>#NUM!</v>
      </c>
      <c r="C203" s="171" t="e">
        <f t="shared" si="22"/>
        <v>#NUM!</v>
      </c>
      <c r="D203" s="171" t="e">
        <f t="shared" si="25"/>
        <v>#NUM!</v>
      </c>
      <c r="E203" s="171" t="e">
        <f t="shared" si="26"/>
        <v>#NUM!</v>
      </c>
      <c r="F203" s="171" t="e">
        <f t="shared" si="27"/>
        <v>#NUM!</v>
      </c>
      <c r="G203" s="186">
        <f>IF('prijem - EUR'!$I$87=TRUE,IF($C$11&gt;0,0.00025*C202,0),IF('prijem - EUR'!$I$88=TRUE,IF('prijem - EUR'!$F$88&gt;0,0.00025*C202,0),0))</f>
        <v>0</v>
      </c>
      <c r="K203" s="89">
        <v>187</v>
      </c>
      <c r="L203" s="186" t="e">
        <f t="shared" si="31"/>
        <v>#DIV/0!</v>
      </c>
      <c r="M203" s="171" t="e">
        <f t="shared" si="23"/>
        <v>#DIV/0!</v>
      </c>
      <c r="N203" s="171" t="e">
        <f t="shared" si="24"/>
        <v>#DIV/0!</v>
      </c>
      <c r="O203" s="171" t="e">
        <f t="shared" si="28"/>
        <v>#DIV/0!</v>
      </c>
      <c r="P203" s="171" t="e">
        <f t="shared" si="29"/>
        <v>#DIV/0!</v>
      </c>
      <c r="Q203" s="186">
        <f>IF('prijem - EUR'!$I$87=TRUE,IF($C$11&gt;0,0.00025*M202,0),IF('prijem - EUR'!$I$88=TRUE,IF('prijem - EUR'!$F$88&gt;0,0.00025*M202*-1,0),0))</f>
        <v>0</v>
      </c>
    </row>
    <row r="204" spans="1:17" x14ac:dyDescent="0.2">
      <c r="A204" s="89">
        <v>188</v>
      </c>
      <c r="B204" s="186" t="e">
        <f t="shared" si="30"/>
        <v>#NUM!</v>
      </c>
      <c r="C204" s="171" t="e">
        <f t="shared" si="22"/>
        <v>#NUM!</v>
      </c>
      <c r="D204" s="171" t="e">
        <f t="shared" si="25"/>
        <v>#NUM!</v>
      </c>
      <c r="E204" s="171" t="e">
        <f t="shared" si="26"/>
        <v>#NUM!</v>
      </c>
      <c r="F204" s="171" t="e">
        <f t="shared" si="27"/>
        <v>#NUM!</v>
      </c>
      <c r="G204" s="186">
        <f>IF('prijem - EUR'!$I$87=TRUE,IF($C$11&gt;0,0.00025*C203,0),IF('prijem - EUR'!$I$88=TRUE,IF('prijem - EUR'!$F$88&gt;0,0.00025*C203,0),0))</f>
        <v>0</v>
      </c>
      <c r="K204" s="89">
        <v>188</v>
      </c>
      <c r="L204" s="186" t="e">
        <f t="shared" si="31"/>
        <v>#DIV/0!</v>
      </c>
      <c r="M204" s="171" t="e">
        <f t="shared" si="23"/>
        <v>#DIV/0!</v>
      </c>
      <c r="N204" s="171" t="e">
        <f t="shared" si="24"/>
        <v>#DIV/0!</v>
      </c>
      <c r="O204" s="171" t="e">
        <f t="shared" si="28"/>
        <v>#DIV/0!</v>
      </c>
      <c r="P204" s="171" t="e">
        <f t="shared" si="29"/>
        <v>#DIV/0!</v>
      </c>
      <c r="Q204" s="186">
        <f>IF('prijem - EUR'!$I$87=TRUE,IF($C$11&gt;0,0.00025*M203,0),IF('prijem - EUR'!$I$88=TRUE,IF('prijem - EUR'!$F$88&gt;0,0.00025*M203*-1,0),0))</f>
        <v>0</v>
      </c>
    </row>
    <row r="205" spans="1:17" x14ac:dyDescent="0.2">
      <c r="A205" s="89">
        <v>189</v>
      </c>
      <c r="B205" s="186" t="e">
        <f t="shared" si="30"/>
        <v>#NUM!</v>
      </c>
      <c r="C205" s="171" t="e">
        <f t="shared" si="22"/>
        <v>#NUM!</v>
      </c>
      <c r="D205" s="171" t="e">
        <f t="shared" si="25"/>
        <v>#NUM!</v>
      </c>
      <c r="E205" s="171" t="e">
        <f t="shared" si="26"/>
        <v>#NUM!</v>
      </c>
      <c r="F205" s="171" t="e">
        <f t="shared" si="27"/>
        <v>#NUM!</v>
      </c>
      <c r="G205" s="186">
        <f>IF('prijem - EUR'!$I$87=TRUE,IF($C$11&gt;0,0.00025*C204,0),IF('prijem - EUR'!$I$88=TRUE,IF('prijem - EUR'!$F$88&gt;0,0.00025*C204,0),0))</f>
        <v>0</v>
      </c>
      <c r="K205" s="89">
        <v>189</v>
      </c>
      <c r="L205" s="186" t="e">
        <f t="shared" si="31"/>
        <v>#DIV/0!</v>
      </c>
      <c r="M205" s="171" t="e">
        <f t="shared" si="23"/>
        <v>#DIV/0!</v>
      </c>
      <c r="N205" s="171" t="e">
        <f t="shared" si="24"/>
        <v>#DIV/0!</v>
      </c>
      <c r="O205" s="171" t="e">
        <f t="shared" si="28"/>
        <v>#DIV/0!</v>
      </c>
      <c r="P205" s="171" t="e">
        <f t="shared" si="29"/>
        <v>#DIV/0!</v>
      </c>
      <c r="Q205" s="186">
        <f>IF('prijem - EUR'!$I$87=TRUE,IF($C$11&gt;0,0.00025*M204,0),IF('prijem - EUR'!$I$88=TRUE,IF('prijem - EUR'!$F$88&gt;0,0.00025*M204*-1,0),0))</f>
        <v>0</v>
      </c>
    </row>
    <row r="206" spans="1:17" x14ac:dyDescent="0.2">
      <c r="A206" s="89">
        <v>190</v>
      </c>
      <c r="B206" s="186" t="e">
        <f t="shared" si="30"/>
        <v>#NUM!</v>
      </c>
      <c r="C206" s="171" t="e">
        <f t="shared" si="22"/>
        <v>#NUM!</v>
      </c>
      <c r="D206" s="171" t="e">
        <f t="shared" si="25"/>
        <v>#NUM!</v>
      </c>
      <c r="E206" s="171" t="e">
        <f t="shared" si="26"/>
        <v>#NUM!</v>
      </c>
      <c r="F206" s="171" t="e">
        <f t="shared" si="27"/>
        <v>#NUM!</v>
      </c>
      <c r="G206" s="186">
        <f>IF('prijem - EUR'!$I$87=TRUE,IF($C$11&gt;0,0.00025*C205,0),IF('prijem - EUR'!$I$88=TRUE,IF('prijem - EUR'!$F$88&gt;0,0.00025*C205,0),0))</f>
        <v>0</v>
      </c>
      <c r="K206" s="89">
        <v>190</v>
      </c>
      <c r="L206" s="186" t="e">
        <f t="shared" si="31"/>
        <v>#DIV/0!</v>
      </c>
      <c r="M206" s="171" t="e">
        <f t="shared" si="23"/>
        <v>#DIV/0!</v>
      </c>
      <c r="N206" s="171" t="e">
        <f t="shared" si="24"/>
        <v>#DIV/0!</v>
      </c>
      <c r="O206" s="171" t="e">
        <f t="shared" si="28"/>
        <v>#DIV/0!</v>
      </c>
      <c r="P206" s="171" t="e">
        <f t="shared" si="29"/>
        <v>#DIV/0!</v>
      </c>
      <c r="Q206" s="186">
        <f>IF('prijem - EUR'!$I$87=TRUE,IF($C$11&gt;0,0.00025*M205,0),IF('prijem - EUR'!$I$88=TRUE,IF('prijem - EUR'!$F$88&gt;0,0.00025*M205*-1,0),0))</f>
        <v>0</v>
      </c>
    </row>
    <row r="207" spans="1:17" x14ac:dyDescent="0.2">
      <c r="A207" s="89">
        <v>191</v>
      </c>
      <c r="B207" s="186" t="e">
        <f t="shared" si="30"/>
        <v>#NUM!</v>
      </c>
      <c r="C207" s="171" t="e">
        <f t="shared" si="22"/>
        <v>#NUM!</v>
      </c>
      <c r="D207" s="171" t="e">
        <f t="shared" si="25"/>
        <v>#NUM!</v>
      </c>
      <c r="E207" s="171" t="e">
        <f t="shared" si="26"/>
        <v>#NUM!</v>
      </c>
      <c r="F207" s="171" t="e">
        <f t="shared" si="27"/>
        <v>#NUM!</v>
      </c>
      <c r="G207" s="186">
        <f>IF('prijem - EUR'!$I$87=TRUE,IF($C$11&gt;0,0.00025*C206,0),IF('prijem - EUR'!$I$88=TRUE,IF('prijem - EUR'!$F$88&gt;0,0.00025*C206,0),0))</f>
        <v>0</v>
      </c>
      <c r="K207" s="89">
        <v>191</v>
      </c>
      <c r="L207" s="186" t="e">
        <f t="shared" si="31"/>
        <v>#DIV/0!</v>
      </c>
      <c r="M207" s="171" t="e">
        <f t="shared" si="23"/>
        <v>#DIV/0!</v>
      </c>
      <c r="N207" s="171" t="e">
        <f t="shared" si="24"/>
        <v>#DIV/0!</v>
      </c>
      <c r="O207" s="171" t="e">
        <f t="shared" si="28"/>
        <v>#DIV/0!</v>
      </c>
      <c r="P207" s="171" t="e">
        <f t="shared" si="29"/>
        <v>#DIV/0!</v>
      </c>
      <c r="Q207" s="186">
        <f>IF('prijem - EUR'!$I$87=TRUE,IF($C$11&gt;0,0.00025*M206,0),IF('prijem - EUR'!$I$88=TRUE,IF('prijem - EUR'!$F$88&gt;0,0.00025*M206*-1,0),0))</f>
        <v>0</v>
      </c>
    </row>
    <row r="208" spans="1:17" x14ac:dyDescent="0.2">
      <c r="A208" s="89">
        <v>192</v>
      </c>
      <c r="B208" s="186" t="e">
        <f t="shared" si="30"/>
        <v>#NUM!</v>
      </c>
      <c r="C208" s="171" t="e">
        <f t="shared" si="22"/>
        <v>#NUM!</v>
      </c>
      <c r="D208" s="171" t="e">
        <f t="shared" si="25"/>
        <v>#NUM!</v>
      </c>
      <c r="E208" s="171" t="e">
        <f t="shared" si="26"/>
        <v>#NUM!</v>
      </c>
      <c r="F208" s="171" t="e">
        <f t="shared" si="27"/>
        <v>#NUM!</v>
      </c>
      <c r="G208" s="186">
        <f>IF('prijem - EUR'!$I$87=TRUE,IF($C$11&gt;0,0.00025*C207,0),IF('prijem - EUR'!$I$88=TRUE,IF('prijem - EUR'!$F$88&gt;0,0.00025*C207,0),0))</f>
        <v>0</v>
      </c>
      <c r="K208" s="89">
        <v>192</v>
      </c>
      <c r="L208" s="186" t="e">
        <f t="shared" si="31"/>
        <v>#DIV/0!</v>
      </c>
      <c r="M208" s="171" t="e">
        <f t="shared" si="23"/>
        <v>#DIV/0!</v>
      </c>
      <c r="N208" s="171" t="e">
        <f t="shared" si="24"/>
        <v>#DIV/0!</v>
      </c>
      <c r="O208" s="171" t="e">
        <f t="shared" si="28"/>
        <v>#DIV/0!</v>
      </c>
      <c r="P208" s="171" t="e">
        <f t="shared" si="29"/>
        <v>#DIV/0!</v>
      </c>
      <c r="Q208" s="186">
        <f>IF('prijem - EUR'!$I$87=TRUE,IF($C$11&gt;0,0.00025*M207,0),IF('prijem - EUR'!$I$88=TRUE,IF('prijem - EUR'!$F$88&gt;0,0.00025*M207*-1,0),0))</f>
        <v>0</v>
      </c>
    </row>
    <row r="209" spans="1:17" x14ac:dyDescent="0.2">
      <c r="A209" s="89">
        <v>193</v>
      </c>
      <c r="B209" s="186" t="e">
        <f t="shared" si="30"/>
        <v>#NUM!</v>
      </c>
      <c r="C209" s="171" t="e">
        <f t="shared" ref="C209:C272" si="32">MAX(C208-D209,0)</f>
        <v>#NUM!</v>
      </c>
      <c r="D209" s="171" t="e">
        <f t="shared" si="25"/>
        <v>#NUM!</v>
      </c>
      <c r="E209" s="171" t="e">
        <f t="shared" si="26"/>
        <v>#NUM!</v>
      </c>
      <c r="F209" s="171" t="e">
        <f t="shared" si="27"/>
        <v>#NUM!</v>
      </c>
      <c r="G209" s="186">
        <f>IF('prijem - EUR'!$I$87=TRUE,IF($C$11&gt;0,0.00025*C208,0),IF('prijem - EUR'!$I$88=TRUE,IF('prijem - EUR'!$F$88&gt;0,0.00025*C208,0),0))</f>
        <v>0</v>
      </c>
      <c r="K209" s="89">
        <v>193</v>
      </c>
      <c r="L209" s="186" t="e">
        <f t="shared" si="31"/>
        <v>#DIV/0!</v>
      </c>
      <c r="M209" s="171" t="e">
        <f t="shared" ref="M209:M272" si="33">MAX(M208-N209,0)</f>
        <v>#DIV/0!</v>
      </c>
      <c r="N209" s="171" t="e">
        <f t="shared" ref="N209:N272" si="34">$M$16/$M$5</f>
        <v>#DIV/0!</v>
      </c>
      <c r="O209" s="171" t="e">
        <f t="shared" si="28"/>
        <v>#DIV/0!</v>
      </c>
      <c r="P209" s="171" t="e">
        <f t="shared" si="29"/>
        <v>#DIV/0!</v>
      </c>
      <c r="Q209" s="186">
        <f>IF('prijem - EUR'!$I$87=TRUE,IF($C$11&gt;0,0.00025*M208,0),IF('prijem - EUR'!$I$88=TRUE,IF('prijem - EUR'!$F$88&gt;0,0.00025*M208*-1,0),0))</f>
        <v>0</v>
      </c>
    </row>
    <row r="210" spans="1:17" x14ac:dyDescent="0.2">
      <c r="A210" s="89">
        <v>194</v>
      </c>
      <c r="B210" s="186" t="e">
        <f t="shared" si="30"/>
        <v>#NUM!</v>
      </c>
      <c r="C210" s="171" t="e">
        <f t="shared" si="32"/>
        <v>#NUM!</v>
      </c>
      <c r="D210" s="171" t="e">
        <f t="shared" ref="D210:D273" si="35">(F210-E210)*-1</f>
        <v>#NUM!</v>
      </c>
      <c r="E210" s="171" t="e">
        <f t="shared" ref="E210:E273" si="36">IPMT($C$4/12,1,$C$5,C209)</f>
        <v>#NUM!</v>
      </c>
      <c r="F210" s="171" t="e">
        <f t="shared" ref="F210:F273" si="37">PMT($C$4/12,$C$5,$C$3)</f>
        <v>#NUM!</v>
      </c>
      <c r="G210" s="186">
        <f>IF('prijem - EUR'!$I$87=TRUE,IF($C$11&gt;0,0.00025*C209,0),IF('prijem - EUR'!$I$88=TRUE,IF('prijem - EUR'!$F$88&gt;0,0.00025*C209,0),0))</f>
        <v>0</v>
      </c>
      <c r="K210" s="89">
        <v>194</v>
      </c>
      <c r="L210" s="186" t="e">
        <f t="shared" si="31"/>
        <v>#DIV/0!</v>
      </c>
      <c r="M210" s="171" t="e">
        <f t="shared" si="33"/>
        <v>#DIV/0!</v>
      </c>
      <c r="N210" s="171" t="e">
        <f t="shared" si="34"/>
        <v>#DIV/0!</v>
      </c>
      <c r="O210" s="171" t="e">
        <f t="shared" ref="O210:O273" si="38">M209*$M$4/12</f>
        <v>#DIV/0!</v>
      </c>
      <c r="P210" s="171" t="e">
        <f t="shared" ref="P210:P273" si="39">O210+N210</f>
        <v>#DIV/0!</v>
      </c>
      <c r="Q210" s="186">
        <f>IF('prijem - EUR'!$I$87=TRUE,IF($C$11&gt;0,0.00025*M209,0),IF('prijem - EUR'!$I$88=TRUE,IF('prijem - EUR'!$F$88&gt;0,0.00025*M209*-1,0),0))</f>
        <v>0</v>
      </c>
    </row>
    <row r="211" spans="1:17" x14ac:dyDescent="0.2">
      <c r="A211" s="89">
        <v>195</v>
      </c>
      <c r="B211" s="186" t="e">
        <f t="shared" si="30"/>
        <v>#NUM!</v>
      </c>
      <c r="C211" s="171" t="e">
        <f t="shared" si="32"/>
        <v>#NUM!</v>
      </c>
      <c r="D211" s="171" t="e">
        <f t="shared" si="35"/>
        <v>#NUM!</v>
      </c>
      <c r="E211" s="171" t="e">
        <f t="shared" si="36"/>
        <v>#NUM!</v>
      </c>
      <c r="F211" s="171" t="e">
        <f t="shared" si="37"/>
        <v>#NUM!</v>
      </c>
      <c r="G211" s="186">
        <f>IF('prijem - EUR'!$I$87=TRUE,IF($C$11&gt;0,0.00025*C210,0),IF('prijem - EUR'!$I$88=TRUE,IF('prijem - EUR'!$F$88&gt;0,0.00025*C210,0),0))</f>
        <v>0</v>
      </c>
      <c r="K211" s="89">
        <v>195</v>
      </c>
      <c r="L211" s="186" t="e">
        <f t="shared" si="31"/>
        <v>#DIV/0!</v>
      </c>
      <c r="M211" s="171" t="e">
        <f t="shared" si="33"/>
        <v>#DIV/0!</v>
      </c>
      <c r="N211" s="171" t="e">
        <f t="shared" si="34"/>
        <v>#DIV/0!</v>
      </c>
      <c r="O211" s="171" t="e">
        <f t="shared" si="38"/>
        <v>#DIV/0!</v>
      </c>
      <c r="P211" s="171" t="e">
        <f t="shared" si="39"/>
        <v>#DIV/0!</v>
      </c>
      <c r="Q211" s="186">
        <f>IF('prijem - EUR'!$I$87=TRUE,IF($C$11&gt;0,0.00025*M210,0),IF('prijem - EUR'!$I$88=TRUE,IF('prijem - EUR'!$F$88&gt;0,0.00025*M210*-1,0),0))</f>
        <v>0</v>
      </c>
    </row>
    <row r="212" spans="1:17" x14ac:dyDescent="0.2">
      <c r="A212" s="89">
        <v>196</v>
      </c>
      <c r="B212" s="186" t="e">
        <f t="shared" si="30"/>
        <v>#NUM!</v>
      </c>
      <c r="C212" s="171" t="e">
        <f t="shared" si="32"/>
        <v>#NUM!</v>
      </c>
      <c r="D212" s="171" t="e">
        <f t="shared" si="35"/>
        <v>#NUM!</v>
      </c>
      <c r="E212" s="171" t="e">
        <f t="shared" si="36"/>
        <v>#NUM!</v>
      </c>
      <c r="F212" s="171" t="e">
        <f t="shared" si="37"/>
        <v>#NUM!</v>
      </c>
      <c r="G212" s="186">
        <f>IF('prijem - EUR'!$I$87=TRUE,IF($C$11&gt;0,0.00025*C211,0),IF('prijem - EUR'!$I$88=TRUE,IF('prijem - EUR'!$F$88&gt;0,0.00025*C211,0),0))</f>
        <v>0</v>
      </c>
      <c r="K212" s="89">
        <v>196</v>
      </c>
      <c r="L212" s="186" t="e">
        <f t="shared" si="31"/>
        <v>#DIV/0!</v>
      </c>
      <c r="M212" s="171" t="e">
        <f t="shared" si="33"/>
        <v>#DIV/0!</v>
      </c>
      <c r="N212" s="171" t="e">
        <f t="shared" si="34"/>
        <v>#DIV/0!</v>
      </c>
      <c r="O212" s="171" t="e">
        <f t="shared" si="38"/>
        <v>#DIV/0!</v>
      </c>
      <c r="P212" s="171" t="e">
        <f t="shared" si="39"/>
        <v>#DIV/0!</v>
      </c>
      <c r="Q212" s="186">
        <f>IF('prijem - EUR'!$I$87=TRUE,IF($C$11&gt;0,0.00025*M211,0),IF('prijem - EUR'!$I$88=TRUE,IF('prijem - EUR'!$F$88&gt;0,0.00025*M211*-1,0),0))</f>
        <v>0</v>
      </c>
    </row>
    <row r="213" spans="1:17" x14ac:dyDescent="0.2">
      <c r="A213" s="89">
        <v>197</v>
      </c>
      <c r="B213" s="186" t="e">
        <f t="shared" si="30"/>
        <v>#NUM!</v>
      </c>
      <c r="C213" s="171" t="e">
        <f t="shared" si="32"/>
        <v>#NUM!</v>
      </c>
      <c r="D213" s="171" t="e">
        <f t="shared" si="35"/>
        <v>#NUM!</v>
      </c>
      <c r="E213" s="171" t="e">
        <f t="shared" si="36"/>
        <v>#NUM!</v>
      </c>
      <c r="F213" s="171" t="e">
        <f t="shared" si="37"/>
        <v>#NUM!</v>
      </c>
      <c r="G213" s="186">
        <f>IF('prijem - EUR'!$I$87=TRUE,IF($C$11&gt;0,0.00025*C212,0),IF('prijem - EUR'!$I$88=TRUE,IF('prijem - EUR'!$F$88&gt;0,0.00025*C212,0),0))</f>
        <v>0</v>
      </c>
      <c r="K213" s="89">
        <v>197</v>
      </c>
      <c r="L213" s="186" t="e">
        <f t="shared" si="31"/>
        <v>#DIV/0!</v>
      </c>
      <c r="M213" s="171" t="e">
        <f t="shared" si="33"/>
        <v>#DIV/0!</v>
      </c>
      <c r="N213" s="171" t="e">
        <f t="shared" si="34"/>
        <v>#DIV/0!</v>
      </c>
      <c r="O213" s="171" t="e">
        <f t="shared" si="38"/>
        <v>#DIV/0!</v>
      </c>
      <c r="P213" s="171" t="e">
        <f t="shared" si="39"/>
        <v>#DIV/0!</v>
      </c>
      <c r="Q213" s="186">
        <f>IF('prijem - EUR'!$I$87=TRUE,IF($C$11&gt;0,0.00025*M212,0),IF('prijem - EUR'!$I$88=TRUE,IF('prijem - EUR'!$F$88&gt;0,0.00025*M212*-1,0),0))</f>
        <v>0</v>
      </c>
    </row>
    <row r="214" spans="1:17" x14ac:dyDescent="0.2">
      <c r="A214" s="89">
        <v>198</v>
      </c>
      <c r="B214" s="186" t="e">
        <f t="shared" si="30"/>
        <v>#NUM!</v>
      </c>
      <c r="C214" s="171" t="e">
        <f t="shared" si="32"/>
        <v>#NUM!</v>
      </c>
      <c r="D214" s="171" t="e">
        <f t="shared" si="35"/>
        <v>#NUM!</v>
      </c>
      <c r="E214" s="171" t="e">
        <f t="shared" si="36"/>
        <v>#NUM!</v>
      </c>
      <c r="F214" s="171" t="e">
        <f t="shared" si="37"/>
        <v>#NUM!</v>
      </c>
      <c r="G214" s="186">
        <f>IF('prijem - EUR'!$I$87=TRUE,IF($C$11&gt;0,0.00025*C213,0),IF('prijem - EUR'!$I$88=TRUE,IF('prijem - EUR'!$F$88&gt;0,0.00025*C213,0),0))</f>
        <v>0</v>
      </c>
      <c r="K214" s="89">
        <v>198</v>
      </c>
      <c r="L214" s="186" t="e">
        <f t="shared" si="31"/>
        <v>#DIV/0!</v>
      </c>
      <c r="M214" s="171" t="e">
        <f t="shared" si="33"/>
        <v>#DIV/0!</v>
      </c>
      <c r="N214" s="171" t="e">
        <f t="shared" si="34"/>
        <v>#DIV/0!</v>
      </c>
      <c r="O214" s="171" t="e">
        <f t="shared" si="38"/>
        <v>#DIV/0!</v>
      </c>
      <c r="P214" s="171" t="e">
        <f t="shared" si="39"/>
        <v>#DIV/0!</v>
      </c>
      <c r="Q214" s="186">
        <f>IF('prijem - EUR'!$I$87=TRUE,IF($C$11&gt;0,0.00025*M213,0),IF('prijem - EUR'!$I$88=TRUE,IF('prijem - EUR'!$F$88&gt;0,0.00025*M213*-1,0),0))</f>
        <v>0</v>
      </c>
    </row>
    <row r="215" spans="1:17" x14ac:dyDescent="0.2">
      <c r="A215" s="89">
        <v>199</v>
      </c>
      <c r="B215" s="186" t="e">
        <f t="shared" si="30"/>
        <v>#NUM!</v>
      </c>
      <c r="C215" s="171" t="e">
        <f t="shared" si="32"/>
        <v>#NUM!</v>
      </c>
      <c r="D215" s="171" t="e">
        <f t="shared" si="35"/>
        <v>#NUM!</v>
      </c>
      <c r="E215" s="171" t="e">
        <f t="shared" si="36"/>
        <v>#NUM!</v>
      </c>
      <c r="F215" s="171" t="e">
        <f t="shared" si="37"/>
        <v>#NUM!</v>
      </c>
      <c r="G215" s="186">
        <f>IF('prijem - EUR'!$I$87=TRUE,IF($C$11&gt;0,0.00025*C214,0),IF('prijem - EUR'!$I$88=TRUE,IF('prijem - EUR'!$F$88&gt;0,0.00025*C214,0),0))</f>
        <v>0</v>
      </c>
      <c r="K215" s="89">
        <v>199</v>
      </c>
      <c r="L215" s="186" t="e">
        <f t="shared" si="31"/>
        <v>#DIV/0!</v>
      </c>
      <c r="M215" s="171" t="e">
        <f t="shared" si="33"/>
        <v>#DIV/0!</v>
      </c>
      <c r="N215" s="171" t="e">
        <f t="shared" si="34"/>
        <v>#DIV/0!</v>
      </c>
      <c r="O215" s="171" t="e">
        <f t="shared" si="38"/>
        <v>#DIV/0!</v>
      </c>
      <c r="P215" s="171" t="e">
        <f t="shared" si="39"/>
        <v>#DIV/0!</v>
      </c>
      <c r="Q215" s="186">
        <f>IF('prijem - EUR'!$I$87=TRUE,IF($C$11&gt;0,0.00025*M214,0),IF('prijem - EUR'!$I$88=TRUE,IF('prijem - EUR'!$F$88&gt;0,0.00025*M214*-1,0),0))</f>
        <v>0</v>
      </c>
    </row>
    <row r="216" spans="1:17" x14ac:dyDescent="0.2">
      <c r="A216" s="89">
        <v>200</v>
      </c>
      <c r="B216" s="186" t="e">
        <f t="shared" si="30"/>
        <v>#NUM!</v>
      </c>
      <c r="C216" s="171" t="e">
        <f t="shared" si="32"/>
        <v>#NUM!</v>
      </c>
      <c r="D216" s="171" t="e">
        <f t="shared" si="35"/>
        <v>#NUM!</v>
      </c>
      <c r="E216" s="171" t="e">
        <f t="shared" si="36"/>
        <v>#NUM!</v>
      </c>
      <c r="F216" s="171" t="e">
        <f t="shared" si="37"/>
        <v>#NUM!</v>
      </c>
      <c r="G216" s="186">
        <f>IF('prijem - EUR'!$I$87=TRUE,IF($C$11&gt;0,0.00025*C215,0),IF('prijem - EUR'!$I$88=TRUE,IF('prijem - EUR'!$F$88&gt;0,0.00025*C215,0),0))</f>
        <v>0</v>
      </c>
      <c r="K216" s="89">
        <v>200</v>
      </c>
      <c r="L216" s="186" t="e">
        <f t="shared" si="31"/>
        <v>#DIV/0!</v>
      </c>
      <c r="M216" s="171" t="e">
        <f t="shared" si="33"/>
        <v>#DIV/0!</v>
      </c>
      <c r="N216" s="171" t="e">
        <f t="shared" si="34"/>
        <v>#DIV/0!</v>
      </c>
      <c r="O216" s="171" t="e">
        <f t="shared" si="38"/>
        <v>#DIV/0!</v>
      </c>
      <c r="P216" s="171" t="e">
        <f t="shared" si="39"/>
        <v>#DIV/0!</v>
      </c>
      <c r="Q216" s="186">
        <f>IF('prijem - EUR'!$I$87=TRUE,IF($C$11&gt;0,0.00025*M215,0),IF('prijem - EUR'!$I$88=TRUE,IF('prijem - EUR'!$F$88&gt;0,0.00025*M215*-1,0),0))</f>
        <v>0</v>
      </c>
    </row>
    <row r="217" spans="1:17" x14ac:dyDescent="0.2">
      <c r="A217" s="89">
        <v>201</v>
      </c>
      <c r="B217" s="186" t="e">
        <f t="shared" si="30"/>
        <v>#NUM!</v>
      </c>
      <c r="C217" s="171" t="e">
        <f t="shared" si="32"/>
        <v>#NUM!</v>
      </c>
      <c r="D217" s="171" t="e">
        <f t="shared" si="35"/>
        <v>#NUM!</v>
      </c>
      <c r="E217" s="171" t="e">
        <f t="shared" si="36"/>
        <v>#NUM!</v>
      </c>
      <c r="F217" s="171" t="e">
        <f t="shared" si="37"/>
        <v>#NUM!</v>
      </c>
      <c r="G217" s="186">
        <f>IF('prijem - EUR'!$I$87=TRUE,IF($C$11&gt;0,0.00025*C216,0),IF('prijem - EUR'!$I$88=TRUE,IF('prijem - EUR'!$F$88&gt;0,0.00025*C216,0),0))</f>
        <v>0</v>
      </c>
      <c r="K217" s="89">
        <v>201</v>
      </c>
      <c r="L217" s="186" t="e">
        <f t="shared" si="31"/>
        <v>#DIV/0!</v>
      </c>
      <c r="M217" s="171" t="e">
        <f t="shared" si="33"/>
        <v>#DIV/0!</v>
      </c>
      <c r="N217" s="171" t="e">
        <f t="shared" si="34"/>
        <v>#DIV/0!</v>
      </c>
      <c r="O217" s="171" t="e">
        <f t="shared" si="38"/>
        <v>#DIV/0!</v>
      </c>
      <c r="P217" s="171" t="e">
        <f t="shared" si="39"/>
        <v>#DIV/0!</v>
      </c>
      <c r="Q217" s="186">
        <f>IF('prijem - EUR'!$I$87=TRUE,IF($C$11&gt;0,0.00025*M216,0),IF('prijem - EUR'!$I$88=TRUE,IF('prijem - EUR'!$F$88&gt;0,0.00025*M216*-1,0),0))</f>
        <v>0</v>
      </c>
    </row>
    <row r="218" spans="1:17" x14ac:dyDescent="0.2">
      <c r="A218" s="89">
        <v>202</v>
      </c>
      <c r="B218" s="186" t="e">
        <f t="shared" si="30"/>
        <v>#NUM!</v>
      </c>
      <c r="C218" s="171" t="e">
        <f t="shared" si="32"/>
        <v>#NUM!</v>
      </c>
      <c r="D218" s="171" t="e">
        <f t="shared" si="35"/>
        <v>#NUM!</v>
      </c>
      <c r="E218" s="171" t="e">
        <f t="shared" si="36"/>
        <v>#NUM!</v>
      </c>
      <c r="F218" s="171" t="e">
        <f t="shared" si="37"/>
        <v>#NUM!</v>
      </c>
      <c r="G218" s="186">
        <f>IF('prijem - EUR'!$I$87=TRUE,IF($C$11&gt;0,0.00025*C217,0),IF('prijem - EUR'!$I$88=TRUE,IF('prijem - EUR'!$F$88&gt;0,0.00025*C217,0),0))</f>
        <v>0</v>
      </c>
      <c r="K218" s="89">
        <v>202</v>
      </c>
      <c r="L218" s="186" t="e">
        <f t="shared" si="31"/>
        <v>#DIV/0!</v>
      </c>
      <c r="M218" s="171" t="e">
        <f t="shared" si="33"/>
        <v>#DIV/0!</v>
      </c>
      <c r="N218" s="171" t="e">
        <f t="shared" si="34"/>
        <v>#DIV/0!</v>
      </c>
      <c r="O218" s="171" t="e">
        <f t="shared" si="38"/>
        <v>#DIV/0!</v>
      </c>
      <c r="P218" s="171" t="e">
        <f t="shared" si="39"/>
        <v>#DIV/0!</v>
      </c>
      <c r="Q218" s="186">
        <f>IF('prijem - EUR'!$I$87=TRUE,IF($C$11&gt;0,0.00025*M217,0),IF('prijem - EUR'!$I$88=TRUE,IF('prijem - EUR'!$F$88&gt;0,0.00025*M217*-1,0),0))</f>
        <v>0</v>
      </c>
    </row>
    <row r="219" spans="1:17" x14ac:dyDescent="0.2">
      <c r="A219" s="89">
        <v>203</v>
      </c>
      <c r="B219" s="186" t="e">
        <f t="shared" si="30"/>
        <v>#NUM!</v>
      </c>
      <c r="C219" s="171" t="e">
        <f t="shared" si="32"/>
        <v>#NUM!</v>
      </c>
      <c r="D219" s="171" t="e">
        <f t="shared" si="35"/>
        <v>#NUM!</v>
      </c>
      <c r="E219" s="171" t="e">
        <f t="shared" si="36"/>
        <v>#NUM!</v>
      </c>
      <c r="F219" s="171" t="e">
        <f t="shared" si="37"/>
        <v>#NUM!</v>
      </c>
      <c r="G219" s="186">
        <f>IF('prijem - EUR'!$I$87=TRUE,IF($C$11&gt;0,0.00025*C218,0),IF('prijem - EUR'!$I$88=TRUE,IF('prijem - EUR'!$F$88&gt;0,0.00025*C218,0),0))</f>
        <v>0</v>
      </c>
      <c r="K219" s="89">
        <v>203</v>
      </c>
      <c r="L219" s="186" t="e">
        <f t="shared" si="31"/>
        <v>#DIV/0!</v>
      </c>
      <c r="M219" s="171" t="e">
        <f t="shared" si="33"/>
        <v>#DIV/0!</v>
      </c>
      <c r="N219" s="171" t="e">
        <f t="shared" si="34"/>
        <v>#DIV/0!</v>
      </c>
      <c r="O219" s="171" t="e">
        <f t="shared" si="38"/>
        <v>#DIV/0!</v>
      </c>
      <c r="P219" s="171" t="e">
        <f t="shared" si="39"/>
        <v>#DIV/0!</v>
      </c>
      <c r="Q219" s="186">
        <f>IF('prijem - EUR'!$I$87=TRUE,IF($C$11&gt;0,0.00025*M218,0),IF('prijem - EUR'!$I$88=TRUE,IF('prijem - EUR'!$F$88&gt;0,0.00025*M218*-1,0),0))</f>
        <v>0</v>
      </c>
    </row>
    <row r="220" spans="1:17" x14ac:dyDescent="0.2">
      <c r="A220" s="89">
        <v>204</v>
      </c>
      <c r="B220" s="186" t="e">
        <f t="shared" si="30"/>
        <v>#NUM!</v>
      </c>
      <c r="C220" s="171" t="e">
        <f t="shared" si="32"/>
        <v>#NUM!</v>
      </c>
      <c r="D220" s="171" t="e">
        <f t="shared" si="35"/>
        <v>#NUM!</v>
      </c>
      <c r="E220" s="171" t="e">
        <f t="shared" si="36"/>
        <v>#NUM!</v>
      </c>
      <c r="F220" s="171" t="e">
        <f t="shared" si="37"/>
        <v>#NUM!</v>
      </c>
      <c r="G220" s="186">
        <f>IF('prijem - EUR'!$I$87=TRUE,IF($C$11&gt;0,0.00025*C219,0),IF('prijem - EUR'!$I$88=TRUE,IF('prijem - EUR'!$F$88&gt;0,0.00025*C219,0),0))</f>
        <v>0</v>
      </c>
      <c r="K220" s="89">
        <v>204</v>
      </c>
      <c r="L220" s="186" t="e">
        <f t="shared" si="31"/>
        <v>#DIV/0!</v>
      </c>
      <c r="M220" s="171" t="e">
        <f t="shared" si="33"/>
        <v>#DIV/0!</v>
      </c>
      <c r="N220" s="171" t="e">
        <f t="shared" si="34"/>
        <v>#DIV/0!</v>
      </c>
      <c r="O220" s="171" t="e">
        <f t="shared" si="38"/>
        <v>#DIV/0!</v>
      </c>
      <c r="P220" s="171" t="e">
        <f t="shared" si="39"/>
        <v>#DIV/0!</v>
      </c>
      <c r="Q220" s="186">
        <f>IF('prijem - EUR'!$I$87=TRUE,IF($C$11&gt;0,0.00025*M219,0),IF('prijem - EUR'!$I$88=TRUE,IF('prijem - EUR'!$F$88&gt;0,0.00025*M219*-1,0),0))</f>
        <v>0</v>
      </c>
    </row>
    <row r="221" spans="1:17" x14ac:dyDescent="0.2">
      <c r="A221" s="89">
        <v>205</v>
      </c>
      <c r="B221" s="186" t="e">
        <f t="shared" si="30"/>
        <v>#NUM!</v>
      </c>
      <c r="C221" s="171" t="e">
        <f t="shared" si="32"/>
        <v>#NUM!</v>
      </c>
      <c r="D221" s="171" t="e">
        <f t="shared" si="35"/>
        <v>#NUM!</v>
      </c>
      <c r="E221" s="171" t="e">
        <f t="shared" si="36"/>
        <v>#NUM!</v>
      </c>
      <c r="F221" s="171" t="e">
        <f t="shared" si="37"/>
        <v>#NUM!</v>
      </c>
      <c r="G221" s="186">
        <f>IF('prijem - EUR'!$I$87=TRUE,IF($C$11&gt;0,0.00025*C220,0),IF('prijem - EUR'!$I$88=TRUE,IF('prijem - EUR'!$F$88&gt;0,0.00025*C220,0),0))</f>
        <v>0</v>
      </c>
      <c r="K221" s="89">
        <v>205</v>
      </c>
      <c r="L221" s="186" t="e">
        <f t="shared" si="31"/>
        <v>#DIV/0!</v>
      </c>
      <c r="M221" s="171" t="e">
        <f t="shared" si="33"/>
        <v>#DIV/0!</v>
      </c>
      <c r="N221" s="171" t="e">
        <f t="shared" si="34"/>
        <v>#DIV/0!</v>
      </c>
      <c r="O221" s="171" t="e">
        <f t="shared" si="38"/>
        <v>#DIV/0!</v>
      </c>
      <c r="P221" s="171" t="e">
        <f t="shared" si="39"/>
        <v>#DIV/0!</v>
      </c>
      <c r="Q221" s="186">
        <f>IF('prijem - EUR'!$I$87=TRUE,IF($C$11&gt;0,0.00025*M220,0),IF('prijem - EUR'!$I$88=TRUE,IF('prijem - EUR'!$F$88&gt;0,0.00025*M220*-1,0),0))</f>
        <v>0</v>
      </c>
    </row>
    <row r="222" spans="1:17" x14ac:dyDescent="0.2">
      <c r="A222" s="89">
        <v>206</v>
      </c>
      <c r="B222" s="186" t="e">
        <f t="shared" si="30"/>
        <v>#NUM!</v>
      </c>
      <c r="C222" s="171" t="e">
        <f t="shared" si="32"/>
        <v>#NUM!</v>
      </c>
      <c r="D222" s="171" t="e">
        <f t="shared" si="35"/>
        <v>#NUM!</v>
      </c>
      <c r="E222" s="171" t="e">
        <f t="shared" si="36"/>
        <v>#NUM!</v>
      </c>
      <c r="F222" s="171" t="e">
        <f t="shared" si="37"/>
        <v>#NUM!</v>
      </c>
      <c r="G222" s="186">
        <f>IF('prijem - EUR'!$I$87=TRUE,IF($C$11&gt;0,0.00025*C221,0),IF('prijem - EUR'!$I$88=TRUE,IF('prijem - EUR'!$F$88&gt;0,0.00025*C221,0),0))</f>
        <v>0</v>
      </c>
      <c r="K222" s="89">
        <v>206</v>
      </c>
      <c r="L222" s="186" t="e">
        <f t="shared" si="31"/>
        <v>#DIV/0!</v>
      </c>
      <c r="M222" s="171" t="e">
        <f t="shared" si="33"/>
        <v>#DIV/0!</v>
      </c>
      <c r="N222" s="171" t="e">
        <f t="shared" si="34"/>
        <v>#DIV/0!</v>
      </c>
      <c r="O222" s="171" t="e">
        <f t="shared" si="38"/>
        <v>#DIV/0!</v>
      </c>
      <c r="P222" s="171" t="e">
        <f t="shared" si="39"/>
        <v>#DIV/0!</v>
      </c>
      <c r="Q222" s="186">
        <f>IF('prijem - EUR'!$I$87=TRUE,IF($C$11&gt;0,0.00025*M221,0),IF('prijem - EUR'!$I$88=TRUE,IF('prijem - EUR'!$F$88&gt;0,0.00025*M221*-1,0),0))</f>
        <v>0</v>
      </c>
    </row>
    <row r="223" spans="1:17" x14ac:dyDescent="0.2">
      <c r="A223" s="89">
        <v>207</v>
      </c>
      <c r="B223" s="186" t="e">
        <f t="shared" si="30"/>
        <v>#NUM!</v>
      </c>
      <c r="C223" s="171" t="e">
        <f t="shared" si="32"/>
        <v>#NUM!</v>
      </c>
      <c r="D223" s="171" t="e">
        <f t="shared" si="35"/>
        <v>#NUM!</v>
      </c>
      <c r="E223" s="171" t="e">
        <f t="shared" si="36"/>
        <v>#NUM!</v>
      </c>
      <c r="F223" s="171" t="e">
        <f t="shared" si="37"/>
        <v>#NUM!</v>
      </c>
      <c r="G223" s="186">
        <f>IF('prijem - EUR'!$I$87=TRUE,IF($C$11&gt;0,0.00025*C222,0),IF('prijem - EUR'!$I$88=TRUE,IF('prijem - EUR'!$F$88&gt;0,0.00025*C222,0),0))</f>
        <v>0</v>
      </c>
      <c r="K223" s="89">
        <v>207</v>
      </c>
      <c r="L223" s="186" t="e">
        <f t="shared" si="31"/>
        <v>#DIV/0!</v>
      </c>
      <c r="M223" s="171" t="e">
        <f t="shared" si="33"/>
        <v>#DIV/0!</v>
      </c>
      <c r="N223" s="171" t="e">
        <f t="shared" si="34"/>
        <v>#DIV/0!</v>
      </c>
      <c r="O223" s="171" t="e">
        <f t="shared" si="38"/>
        <v>#DIV/0!</v>
      </c>
      <c r="P223" s="171" t="e">
        <f t="shared" si="39"/>
        <v>#DIV/0!</v>
      </c>
      <c r="Q223" s="186">
        <f>IF('prijem - EUR'!$I$87=TRUE,IF($C$11&gt;0,0.00025*M222,0),IF('prijem - EUR'!$I$88=TRUE,IF('prijem - EUR'!$F$88&gt;0,0.00025*M222*-1,0),0))</f>
        <v>0</v>
      </c>
    </row>
    <row r="224" spans="1:17" x14ac:dyDescent="0.2">
      <c r="A224" s="89">
        <v>208</v>
      </c>
      <c r="B224" s="186" t="e">
        <f t="shared" si="30"/>
        <v>#NUM!</v>
      </c>
      <c r="C224" s="171" t="e">
        <f t="shared" si="32"/>
        <v>#NUM!</v>
      </c>
      <c r="D224" s="171" t="e">
        <f t="shared" si="35"/>
        <v>#NUM!</v>
      </c>
      <c r="E224" s="171" t="e">
        <f t="shared" si="36"/>
        <v>#NUM!</v>
      </c>
      <c r="F224" s="171" t="e">
        <f t="shared" si="37"/>
        <v>#NUM!</v>
      </c>
      <c r="G224" s="186">
        <f>IF('prijem - EUR'!$I$87=TRUE,IF($C$11&gt;0,0.00025*C223,0),IF('prijem - EUR'!$I$88=TRUE,IF('prijem - EUR'!$F$88&gt;0,0.00025*C223,0),0))</f>
        <v>0</v>
      </c>
      <c r="K224" s="89">
        <v>208</v>
      </c>
      <c r="L224" s="186" t="e">
        <f t="shared" si="31"/>
        <v>#DIV/0!</v>
      </c>
      <c r="M224" s="171" t="e">
        <f t="shared" si="33"/>
        <v>#DIV/0!</v>
      </c>
      <c r="N224" s="171" t="e">
        <f t="shared" si="34"/>
        <v>#DIV/0!</v>
      </c>
      <c r="O224" s="171" t="e">
        <f t="shared" si="38"/>
        <v>#DIV/0!</v>
      </c>
      <c r="P224" s="171" t="e">
        <f t="shared" si="39"/>
        <v>#DIV/0!</v>
      </c>
      <c r="Q224" s="186">
        <f>IF('prijem - EUR'!$I$87=TRUE,IF($C$11&gt;0,0.00025*M223,0),IF('prijem - EUR'!$I$88=TRUE,IF('prijem - EUR'!$F$88&gt;0,0.00025*M223*-1,0),0))</f>
        <v>0</v>
      </c>
    </row>
    <row r="225" spans="1:17" x14ac:dyDescent="0.2">
      <c r="A225" s="89">
        <v>209</v>
      </c>
      <c r="B225" s="186" t="e">
        <f t="shared" si="30"/>
        <v>#NUM!</v>
      </c>
      <c r="C225" s="171" t="e">
        <f t="shared" si="32"/>
        <v>#NUM!</v>
      </c>
      <c r="D225" s="171" t="e">
        <f t="shared" si="35"/>
        <v>#NUM!</v>
      </c>
      <c r="E225" s="171" t="e">
        <f t="shared" si="36"/>
        <v>#NUM!</v>
      </c>
      <c r="F225" s="171" t="e">
        <f t="shared" si="37"/>
        <v>#NUM!</v>
      </c>
      <c r="G225" s="186">
        <f>IF('prijem - EUR'!$I$87=TRUE,IF($C$11&gt;0,0.00025*C224,0),IF('prijem - EUR'!$I$88=TRUE,IF('prijem - EUR'!$F$88&gt;0,0.00025*C224,0),0))</f>
        <v>0</v>
      </c>
      <c r="K225" s="89">
        <v>209</v>
      </c>
      <c r="L225" s="186" t="e">
        <f t="shared" si="31"/>
        <v>#DIV/0!</v>
      </c>
      <c r="M225" s="171" t="e">
        <f t="shared" si="33"/>
        <v>#DIV/0!</v>
      </c>
      <c r="N225" s="171" t="e">
        <f t="shared" si="34"/>
        <v>#DIV/0!</v>
      </c>
      <c r="O225" s="171" t="e">
        <f t="shared" si="38"/>
        <v>#DIV/0!</v>
      </c>
      <c r="P225" s="171" t="e">
        <f t="shared" si="39"/>
        <v>#DIV/0!</v>
      </c>
      <c r="Q225" s="186">
        <f>IF('prijem - EUR'!$I$87=TRUE,IF($C$11&gt;0,0.00025*M224,0),IF('prijem - EUR'!$I$88=TRUE,IF('prijem - EUR'!$F$88&gt;0,0.00025*M224*-1,0),0))</f>
        <v>0</v>
      </c>
    </row>
    <row r="226" spans="1:17" x14ac:dyDescent="0.2">
      <c r="A226" s="89">
        <v>210</v>
      </c>
      <c r="B226" s="186" t="e">
        <f t="shared" si="30"/>
        <v>#NUM!</v>
      </c>
      <c r="C226" s="171" t="e">
        <f t="shared" si="32"/>
        <v>#NUM!</v>
      </c>
      <c r="D226" s="171" t="e">
        <f t="shared" si="35"/>
        <v>#NUM!</v>
      </c>
      <c r="E226" s="171" t="e">
        <f t="shared" si="36"/>
        <v>#NUM!</v>
      </c>
      <c r="F226" s="171" t="e">
        <f t="shared" si="37"/>
        <v>#NUM!</v>
      </c>
      <c r="G226" s="186">
        <f>IF('prijem - EUR'!$I$87=TRUE,IF($C$11&gt;0,0.00025*C225,0),IF('prijem - EUR'!$I$88=TRUE,IF('prijem - EUR'!$F$88&gt;0,0.00025*C225,0),0))</f>
        <v>0</v>
      </c>
      <c r="K226" s="89">
        <v>210</v>
      </c>
      <c r="L226" s="186" t="e">
        <f t="shared" si="31"/>
        <v>#DIV/0!</v>
      </c>
      <c r="M226" s="171" t="e">
        <f t="shared" si="33"/>
        <v>#DIV/0!</v>
      </c>
      <c r="N226" s="171" t="e">
        <f t="shared" si="34"/>
        <v>#DIV/0!</v>
      </c>
      <c r="O226" s="171" t="e">
        <f t="shared" si="38"/>
        <v>#DIV/0!</v>
      </c>
      <c r="P226" s="171" t="e">
        <f t="shared" si="39"/>
        <v>#DIV/0!</v>
      </c>
      <c r="Q226" s="186">
        <f>IF('prijem - EUR'!$I$87=TRUE,IF($C$11&gt;0,0.00025*M225,0),IF('prijem - EUR'!$I$88=TRUE,IF('prijem - EUR'!$F$88&gt;0,0.00025*M225*-1,0),0))</f>
        <v>0</v>
      </c>
    </row>
    <row r="227" spans="1:17" x14ac:dyDescent="0.2">
      <c r="A227" s="89">
        <v>211</v>
      </c>
      <c r="B227" s="186" t="e">
        <f t="shared" si="30"/>
        <v>#NUM!</v>
      </c>
      <c r="C227" s="171" t="e">
        <f t="shared" si="32"/>
        <v>#NUM!</v>
      </c>
      <c r="D227" s="171" t="e">
        <f t="shared" si="35"/>
        <v>#NUM!</v>
      </c>
      <c r="E227" s="171" t="e">
        <f t="shared" si="36"/>
        <v>#NUM!</v>
      </c>
      <c r="F227" s="171" t="e">
        <f t="shared" si="37"/>
        <v>#NUM!</v>
      </c>
      <c r="G227" s="186">
        <f>IF('prijem - EUR'!$I$87=TRUE,IF($C$11&gt;0,0.00025*C226,0),IF('prijem - EUR'!$I$88=TRUE,IF('prijem - EUR'!$F$88&gt;0,0.00025*C226,0),0))</f>
        <v>0</v>
      </c>
      <c r="K227" s="89">
        <v>211</v>
      </c>
      <c r="L227" s="186" t="e">
        <f t="shared" si="31"/>
        <v>#DIV/0!</v>
      </c>
      <c r="M227" s="171" t="e">
        <f t="shared" si="33"/>
        <v>#DIV/0!</v>
      </c>
      <c r="N227" s="171" t="e">
        <f t="shared" si="34"/>
        <v>#DIV/0!</v>
      </c>
      <c r="O227" s="171" t="e">
        <f t="shared" si="38"/>
        <v>#DIV/0!</v>
      </c>
      <c r="P227" s="171" t="e">
        <f t="shared" si="39"/>
        <v>#DIV/0!</v>
      </c>
      <c r="Q227" s="186">
        <f>IF('prijem - EUR'!$I$87=TRUE,IF($C$11&gt;0,0.00025*M226,0),IF('prijem - EUR'!$I$88=TRUE,IF('prijem - EUR'!$F$88&gt;0,0.00025*M226*-1,0),0))</f>
        <v>0</v>
      </c>
    </row>
    <row r="228" spans="1:17" x14ac:dyDescent="0.2">
      <c r="A228" s="89">
        <v>212</v>
      </c>
      <c r="B228" s="186" t="e">
        <f t="shared" si="30"/>
        <v>#NUM!</v>
      </c>
      <c r="C228" s="171" t="e">
        <f t="shared" si="32"/>
        <v>#NUM!</v>
      </c>
      <c r="D228" s="171" t="e">
        <f t="shared" si="35"/>
        <v>#NUM!</v>
      </c>
      <c r="E228" s="171" t="e">
        <f t="shared" si="36"/>
        <v>#NUM!</v>
      </c>
      <c r="F228" s="171" t="e">
        <f t="shared" si="37"/>
        <v>#NUM!</v>
      </c>
      <c r="G228" s="186">
        <f>IF('prijem - EUR'!$I$87=TRUE,IF($C$11&gt;0,0.00025*C227,0),IF('prijem - EUR'!$I$88=TRUE,IF('prijem - EUR'!$F$88&gt;0,0.00025*C227,0),0))</f>
        <v>0</v>
      </c>
      <c r="K228" s="89">
        <v>212</v>
      </c>
      <c r="L228" s="186" t="e">
        <f t="shared" si="31"/>
        <v>#DIV/0!</v>
      </c>
      <c r="M228" s="171" t="e">
        <f t="shared" si="33"/>
        <v>#DIV/0!</v>
      </c>
      <c r="N228" s="171" t="e">
        <f t="shared" si="34"/>
        <v>#DIV/0!</v>
      </c>
      <c r="O228" s="171" t="e">
        <f t="shared" si="38"/>
        <v>#DIV/0!</v>
      </c>
      <c r="P228" s="171" t="e">
        <f t="shared" si="39"/>
        <v>#DIV/0!</v>
      </c>
      <c r="Q228" s="186">
        <f>IF('prijem - EUR'!$I$87=TRUE,IF($C$11&gt;0,0.00025*M227,0),IF('prijem - EUR'!$I$88=TRUE,IF('prijem - EUR'!$F$88&gt;0,0.00025*M227*-1,0),0))</f>
        <v>0</v>
      </c>
    </row>
    <row r="229" spans="1:17" x14ac:dyDescent="0.2">
      <c r="A229" s="89">
        <v>213</v>
      </c>
      <c r="B229" s="186" t="e">
        <f t="shared" si="30"/>
        <v>#NUM!</v>
      </c>
      <c r="C229" s="171" t="e">
        <f t="shared" si="32"/>
        <v>#NUM!</v>
      </c>
      <c r="D229" s="171" t="e">
        <f t="shared" si="35"/>
        <v>#NUM!</v>
      </c>
      <c r="E229" s="171" t="e">
        <f t="shared" si="36"/>
        <v>#NUM!</v>
      </c>
      <c r="F229" s="171" t="e">
        <f t="shared" si="37"/>
        <v>#NUM!</v>
      </c>
      <c r="G229" s="186">
        <f>IF('prijem - EUR'!$I$87=TRUE,IF($C$11&gt;0,0.00025*C228,0),IF('prijem - EUR'!$I$88=TRUE,IF('prijem - EUR'!$F$88&gt;0,0.00025*C228,0),0))</f>
        <v>0</v>
      </c>
      <c r="K229" s="89">
        <v>213</v>
      </c>
      <c r="L229" s="186" t="e">
        <f t="shared" si="31"/>
        <v>#DIV/0!</v>
      </c>
      <c r="M229" s="171" t="e">
        <f t="shared" si="33"/>
        <v>#DIV/0!</v>
      </c>
      <c r="N229" s="171" t="e">
        <f t="shared" si="34"/>
        <v>#DIV/0!</v>
      </c>
      <c r="O229" s="171" t="e">
        <f t="shared" si="38"/>
        <v>#DIV/0!</v>
      </c>
      <c r="P229" s="171" t="e">
        <f t="shared" si="39"/>
        <v>#DIV/0!</v>
      </c>
      <c r="Q229" s="186">
        <f>IF('prijem - EUR'!$I$87=TRUE,IF($C$11&gt;0,0.00025*M228,0),IF('prijem - EUR'!$I$88=TRUE,IF('prijem - EUR'!$F$88&gt;0,0.00025*M228*-1,0),0))</f>
        <v>0</v>
      </c>
    </row>
    <row r="230" spans="1:17" x14ac:dyDescent="0.2">
      <c r="A230" s="89">
        <v>214</v>
      </c>
      <c r="B230" s="186" t="e">
        <f t="shared" si="30"/>
        <v>#NUM!</v>
      </c>
      <c r="C230" s="171" t="e">
        <f t="shared" si="32"/>
        <v>#NUM!</v>
      </c>
      <c r="D230" s="171" t="e">
        <f t="shared" si="35"/>
        <v>#NUM!</v>
      </c>
      <c r="E230" s="171" t="e">
        <f t="shared" si="36"/>
        <v>#NUM!</v>
      </c>
      <c r="F230" s="171" t="e">
        <f t="shared" si="37"/>
        <v>#NUM!</v>
      </c>
      <c r="G230" s="186">
        <f>IF('prijem - EUR'!$I$87=TRUE,IF($C$11&gt;0,0.00025*C229,0),IF('prijem - EUR'!$I$88=TRUE,IF('prijem - EUR'!$F$88&gt;0,0.00025*C229,0),0))</f>
        <v>0</v>
      </c>
      <c r="K230" s="89">
        <v>214</v>
      </c>
      <c r="L230" s="186" t="e">
        <f t="shared" si="31"/>
        <v>#DIV/0!</v>
      </c>
      <c r="M230" s="171" t="e">
        <f t="shared" si="33"/>
        <v>#DIV/0!</v>
      </c>
      <c r="N230" s="171" t="e">
        <f t="shared" si="34"/>
        <v>#DIV/0!</v>
      </c>
      <c r="O230" s="171" t="e">
        <f t="shared" si="38"/>
        <v>#DIV/0!</v>
      </c>
      <c r="P230" s="171" t="e">
        <f t="shared" si="39"/>
        <v>#DIV/0!</v>
      </c>
      <c r="Q230" s="186">
        <f>IF('prijem - EUR'!$I$87=TRUE,IF($C$11&gt;0,0.00025*M229,0),IF('prijem - EUR'!$I$88=TRUE,IF('prijem - EUR'!$F$88&gt;0,0.00025*M229*-1,0),0))</f>
        <v>0</v>
      </c>
    </row>
    <row r="231" spans="1:17" x14ac:dyDescent="0.2">
      <c r="A231" s="89">
        <v>215</v>
      </c>
      <c r="B231" s="186" t="e">
        <f t="shared" si="30"/>
        <v>#NUM!</v>
      </c>
      <c r="C231" s="171" t="e">
        <f t="shared" si="32"/>
        <v>#NUM!</v>
      </c>
      <c r="D231" s="171" t="e">
        <f t="shared" si="35"/>
        <v>#NUM!</v>
      </c>
      <c r="E231" s="171" t="e">
        <f t="shared" si="36"/>
        <v>#NUM!</v>
      </c>
      <c r="F231" s="171" t="e">
        <f t="shared" si="37"/>
        <v>#NUM!</v>
      </c>
      <c r="G231" s="186">
        <f>IF('prijem - EUR'!$I$87=TRUE,IF($C$11&gt;0,0.00025*C230,0),IF('prijem - EUR'!$I$88=TRUE,IF('prijem - EUR'!$F$88&gt;0,0.00025*C230,0),0))</f>
        <v>0</v>
      </c>
      <c r="K231" s="89">
        <v>215</v>
      </c>
      <c r="L231" s="186" t="e">
        <f t="shared" si="31"/>
        <v>#DIV/0!</v>
      </c>
      <c r="M231" s="171" t="e">
        <f t="shared" si="33"/>
        <v>#DIV/0!</v>
      </c>
      <c r="N231" s="171" t="e">
        <f t="shared" si="34"/>
        <v>#DIV/0!</v>
      </c>
      <c r="O231" s="171" t="e">
        <f t="shared" si="38"/>
        <v>#DIV/0!</v>
      </c>
      <c r="P231" s="171" t="e">
        <f t="shared" si="39"/>
        <v>#DIV/0!</v>
      </c>
      <c r="Q231" s="186">
        <f>IF('prijem - EUR'!$I$87=TRUE,IF($C$11&gt;0,0.00025*M230,0),IF('prijem - EUR'!$I$88=TRUE,IF('prijem - EUR'!$F$88&gt;0,0.00025*M230*-1,0),0))</f>
        <v>0</v>
      </c>
    </row>
    <row r="232" spans="1:17" x14ac:dyDescent="0.2">
      <c r="A232" s="89">
        <v>216</v>
      </c>
      <c r="B232" s="186" t="e">
        <f t="shared" si="30"/>
        <v>#NUM!</v>
      </c>
      <c r="C232" s="171" t="e">
        <f t="shared" si="32"/>
        <v>#NUM!</v>
      </c>
      <c r="D232" s="171" t="e">
        <f t="shared" si="35"/>
        <v>#NUM!</v>
      </c>
      <c r="E232" s="171" t="e">
        <f t="shared" si="36"/>
        <v>#NUM!</v>
      </c>
      <c r="F232" s="171" t="e">
        <f t="shared" si="37"/>
        <v>#NUM!</v>
      </c>
      <c r="G232" s="186">
        <f>IF('prijem - EUR'!$I$87=TRUE,IF($C$11&gt;0,0.00025*C231,0),IF('prijem - EUR'!$I$88=TRUE,IF('prijem - EUR'!$F$88&gt;0,0.00025*C231,0),0))</f>
        <v>0</v>
      </c>
      <c r="K232" s="89">
        <v>216</v>
      </c>
      <c r="L232" s="186" t="e">
        <f t="shared" si="31"/>
        <v>#DIV/0!</v>
      </c>
      <c r="M232" s="171" t="e">
        <f t="shared" si="33"/>
        <v>#DIV/0!</v>
      </c>
      <c r="N232" s="171" t="e">
        <f t="shared" si="34"/>
        <v>#DIV/0!</v>
      </c>
      <c r="O232" s="171" t="e">
        <f t="shared" si="38"/>
        <v>#DIV/0!</v>
      </c>
      <c r="P232" s="171" t="e">
        <f t="shared" si="39"/>
        <v>#DIV/0!</v>
      </c>
      <c r="Q232" s="186">
        <f>IF('prijem - EUR'!$I$87=TRUE,IF($C$11&gt;0,0.00025*M231,0),IF('prijem - EUR'!$I$88=TRUE,IF('prijem - EUR'!$F$88&gt;0,0.00025*M231*-1,0),0))</f>
        <v>0</v>
      </c>
    </row>
    <row r="233" spans="1:17" x14ac:dyDescent="0.2">
      <c r="A233" s="89">
        <v>217</v>
      </c>
      <c r="B233" s="186" t="e">
        <f t="shared" si="30"/>
        <v>#NUM!</v>
      </c>
      <c r="C233" s="171" t="e">
        <f t="shared" si="32"/>
        <v>#NUM!</v>
      </c>
      <c r="D233" s="171" t="e">
        <f t="shared" si="35"/>
        <v>#NUM!</v>
      </c>
      <c r="E233" s="171" t="e">
        <f t="shared" si="36"/>
        <v>#NUM!</v>
      </c>
      <c r="F233" s="171" t="e">
        <f t="shared" si="37"/>
        <v>#NUM!</v>
      </c>
      <c r="G233" s="186">
        <f>IF('prijem - EUR'!$I$87=TRUE,IF($C$11&gt;0,0.00025*C232,0),IF('prijem - EUR'!$I$88=TRUE,IF('prijem - EUR'!$F$88&gt;0,0.00025*C232,0),0))</f>
        <v>0</v>
      </c>
      <c r="K233" s="89">
        <v>217</v>
      </c>
      <c r="L233" s="186" t="e">
        <f t="shared" si="31"/>
        <v>#DIV/0!</v>
      </c>
      <c r="M233" s="171" t="e">
        <f t="shared" si="33"/>
        <v>#DIV/0!</v>
      </c>
      <c r="N233" s="171" t="e">
        <f t="shared" si="34"/>
        <v>#DIV/0!</v>
      </c>
      <c r="O233" s="171" t="e">
        <f t="shared" si="38"/>
        <v>#DIV/0!</v>
      </c>
      <c r="P233" s="171" t="e">
        <f t="shared" si="39"/>
        <v>#DIV/0!</v>
      </c>
      <c r="Q233" s="186">
        <f>IF('prijem - EUR'!$I$87=TRUE,IF($C$11&gt;0,0.00025*M232,0),IF('prijem - EUR'!$I$88=TRUE,IF('prijem - EUR'!$F$88&gt;0,0.00025*M232*-1,0),0))</f>
        <v>0</v>
      </c>
    </row>
    <row r="234" spans="1:17" x14ac:dyDescent="0.2">
      <c r="A234" s="89">
        <v>218</v>
      </c>
      <c r="B234" s="186" t="e">
        <f t="shared" ref="B234:B297" si="40">IF(C233&gt;0.00001,F234-G234,0)</f>
        <v>#NUM!</v>
      </c>
      <c r="C234" s="171" t="e">
        <f t="shared" si="32"/>
        <v>#NUM!</v>
      </c>
      <c r="D234" s="171" t="e">
        <f t="shared" si="35"/>
        <v>#NUM!</v>
      </c>
      <c r="E234" s="171" t="e">
        <f t="shared" si="36"/>
        <v>#NUM!</v>
      </c>
      <c r="F234" s="171" t="e">
        <f t="shared" si="37"/>
        <v>#NUM!</v>
      </c>
      <c r="G234" s="186">
        <f>IF('prijem - EUR'!$I$87=TRUE,IF($C$11&gt;0,0.00025*C233,0),IF('prijem - EUR'!$I$88=TRUE,IF('prijem - EUR'!$F$88&gt;0,0.00025*C233,0),0))</f>
        <v>0</v>
      </c>
      <c r="K234" s="89">
        <v>218</v>
      </c>
      <c r="L234" s="186" t="e">
        <f t="shared" ref="L234:L297" si="41">IF(M233&gt;0.00001,P234-Q234,0)*-1</f>
        <v>#DIV/0!</v>
      </c>
      <c r="M234" s="171" t="e">
        <f t="shared" si="33"/>
        <v>#DIV/0!</v>
      </c>
      <c r="N234" s="171" t="e">
        <f t="shared" si="34"/>
        <v>#DIV/0!</v>
      </c>
      <c r="O234" s="171" t="e">
        <f t="shared" si="38"/>
        <v>#DIV/0!</v>
      </c>
      <c r="P234" s="171" t="e">
        <f t="shared" si="39"/>
        <v>#DIV/0!</v>
      </c>
      <c r="Q234" s="186">
        <f>IF('prijem - EUR'!$I$87=TRUE,IF($C$11&gt;0,0.00025*M233,0),IF('prijem - EUR'!$I$88=TRUE,IF('prijem - EUR'!$F$88&gt;0,0.00025*M233*-1,0),0))</f>
        <v>0</v>
      </c>
    </row>
    <row r="235" spans="1:17" x14ac:dyDescent="0.2">
      <c r="A235" s="89">
        <v>219</v>
      </c>
      <c r="B235" s="186" t="e">
        <f t="shared" si="40"/>
        <v>#NUM!</v>
      </c>
      <c r="C235" s="171" t="e">
        <f t="shared" si="32"/>
        <v>#NUM!</v>
      </c>
      <c r="D235" s="171" t="e">
        <f t="shared" si="35"/>
        <v>#NUM!</v>
      </c>
      <c r="E235" s="171" t="e">
        <f t="shared" si="36"/>
        <v>#NUM!</v>
      </c>
      <c r="F235" s="171" t="e">
        <f t="shared" si="37"/>
        <v>#NUM!</v>
      </c>
      <c r="G235" s="186">
        <f>IF('prijem - EUR'!$I$87=TRUE,IF($C$11&gt;0,0.00025*C234,0),IF('prijem - EUR'!$I$88=TRUE,IF('prijem - EUR'!$F$88&gt;0,0.00025*C234,0),0))</f>
        <v>0</v>
      </c>
      <c r="K235" s="89">
        <v>219</v>
      </c>
      <c r="L235" s="186" t="e">
        <f t="shared" si="41"/>
        <v>#DIV/0!</v>
      </c>
      <c r="M235" s="171" t="e">
        <f t="shared" si="33"/>
        <v>#DIV/0!</v>
      </c>
      <c r="N235" s="171" t="e">
        <f t="shared" si="34"/>
        <v>#DIV/0!</v>
      </c>
      <c r="O235" s="171" t="e">
        <f t="shared" si="38"/>
        <v>#DIV/0!</v>
      </c>
      <c r="P235" s="171" t="e">
        <f t="shared" si="39"/>
        <v>#DIV/0!</v>
      </c>
      <c r="Q235" s="186">
        <f>IF('prijem - EUR'!$I$87=TRUE,IF($C$11&gt;0,0.00025*M234,0),IF('prijem - EUR'!$I$88=TRUE,IF('prijem - EUR'!$F$88&gt;0,0.00025*M234*-1,0),0))</f>
        <v>0</v>
      </c>
    </row>
    <row r="236" spans="1:17" x14ac:dyDescent="0.2">
      <c r="A236" s="89">
        <v>220</v>
      </c>
      <c r="B236" s="186" t="e">
        <f t="shared" si="40"/>
        <v>#NUM!</v>
      </c>
      <c r="C236" s="171" t="e">
        <f t="shared" si="32"/>
        <v>#NUM!</v>
      </c>
      <c r="D236" s="171" t="e">
        <f t="shared" si="35"/>
        <v>#NUM!</v>
      </c>
      <c r="E236" s="171" t="e">
        <f t="shared" si="36"/>
        <v>#NUM!</v>
      </c>
      <c r="F236" s="171" t="e">
        <f t="shared" si="37"/>
        <v>#NUM!</v>
      </c>
      <c r="G236" s="186">
        <f>IF('prijem - EUR'!$I$87=TRUE,IF($C$11&gt;0,0.00025*C235,0),IF('prijem - EUR'!$I$88=TRUE,IF('prijem - EUR'!$F$88&gt;0,0.00025*C235,0),0))</f>
        <v>0</v>
      </c>
      <c r="K236" s="89">
        <v>220</v>
      </c>
      <c r="L236" s="186" t="e">
        <f t="shared" si="41"/>
        <v>#DIV/0!</v>
      </c>
      <c r="M236" s="171" t="e">
        <f t="shared" si="33"/>
        <v>#DIV/0!</v>
      </c>
      <c r="N236" s="171" t="e">
        <f t="shared" si="34"/>
        <v>#DIV/0!</v>
      </c>
      <c r="O236" s="171" t="e">
        <f t="shared" si="38"/>
        <v>#DIV/0!</v>
      </c>
      <c r="P236" s="171" t="e">
        <f t="shared" si="39"/>
        <v>#DIV/0!</v>
      </c>
      <c r="Q236" s="186">
        <f>IF('prijem - EUR'!$I$87=TRUE,IF($C$11&gt;0,0.00025*M235,0),IF('prijem - EUR'!$I$88=TRUE,IF('prijem - EUR'!$F$88&gt;0,0.00025*M235*-1,0),0))</f>
        <v>0</v>
      </c>
    </row>
    <row r="237" spans="1:17" x14ac:dyDescent="0.2">
      <c r="A237" s="89">
        <v>221</v>
      </c>
      <c r="B237" s="186" t="e">
        <f t="shared" si="40"/>
        <v>#NUM!</v>
      </c>
      <c r="C237" s="171" t="e">
        <f t="shared" si="32"/>
        <v>#NUM!</v>
      </c>
      <c r="D237" s="171" t="e">
        <f t="shared" si="35"/>
        <v>#NUM!</v>
      </c>
      <c r="E237" s="171" t="e">
        <f t="shared" si="36"/>
        <v>#NUM!</v>
      </c>
      <c r="F237" s="171" t="e">
        <f t="shared" si="37"/>
        <v>#NUM!</v>
      </c>
      <c r="G237" s="186">
        <f>IF('prijem - EUR'!$I$87=TRUE,IF($C$11&gt;0,0.00025*C236,0),IF('prijem - EUR'!$I$88=TRUE,IF('prijem - EUR'!$F$88&gt;0,0.00025*C236,0),0))</f>
        <v>0</v>
      </c>
      <c r="K237" s="89">
        <v>221</v>
      </c>
      <c r="L237" s="186" t="e">
        <f t="shared" si="41"/>
        <v>#DIV/0!</v>
      </c>
      <c r="M237" s="171" t="e">
        <f t="shared" si="33"/>
        <v>#DIV/0!</v>
      </c>
      <c r="N237" s="171" t="e">
        <f t="shared" si="34"/>
        <v>#DIV/0!</v>
      </c>
      <c r="O237" s="171" t="e">
        <f t="shared" si="38"/>
        <v>#DIV/0!</v>
      </c>
      <c r="P237" s="171" t="e">
        <f t="shared" si="39"/>
        <v>#DIV/0!</v>
      </c>
      <c r="Q237" s="186">
        <f>IF('prijem - EUR'!$I$87=TRUE,IF($C$11&gt;0,0.00025*M236,0),IF('prijem - EUR'!$I$88=TRUE,IF('prijem - EUR'!$F$88&gt;0,0.00025*M236*-1,0),0))</f>
        <v>0</v>
      </c>
    </row>
    <row r="238" spans="1:17" x14ac:dyDescent="0.2">
      <c r="A238" s="89">
        <v>222</v>
      </c>
      <c r="B238" s="186" t="e">
        <f t="shared" si="40"/>
        <v>#NUM!</v>
      </c>
      <c r="C238" s="171" t="e">
        <f t="shared" si="32"/>
        <v>#NUM!</v>
      </c>
      <c r="D238" s="171" t="e">
        <f t="shared" si="35"/>
        <v>#NUM!</v>
      </c>
      <c r="E238" s="171" t="e">
        <f t="shared" si="36"/>
        <v>#NUM!</v>
      </c>
      <c r="F238" s="171" t="e">
        <f t="shared" si="37"/>
        <v>#NUM!</v>
      </c>
      <c r="G238" s="186">
        <f>IF('prijem - EUR'!$I$87=TRUE,IF($C$11&gt;0,0.00025*C237,0),IF('prijem - EUR'!$I$88=TRUE,IF('prijem - EUR'!$F$88&gt;0,0.00025*C237,0),0))</f>
        <v>0</v>
      </c>
      <c r="K238" s="89">
        <v>222</v>
      </c>
      <c r="L238" s="186" t="e">
        <f t="shared" si="41"/>
        <v>#DIV/0!</v>
      </c>
      <c r="M238" s="171" t="e">
        <f t="shared" si="33"/>
        <v>#DIV/0!</v>
      </c>
      <c r="N238" s="171" t="e">
        <f t="shared" si="34"/>
        <v>#DIV/0!</v>
      </c>
      <c r="O238" s="171" t="e">
        <f t="shared" si="38"/>
        <v>#DIV/0!</v>
      </c>
      <c r="P238" s="171" t="e">
        <f t="shared" si="39"/>
        <v>#DIV/0!</v>
      </c>
      <c r="Q238" s="186">
        <f>IF('prijem - EUR'!$I$87=TRUE,IF($C$11&gt;0,0.00025*M237,0),IF('prijem - EUR'!$I$88=TRUE,IF('prijem - EUR'!$F$88&gt;0,0.00025*M237*-1,0),0))</f>
        <v>0</v>
      </c>
    </row>
    <row r="239" spans="1:17" x14ac:dyDescent="0.2">
      <c r="A239" s="89">
        <v>223</v>
      </c>
      <c r="B239" s="186" t="e">
        <f t="shared" si="40"/>
        <v>#NUM!</v>
      </c>
      <c r="C239" s="171" t="e">
        <f t="shared" si="32"/>
        <v>#NUM!</v>
      </c>
      <c r="D239" s="171" t="e">
        <f t="shared" si="35"/>
        <v>#NUM!</v>
      </c>
      <c r="E239" s="171" t="e">
        <f t="shared" si="36"/>
        <v>#NUM!</v>
      </c>
      <c r="F239" s="171" t="e">
        <f t="shared" si="37"/>
        <v>#NUM!</v>
      </c>
      <c r="G239" s="186">
        <f>IF('prijem - EUR'!$I$87=TRUE,IF($C$11&gt;0,0.00025*C238,0),IF('prijem - EUR'!$I$88=TRUE,IF('prijem - EUR'!$F$88&gt;0,0.00025*C238,0),0))</f>
        <v>0</v>
      </c>
      <c r="K239" s="89">
        <v>223</v>
      </c>
      <c r="L239" s="186" t="e">
        <f t="shared" si="41"/>
        <v>#DIV/0!</v>
      </c>
      <c r="M239" s="171" t="e">
        <f t="shared" si="33"/>
        <v>#DIV/0!</v>
      </c>
      <c r="N239" s="171" t="e">
        <f t="shared" si="34"/>
        <v>#DIV/0!</v>
      </c>
      <c r="O239" s="171" t="e">
        <f t="shared" si="38"/>
        <v>#DIV/0!</v>
      </c>
      <c r="P239" s="171" t="e">
        <f t="shared" si="39"/>
        <v>#DIV/0!</v>
      </c>
      <c r="Q239" s="186">
        <f>IF('prijem - EUR'!$I$87=TRUE,IF($C$11&gt;0,0.00025*M238,0),IF('prijem - EUR'!$I$88=TRUE,IF('prijem - EUR'!$F$88&gt;0,0.00025*M238*-1,0),0))</f>
        <v>0</v>
      </c>
    </row>
    <row r="240" spans="1:17" x14ac:dyDescent="0.2">
      <c r="A240" s="89">
        <v>224</v>
      </c>
      <c r="B240" s="186" t="e">
        <f t="shared" si="40"/>
        <v>#NUM!</v>
      </c>
      <c r="C240" s="171" t="e">
        <f t="shared" si="32"/>
        <v>#NUM!</v>
      </c>
      <c r="D240" s="171" t="e">
        <f t="shared" si="35"/>
        <v>#NUM!</v>
      </c>
      <c r="E240" s="171" t="e">
        <f t="shared" si="36"/>
        <v>#NUM!</v>
      </c>
      <c r="F240" s="171" t="e">
        <f t="shared" si="37"/>
        <v>#NUM!</v>
      </c>
      <c r="G240" s="186">
        <f>IF('prijem - EUR'!$I$87=TRUE,IF($C$11&gt;0,0.00025*C239,0),IF('prijem - EUR'!$I$88=TRUE,IF('prijem - EUR'!$F$88&gt;0,0.00025*C239,0),0))</f>
        <v>0</v>
      </c>
      <c r="K240" s="89">
        <v>224</v>
      </c>
      <c r="L240" s="186" t="e">
        <f t="shared" si="41"/>
        <v>#DIV/0!</v>
      </c>
      <c r="M240" s="171" t="e">
        <f t="shared" si="33"/>
        <v>#DIV/0!</v>
      </c>
      <c r="N240" s="171" t="e">
        <f t="shared" si="34"/>
        <v>#DIV/0!</v>
      </c>
      <c r="O240" s="171" t="e">
        <f t="shared" si="38"/>
        <v>#DIV/0!</v>
      </c>
      <c r="P240" s="171" t="e">
        <f t="shared" si="39"/>
        <v>#DIV/0!</v>
      </c>
      <c r="Q240" s="186">
        <f>IF('prijem - EUR'!$I$87=TRUE,IF($C$11&gt;0,0.00025*M239,0),IF('prijem - EUR'!$I$88=TRUE,IF('prijem - EUR'!$F$88&gt;0,0.00025*M239*-1,0),0))</f>
        <v>0</v>
      </c>
    </row>
    <row r="241" spans="1:17" x14ac:dyDescent="0.2">
      <c r="A241" s="89">
        <v>225</v>
      </c>
      <c r="B241" s="186" t="e">
        <f t="shared" si="40"/>
        <v>#NUM!</v>
      </c>
      <c r="C241" s="171" t="e">
        <f t="shared" si="32"/>
        <v>#NUM!</v>
      </c>
      <c r="D241" s="171" t="e">
        <f t="shared" si="35"/>
        <v>#NUM!</v>
      </c>
      <c r="E241" s="171" t="e">
        <f t="shared" si="36"/>
        <v>#NUM!</v>
      </c>
      <c r="F241" s="171" t="e">
        <f t="shared" si="37"/>
        <v>#NUM!</v>
      </c>
      <c r="G241" s="186">
        <f>IF('prijem - EUR'!$I$87=TRUE,IF($C$11&gt;0,0.00025*C240,0),IF('prijem - EUR'!$I$88=TRUE,IF('prijem - EUR'!$F$88&gt;0,0.00025*C240,0),0))</f>
        <v>0</v>
      </c>
      <c r="K241" s="89">
        <v>225</v>
      </c>
      <c r="L241" s="186" t="e">
        <f t="shared" si="41"/>
        <v>#DIV/0!</v>
      </c>
      <c r="M241" s="171" t="e">
        <f t="shared" si="33"/>
        <v>#DIV/0!</v>
      </c>
      <c r="N241" s="171" t="e">
        <f t="shared" si="34"/>
        <v>#DIV/0!</v>
      </c>
      <c r="O241" s="171" t="e">
        <f t="shared" si="38"/>
        <v>#DIV/0!</v>
      </c>
      <c r="P241" s="171" t="e">
        <f t="shared" si="39"/>
        <v>#DIV/0!</v>
      </c>
      <c r="Q241" s="186">
        <f>IF('prijem - EUR'!$I$87=TRUE,IF($C$11&gt;0,0.00025*M240,0),IF('prijem - EUR'!$I$88=TRUE,IF('prijem - EUR'!$F$88&gt;0,0.00025*M240*-1,0),0))</f>
        <v>0</v>
      </c>
    </row>
    <row r="242" spans="1:17" x14ac:dyDescent="0.2">
      <c r="A242" s="89">
        <v>226</v>
      </c>
      <c r="B242" s="186" t="e">
        <f t="shared" si="40"/>
        <v>#NUM!</v>
      </c>
      <c r="C242" s="171" t="e">
        <f t="shared" si="32"/>
        <v>#NUM!</v>
      </c>
      <c r="D242" s="171" t="e">
        <f t="shared" si="35"/>
        <v>#NUM!</v>
      </c>
      <c r="E242" s="171" t="e">
        <f t="shared" si="36"/>
        <v>#NUM!</v>
      </c>
      <c r="F242" s="171" t="e">
        <f t="shared" si="37"/>
        <v>#NUM!</v>
      </c>
      <c r="G242" s="186">
        <f>IF('prijem - EUR'!$I$87=TRUE,IF($C$11&gt;0,0.00025*C241,0),IF('prijem - EUR'!$I$88=TRUE,IF('prijem - EUR'!$F$88&gt;0,0.00025*C241,0),0))</f>
        <v>0</v>
      </c>
      <c r="K242" s="89">
        <v>226</v>
      </c>
      <c r="L242" s="186" t="e">
        <f t="shared" si="41"/>
        <v>#DIV/0!</v>
      </c>
      <c r="M242" s="171" t="e">
        <f t="shared" si="33"/>
        <v>#DIV/0!</v>
      </c>
      <c r="N242" s="171" t="e">
        <f t="shared" si="34"/>
        <v>#DIV/0!</v>
      </c>
      <c r="O242" s="171" t="e">
        <f t="shared" si="38"/>
        <v>#DIV/0!</v>
      </c>
      <c r="P242" s="171" t="e">
        <f t="shared" si="39"/>
        <v>#DIV/0!</v>
      </c>
      <c r="Q242" s="186">
        <f>IF('prijem - EUR'!$I$87=TRUE,IF($C$11&gt;0,0.00025*M241,0),IF('prijem - EUR'!$I$88=TRUE,IF('prijem - EUR'!$F$88&gt;0,0.00025*M241*-1,0),0))</f>
        <v>0</v>
      </c>
    </row>
    <row r="243" spans="1:17" x14ac:dyDescent="0.2">
      <c r="A243" s="89">
        <v>227</v>
      </c>
      <c r="B243" s="186" t="e">
        <f t="shared" si="40"/>
        <v>#NUM!</v>
      </c>
      <c r="C243" s="171" t="e">
        <f t="shared" si="32"/>
        <v>#NUM!</v>
      </c>
      <c r="D243" s="171" t="e">
        <f t="shared" si="35"/>
        <v>#NUM!</v>
      </c>
      <c r="E243" s="171" t="e">
        <f t="shared" si="36"/>
        <v>#NUM!</v>
      </c>
      <c r="F243" s="171" t="e">
        <f t="shared" si="37"/>
        <v>#NUM!</v>
      </c>
      <c r="G243" s="186">
        <f>IF('prijem - EUR'!$I$87=TRUE,IF($C$11&gt;0,0.00025*C242,0),IF('prijem - EUR'!$I$88=TRUE,IF('prijem - EUR'!$F$88&gt;0,0.00025*C242,0),0))</f>
        <v>0</v>
      </c>
      <c r="K243" s="89">
        <v>227</v>
      </c>
      <c r="L243" s="186" t="e">
        <f t="shared" si="41"/>
        <v>#DIV/0!</v>
      </c>
      <c r="M243" s="171" t="e">
        <f t="shared" si="33"/>
        <v>#DIV/0!</v>
      </c>
      <c r="N243" s="171" t="e">
        <f t="shared" si="34"/>
        <v>#DIV/0!</v>
      </c>
      <c r="O243" s="171" t="e">
        <f t="shared" si="38"/>
        <v>#DIV/0!</v>
      </c>
      <c r="P243" s="171" t="e">
        <f t="shared" si="39"/>
        <v>#DIV/0!</v>
      </c>
      <c r="Q243" s="186">
        <f>IF('prijem - EUR'!$I$87=TRUE,IF($C$11&gt;0,0.00025*M242,0),IF('prijem - EUR'!$I$88=TRUE,IF('prijem - EUR'!$F$88&gt;0,0.00025*M242*-1,0),0))</f>
        <v>0</v>
      </c>
    </row>
    <row r="244" spans="1:17" x14ac:dyDescent="0.2">
      <c r="A244" s="89">
        <v>228</v>
      </c>
      <c r="B244" s="186" t="e">
        <f t="shared" si="40"/>
        <v>#NUM!</v>
      </c>
      <c r="C244" s="171" t="e">
        <f t="shared" si="32"/>
        <v>#NUM!</v>
      </c>
      <c r="D244" s="171" t="e">
        <f t="shared" si="35"/>
        <v>#NUM!</v>
      </c>
      <c r="E244" s="171" t="e">
        <f t="shared" si="36"/>
        <v>#NUM!</v>
      </c>
      <c r="F244" s="171" t="e">
        <f t="shared" si="37"/>
        <v>#NUM!</v>
      </c>
      <c r="G244" s="186">
        <f>IF('prijem - EUR'!$I$87=TRUE,IF($C$11&gt;0,0.00025*C243,0),IF('prijem - EUR'!$I$88=TRUE,IF('prijem - EUR'!$F$88&gt;0,0.00025*C243,0),0))</f>
        <v>0</v>
      </c>
      <c r="K244" s="89">
        <v>228</v>
      </c>
      <c r="L244" s="186" t="e">
        <f t="shared" si="41"/>
        <v>#DIV/0!</v>
      </c>
      <c r="M244" s="171" t="e">
        <f t="shared" si="33"/>
        <v>#DIV/0!</v>
      </c>
      <c r="N244" s="171" t="e">
        <f t="shared" si="34"/>
        <v>#DIV/0!</v>
      </c>
      <c r="O244" s="171" t="e">
        <f t="shared" si="38"/>
        <v>#DIV/0!</v>
      </c>
      <c r="P244" s="171" t="e">
        <f t="shared" si="39"/>
        <v>#DIV/0!</v>
      </c>
      <c r="Q244" s="186">
        <f>IF('prijem - EUR'!$I$87=TRUE,IF($C$11&gt;0,0.00025*M243,0),IF('prijem - EUR'!$I$88=TRUE,IF('prijem - EUR'!$F$88&gt;0,0.00025*M243*-1,0),0))</f>
        <v>0</v>
      </c>
    </row>
    <row r="245" spans="1:17" x14ac:dyDescent="0.2">
      <c r="A245" s="89">
        <v>229</v>
      </c>
      <c r="B245" s="186" t="e">
        <f t="shared" si="40"/>
        <v>#NUM!</v>
      </c>
      <c r="C245" s="171" t="e">
        <f t="shared" si="32"/>
        <v>#NUM!</v>
      </c>
      <c r="D245" s="171" t="e">
        <f t="shared" si="35"/>
        <v>#NUM!</v>
      </c>
      <c r="E245" s="171" t="e">
        <f t="shared" si="36"/>
        <v>#NUM!</v>
      </c>
      <c r="F245" s="171" t="e">
        <f t="shared" si="37"/>
        <v>#NUM!</v>
      </c>
      <c r="G245" s="186">
        <f>IF('prijem - EUR'!$I$87=TRUE,IF($C$11&gt;0,0.00025*C244,0),IF('prijem - EUR'!$I$88=TRUE,IF('prijem - EUR'!$F$88&gt;0,0.00025*C244,0),0))</f>
        <v>0</v>
      </c>
      <c r="K245" s="89">
        <v>229</v>
      </c>
      <c r="L245" s="186" t="e">
        <f t="shared" si="41"/>
        <v>#DIV/0!</v>
      </c>
      <c r="M245" s="171" t="e">
        <f t="shared" si="33"/>
        <v>#DIV/0!</v>
      </c>
      <c r="N245" s="171" t="e">
        <f t="shared" si="34"/>
        <v>#DIV/0!</v>
      </c>
      <c r="O245" s="171" t="e">
        <f t="shared" si="38"/>
        <v>#DIV/0!</v>
      </c>
      <c r="P245" s="171" t="e">
        <f t="shared" si="39"/>
        <v>#DIV/0!</v>
      </c>
      <c r="Q245" s="186">
        <f>IF('prijem - EUR'!$I$87=TRUE,IF($C$11&gt;0,0.00025*M244,0),IF('prijem - EUR'!$I$88=TRUE,IF('prijem - EUR'!$F$88&gt;0,0.00025*M244*-1,0),0))</f>
        <v>0</v>
      </c>
    </row>
    <row r="246" spans="1:17" x14ac:dyDescent="0.2">
      <c r="A246" s="89">
        <v>230</v>
      </c>
      <c r="B246" s="186" t="e">
        <f t="shared" si="40"/>
        <v>#NUM!</v>
      </c>
      <c r="C246" s="171" t="e">
        <f t="shared" si="32"/>
        <v>#NUM!</v>
      </c>
      <c r="D246" s="171" t="e">
        <f t="shared" si="35"/>
        <v>#NUM!</v>
      </c>
      <c r="E246" s="171" t="e">
        <f t="shared" si="36"/>
        <v>#NUM!</v>
      </c>
      <c r="F246" s="171" t="e">
        <f t="shared" si="37"/>
        <v>#NUM!</v>
      </c>
      <c r="G246" s="186">
        <f>IF('prijem - EUR'!$I$87=TRUE,IF($C$11&gt;0,0.00025*C245,0),IF('prijem - EUR'!$I$88=TRUE,IF('prijem - EUR'!$F$88&gt;0,0.00025*C245,0),0))</f>
        <v>0</v>
      </c>
      <c r="K246" s="89">
        <v>230</v>
      </c>
      <c r="L246" s="186" t="e">
        <f t="shared" si="41"/>
        <v>#DIV/0!</v>
      </c>
      <c r="M246" s="171" t="e">
        <f t="shared" si="33"/>
        <v>#DIV/0!</v>
      </c>
      <c r="N246" s="171" t="e">
        <f t="shared" si="34"/>
        <v>#DIV/0!</v>
      </c>
      <c r="O246" s="171" t="e">
        <f t="shared" si="38"/>
        <v>#DIV/0!</v>
      </c>
      <c r="P246" s="171" t="e">
        <f t="shared" si="39"/>
        <v>#DIV/0!</v>
      </c>
      <c r="Q246" s="186">
        <f>IF('prijem - EUR'!$I$87=TRUE,IF($C$11&gt;0,0.00025*M245,0),IF('prijem - EUR'!$I$88=TRUE,IF('prijem - EUR'!$F$88&gt;0,0.00025*M245*-1,0),0))</f>
        <v>0</v>
      </c>
    </row>
    <row r="247" spans="1:17" x14ac:dyDescent="0.2">
      <c r="A247" s="89">
        <v>231</v>
      </c>
      <c r="B247" s="186" t="e">
        <f t="shared" si="40"/>
        <v>#NUM!</v>
      </c>
      <c r="C247" s="171" t="e">
        <f t="shared" si="32"/>
        <v>#NUM!</v>
      </c>
      <c r="D247" s="171" t="e">
        <f t="shared" si="35"/>
        <v>#NUM!</v>
      </c>
      <c r="E247" s="171" t="e">
        <f t="shared" si="36"/>
        <v>#NUM!</v>
      </c>
      <c r="F247" s="171" t="e">
        <f t="shared" si="37"/>
        <v>#NUM!</v>
      </c>
      <c r="G247" s="186">
        <f>IF('prijem - EUR'!$I$87=TRUE,IF($C$11&gt;0,0.00025*C246,0),IF('prijem - EUR'!$I$88=TRUE,IF('prijem - EUR'!$F$88&gt;0,0.00025*C246,0),0))</f>
        <v>0</v>
      </c>
      <c r="K247" s="89">
        <v>231</v>
      </c>
      <c r="L247" s="186" t="e">
        <f t="shared" si="41"/>
        <v>#DIV/0!</v>
      </c>
      <c r="M247" s="171" t="e">
        <f t="shared" si="33"/>
        <v>#DIV/0!</v>
      </c>
      <c r="N247" s="171" t="e">
        <f t="shared" si="34"/>
        <v>#DIV/0!</v>
      </c>
      <c r="O247" s="171" t="e">
        <f t="shared" si="38"/>
        <v>#DIV/0!</v>
      </c>
      <c r="P247" s="171" t="e">
        <f t="shared" si="39"/>
        <v>#DIV/0!</v>
      </c>
      <c r="Q247" s="186">
        <f>IF('prijem - EUR'!$I$87=TRUE,IF($C$11&gt;0,0.00025*M246,0),IF('prijem - EUR'!$I$88=TRUE,IF('prijem - EUR'!$F$88&gt;0,0.00025*M246*-1,0),0))</f>
        <v>0</v>
      </c>
    </row>
    <row r="248" spans="1:17" x14ac:dyDescent="0.2">
      <c r="A248" s="89">
        <v>232</v>
      </c>
      <c r="B248" s="186" t="e">
        <f t="shared" si="40"/>
        <v>#NUM!</v>
      </c>
      <c r="C248" s="171" t="e">
        <f t="shared" si="32"/>
        <v>#NUM!</v>
      </c>
      <c r="D248" s="171" t="e">
        <f t="shared" si="35"/>
        <v>#NUM!</v>
      </c>
      <c r="E248" s="171" t="e">
        <f t="shared" si="36"/>
        <v>#NUM!</v>
      </c>
      <c r="F248" s="171" t="e">
        <f t="shared" si="37"/>
        <v>#NUM!</v>
      </c>
      <c r="G248" s="186">
        <f>IF('prijem - EUR'!$I$87=TRUE,IF($C$11&gt;0,0.00025*C247,0),IF('prijem - EUR'!$I$88=TRUE,IF('prijem - EUR'!$F$88&gt;0,0.00025*C247,0),0))</f>
        <v>0</v>
      </c>
      <c r="K248" s="89">
        <v>232</v>
      </c>
      <c r="L248" s="186" t="e">
        <f t="shared" si="41"/>
        <v>#DIV/0!</v>
      </c>
      <c r="M248" s="171" t="e">
        <f t="shared" si="33"/>
        <v>#DIV/0!</v>
      </c>
      <c r="N248" s="171" t="e">
        <f t="shared" si="34"/>
        <v>#DIV/0!</v>
      </c>
      <c r="O248" s="171" t="e">
        <f t="shared" si="38"/>
        <v>#DIV/0!</v>
      </c>
      <c r="P248" s="171" t="e">
        <f t="shared" si="39"/>
        <v>#DIV/0!</v>
      </c>
      <c r="Q248" s="186">
        <f>IF('prijem - EUR'!$I$87=TRUE,IF($C$11&gt;0,0.00025*M247,0),IF('prijem - EUR'!$I$88=TRUE,IF('prijem - EUR'!$F$88&gt;0,0.00025*M247*-1,0),0))</f>
        <v>0</v>
      </c>
    </row>
    <row r="249" spans="1:17" x14ac:dyDescent="0.2">
      <c r="A249" s="89">
        <v>233</v>
      </c>
      <c r="B249" s="186" t="e">
        <f t="shared" si="40"/>
        <v>#NUM!</v>
      </c>
      <c r="C249" s="171" t="e">
        <f t="shared" si="32"/>
        <v>#NUM!</v>
      </c>
      <c r="D249" s="171" t="e">
        <f t="shared" si="35"/>
        <v>#NUM!</v>
      </c>
      <c r="E249" s="171" t="e">
        <f t="shared" si="36"/>
        <v>#NUM!</v>
      </c>
      <c r="F249" s="171" t="e">
        <f t="shared" si="37"/>
        <v>#NUM!</v>
      </c>
      <c r="G249" s="186">
        <f>IF('prijem - EUR'!$I$87=TRUE,IF($C$11&gt;0,0.00025*C248,0),IF('prijem - EUR'!$I$88=TRUE,IF('prijem - EUR'!$F$88&gt;0,0.00025*C248,0),0))</f>
        <v>0</v>
      </c>
      <c r="K249" s="89">
        <v>233</v>
      </c>
      <c r="L249" s="186" t="e">
        <f t="shared" si="41"/>
        <v>#DIV/0!</v>
      </c>
      <c r="M249" s="171" t="e">
        <f t="shared" si="33"/>
        <v>#DIV/0!</v>
      </c>
      <c r="N249" s="171" t="e">
        <f t="shared" si="34"/>
        <v>#DIV/0!</v>
      </c>
      <c r="O249" s="171" t="e">
        <f t="shared" si="38"/>
        <v>#DIV/0!</v>
      </c>
      <c r="P249" s="171" t="e">
        <f t="shared" si="39"/>
        <v>#DIV/0!</v>
      </c>
      <c r="Q249" s="186">
        <f>IF('prijem - EUR'!$I$87=TRUE,IF($C$11&gt;0,0.00025*M248,0),IF('prijem - EUR'!$I$88=TRUE,IF('prijem - EUR'!$F$88&gt;0,0.00025*M248*-1,0),0))</f>
        <v>0</v>
      </c>
    </row>
    <row r="250" spans="1:17" x14ac:dyDescent="0.2">
      <c r="A250" s="89">
        <v>234</v>
      </c>
      <c r="B250" s="186" t="e">
        <f t="shared" si="40"/>
        <v>#NUM!</v>
      </c>
      <c r="C250" s="171" t="e">
        <f t="shared" si="32"/>
        <v>#NUM!</v>
      </c>
      <c r="D250" s="171" t="e">
        <f t="shared" si="35"/>
        <v>#NUM!</v>
      </c>
      <c r="E250" s="171" t="e">
        <f t="shared" si="36"/>
        <v>#NUM!</v>
      </c>
      <c r="F250" s="171" t="e">
        <f t="shared" si="37"/>
        <v>#NUM!</v>
      </c>
      <c r="G250" s="186">
        <f>IF('prijem - EUR'!$I$87=TRUE,IF($C$11&gt;0,0.00025*C249,0),IF('prijem - EUR'!$I$88=TRUE,IF('prijem - EUR'!$F$88&gt;0,0.00025*C249,0),0))</f>
        <v>0</v>
      </c>
      <c r="K250" s="89">
        <v>234</v>
      </c>
      <c r="L250" s="186" t="e">
        <f t="shared" si="41"/>
        <v>#DIV/0!</v>
      </c>
      <c r="M250" s="171" t="e">
        <f t="shared" si="33"/>
        <v>#DIV/0!</v>
      </c>
      <c r="N250" s="171" t="e">
        <f t="shared" si="34"/>
        <v>#DIV/0!</v>
      </c>
      <c r="O250" s="171" t="e">
        <f t="shared" si="38"/>
        <v>#DIV/0!</v>
      </c>
      <c r="P250" s="171" t="e">
        <f t="shared" si="39"/>
        <v>#DIV/0!</v>
      </c>
      <c r="Q250" s="186">
        <f>IF('prijem - EUR'!$I$87=TRUE,IF($C$11&gt;0,0.00025*M249,0),IF('prijem - EUR'!$I$88=TRUE,IF('prijem - EUR'!$F$88&gt;0,0.00025*M249*-1,0),0))</f>
        <v>0</v>
      </c>
    </row>
    <row r="251" spans="1:17" x14ac:dyDescent="0.2">
      <c r="A251" s="89">
        <v>235</v>
      </c>
      <c r="B251" s="186" t="e">
        <f t="shared" si="40"/>
        <v>#NUM!</v>
      </c>
      <c r="C251" s="171" t="e">
        <f t="shared" si="32"/>
        <v>#NUM!</v>
      </c>
      <c r="D251" s="171" t="e">
        <f t="shared" si="35"/>
        <v>#NUM!</v>
      </c>
      <c r="E251" s="171" t="e">
        <f t="shared" si="36"/>
        <v>#NUM!</v>
      </c>
      <c r="F251" s="171" t="e">
        <f t="shared" si="37"/>
        <v>#NUM!</v>
      </c>
      <c r="G251" s="186">
        <f>IF('prijem - EUR'!$I$87=TRUE,IF($C$11&gt;0,0.00025*C250,0),IF('prijem - EUR'!$I$88=TRUE,IF('prijem - EUR'!$F$88&gt;0,0.00025*C250,0),0))</f>
        <v>0</v>
      </c>
      <c r="K251" s="89">
        <v>235</v>
      </c>
      <c r="L251" s="186" t="e">
        <f t="shared" si="41"/>
        <v>#DIV/0!</v>
      </c>
      <c r="M251" s="171" t="e">
        <f t="shared" si="33"/>
        <v>#DIV/0!</v>
      </c>
      <c r="N251" s="171" t="e">
        <f t="shared" si="34"/>
        <v>#DIV/0!</v>
      </c>
      <c r="O251" s="171" t="e">
        <f t="shared" si="38"/>
        <v>#DIV/0!</v>
      </c>
      <c r="P251" s="171" t="e">
        <f t="shared" si="39"/>
        <v>#DIV/0!</v>
      </c>
      <c r="Q251" s="186">
        <f>IF('prijem - EUR'!$I$87=TRUE,IF($C$11&gt;0,0.00025*M250,0),IF('prijem - EUR'!$I$88=TRUE,IF('prijem - EUR'!$F$88&gt;0,0.00025*M250*-1,0),0))</f>
        <v>0</v>
      </c>
    </row>
    <row r="252" spans="1:17" x14ac:dyDescent="0.2">
      <c r="A252" s="89">
        <v>236</v>
      </c>
      <c r="B252" s="186" t="e">
        <f t="shared" si="40"/>
        <v>#NUM!</v>
      </c>
      <c r="C252" s="171" t="e">
        <f t="shared" si="32"/>
        <v>#NUM!</v>
      </c>
      <c r="D252" s="171" t="e">
        <f t="shared" si="35"/>
        <v>#NUM!</v>
      </c>
      <c r="E252" s="171" t="e">
        <f t="shared" si="36"/>
        <v>#NUM!</v>
      </c>
      <c r="F252" s="171" t="e">
        <f t="shared" si="37"/>
        <v>#NUM!</v>
      </c>
      <c r="G252" s="186">
        <f>IF('prijem - EUR'!$I$87=TRUE,IF($C$11&gt;0,0.00025*C251,0),IF('prijem - EUR'!$I$88=TRUE,IF('prijem - EUR'!$F$88&gt;0,0.00025*C251,0),0))</f>
        <v>0</v>
      </c>
      <c r="K252" s="89">
        <v>236</v>
      </c>
      <c r="L252" s="186" t="e">
        <f t="shared" si="41"/>
        <v>#DIV/0!</v>
      </c>
      <c r="M252" s="171" t="e">
        <f t="shared" si="33"/>
        <v>#DIV/0!</v>
      </c>
      <c r="N252" s="171" t="e">
        <f t="shared" si="34"/>
        <v>#DIV/0!</v>
      </c>
      <c r="O252" s="171" t="e">
        <f t="shared" si="38"/>
        <v>#DIV/0!</v>
      </c>
      <c r="P252" s="171" t="e">
        <f t="shared" si="39"/>
        <v>#DIV/0!</v>
      </c>
      <c r="Q252" s="186">
        <f>IF('prijem - EUR'!$I$87=TRUE,IF($C$11&gt;0,0.00025*M251,0),IF('prijem - EUR'!$I$88=TRUE,IF('prijem - EUR'!$F$88&gt;0,0.00025*M251*-1,0),0))</f>
        <v>0</v>
      </c>
    </row>
    <row r="253" spans="1:17" x14ac:dyDescent="0.2">
      <c r="A253" s="89">
        <v>237</v>
      </c>
      <c r="B253" s="186" t="e">
        <f t="shared" si="40"/>
        <v>#NUM!</v>
      </c>
      <c r="C253" s="171" t="e">
        <f t="shared" si="32"/>
        <v>#NUM!</v>
      </c>
      <c r="D253" s="171" t="e">
        <f t="shared" si="35"/>
        <v>#NUM!</v>
      </c>
      <c r="E253" s="171" t="e">
        <f t="shared" si="36"/>
        <v>#NUM!</v>
      </c>
      <c r="F253" s="171" t="e">
        <f t="shared" si="37"/>
        <v>#NUM!</v>
      </c>
      <c r="G253" s="186">
        <f>IF('prijem - EUR'!$I$87=TRUE,IF($C$11&gt;0,0.00025*C252,0),IF('prijem - EUR'!$I$88=TRUE,IF('prijem - EUR'!$F$88&gt;0,0.00025*C252,0),0))</f>
        <v>0</v>
      </c>
      <c r="K253" s="89">
        <v>237</v>
      </c>
      <c r="L253" s="186" t="e">
        <f t="shared" si="41"/>
        <v>#DIV/0!</v>
      </c>
      <c r="M253" s="171" t="e">
        <f t="shared" si="33"/>
        <v>#DIV/0!</v>
      </c>
      <c r="N253" s="171" t="e">
        <f t="shared" si="34"/>
        <v>#DIV/0!</v>
      </c>
      <c r="O253" s="171" t="e">
        <f t="shared" si="38"/>
        <v>#DIV/0!</v>
      </c>
      <c r="P253" s="171" t="e">
        <f t="shared" si="39"/>
        <v>#DIV/0!</v>
      </c>
      <c r="Q253" s="186">
        <f>IF('prijem - EUR'!$I$87=TRUE,IF($C$11&gt;0,0.00025*M252,0),IF('prijem - EUR'!$I$88=TRUE,IF('prijem - EUR'!$F$88&gt;0,0.00025*M252*-1,0),0))</f>
        <v>0</v>
      </c>
    </row>
    <row r="254" spans="1:17" x14ac:dyDescent="0.2">
      <c r="A254" s="89">
        <v>238</v>
      </c>
      <c r="B254" s="186" t="e">
        <f t="shared" si="40"/>
        <v>#NUM!</v>
      </c>
      <c r="C254" s="171" t="e">
        <f t="shared" si="32"/>
        <v>#NUM!</v>
      </c>
      <c r="D254" s="171" t="e">
        <f t="shared" si="35"/>
        <v>#NUM!</v>
      </c>
      <c r="E254" s="171" t="e">
        <f t="shared" si="36"/>
        <v>#NUM!</v>
      </c>
      <c r="F254" s="171" t="e">
        <f t="shared" si="37"/>
        <v>#NUM!</v>
      </c>
      <c r="G254" s="186">
        <f>IF('prijem - EUR'!$I$87=TRUE,IF($C$11&gt;0,0.00025*C253,0),IF('prijem - EUR'!$I$88=TRUE,IF('prijem - EUR'!$F$88&gt;0,0.00025*C253,0),0))</f>
        <v>0</v>
      </c>
      <c r="K254" s="89">
        <v>238</v>
      </c>
      <c r="L254" s="186" t="e">
        <f t="shared" si="41"/>
        <v>#DIV/0!</v>
      </c>
      <c r="M254" s="171" t="e">
        <f t="shared" si="33"/>
        <v>#DIV/0!</v>
      </c>
      <c r="N254" s="171" t="e">
        <f t="shared" si="34"/>
        <v>#DIV/0!</v>
      </c>
      <c r="O254" s="171" t="e">
        <f t="shared" si="38"/>
        <v>#DIV/0!</v>
      </c>
      <c r="P254" s="171" t="e">
        <f t="shared" si="39"/>
        <v>#DIV/0!</v>
      </c>
      <c r="Q254" s="186">
        <f>IF('prijem - EUR'!$I$87=TRUE,IF($C$11&gt;0,0.00025*M253,0),IF('prijem - EUR'!$I$88=TRUE,IF('prijem - EUR'!$F$88&gt;0,0.00025*M253*-1,0),0))</f>
        <v>0</v>
      </c>
    </row>
    <row r="255" spans="1:17" x14ac:dyDescent="0.2">
      <c r="A255" s="89">
        <v>239</v>
      </c>
      <c r="B255" s="186" t="e">
        <f t="shared" si="40"/>
        <v>#NUM!</v>
      </c>
      <c r="C255" s="171" t="e">
        <f t="shared" si="32"/>
        <v>#NUM!</v>
      </c>
      <c r="D255" s="171" t="e">
        <f t="shared" si="35"/>
        <v>#NUM!</v>
      </c>
      <c r="E255" s="171" t="e">
        <f t="shared" si="36"/>
        <v>#NUM!</v>
      </c>
      <c r="F255" s="171" t="e">
        <f t="shared" si="37"/>
        <v>#NUM!</v>
      </c>
      <c r="G255" s="186">
        <f>IF('prijem - EUR'!$I$87=TRUE,IF($C$11&gt;0,0.00025*C254,0),IF('prijem - EUR'!$I$88=TRUE,IF('prijem - EUR'!$F$88&gt;0,0.00025*C254,0),0))</f>
        <v>0</v>
      </c>
      <c r="K255" s="89">
        <v>239</v>
      </c>
      <c r="L255" s="186" t="e">
        <f t="shared" si="41"/>
        <v>#DIV/0!</v>
      </c>
      <c r="M255" s="171" t="e">
        <f t="shared" si="33"/>
        <v>#DIV/0!</v>
      </c>
      <c r="N255" s="171" t="e">
        <f t="shared" si="34"/>
        <v>#DIV/0!</v>
      </c>
      <c r="O255" s="171" t="e">
        <f t="shared" si="38"/>
        <v>#DIV/0!</v>
      </c>
      <c r="P255" s="171" t="e">
        <f t="shared" si="39"/>
        <v>#DIV/0!</v>
      </c>
      <c r="Q255" s="186">
        <f>IF('prijem - EUR'!$I$87=TRUE,IF($C$11&gt;0,0.00025*M254,0),IF('prijem - EUR'!$I$88=TRUE,IF('prijem - EUR'!$F$88&gt;0,0.00025*M254*-1,0),0))</f>
        <v>0</v>
      </c>
    </row>
    <row r="256" spans="1:17" x14ac:dyDescent="0.2">
      <c r="A256" s="89">
        <v>240</v>
      </c>
      <c r="B256" s="186" t="e">
        <f t="shared" si="40"/>
        <v>#NUM!</v>
      </c>
      <c r="C256" s="171" t="e">
        <f t="shared" si="32"/>
        <v>#NUM!</v>
      </c>
      <c r="D256" s="171" t="e">
        <f t="shared" si="35"/>
        <v>#NUM!</v>
      </c>
      <c r="E256" s="171" t="e">
        <f t="shared" si="36"/>
        <v>#NUM!</v>
      </c>
      <c r="F256" s="171" t="e">
        <f t="shared" si="37"/>
        <v>#NUM!</v>
      </c>
      <c r="G256" s="186">
        <f>IF('prijem - EUR'!$I$87=TRUE,IF($C$11&gt;0,0.00025*C255,0),IF('prijem - EUR'!$I$88=TRUE,IF('prijem - EUR'!$F$88&gt;0,0.00025*C255,0),0))</f>
        <v>0</v>
      </c>
      <c r="K256" s="89">
        <v>240</v>
      </c>
      <c r="L256" s="186" t="e">
        <f t="shared" si="41"/>
        <v>#DIV/0!</v>
      </c>
      <c r="M256" s="171" t="e">
        <f t="shared" si="33"/>
        <v>#DIV/0!</v>
      </c>
      <c r="N256" s="171" t="e">
        <f t="shared" si="34"/>
        <v>#DIV/0!</v>
      </c>
      <c r="O256" s="171" t="e">
        <f t="shared" si="38"/>
        <v>#DIV/0!</v>
      </c>
      <c r="P256" s="171" t="e">
        <f t="shared" si="39"/>
        <v>#DIV/0!</v>
      </c>
      <c r="Q256" s="186">
        <f>IF('prijem - EUR'!$I$87=TRUE,IF($C$11&gt;0,0.00025*M255,0),IF('prijem - EUR'!$I$88=TRUE,IF('prijem - EUR'!$F$88&gt;0,0.00025*M255*-1,0),0))</f>
        <v>0</v>
      </c>
    </row>
    <row r="257" spans="1:17" x14ac:dyDescent="0.2">
      <c r="A257" s="89">
        <v>241</v>
      </c>
      <c r="B257" s="186" t="e">
        <f t="shared" si="40"/>
        <v>#NUM!</v>
      </c>
      <c r="C257" s="171" t="e">
        <f t="shared" si="32"/>
        <v>#NUM!</v>
      </c>
      <c r="D257" s="171" t="e">
        <f t="shared" si="35"/>
        <v>#NUM!</v>
      </c>
      <c r="E257" s="171" t="e">
        <f t="shared" si="36"/>
        <v>#NUM!</v>
      </c>
      <c r="F257" s="171" t="e">
        <f t="shared" si="37"/>
        <v>#NUM!</v>
      </c>
      <c r="G257" s="186">
        <f>IF('prijem - EUR'!$I$87=TRUE,IF($C$11&gt;0,0.00025*C256,0),IF('prijem - EUR'!$I$88=TRUE,IF('prijem - EUR'!$F$88&gt;0,0.00025*C256,0),0))</f>
        <v>0</v>
      </c>
      <c r="K257" s="89">
        <v>241</v>
      </c>
      <c r="L257" s="186" t="e">
        <f t="shared" si="41"/>
        <v>#DIV/0!</v>
      </c>
      <c r="M257" s="171" t="e">
        <f t="shared" si="33"/>
        <v>#DIV/0!</v>
      </c>
      <c r="N257" s="171" t="e">
        <f t="shared" si="34"/>
        <v>#DIV/0!</v>
      </c>
      <c r="O257" s="171" t="e">
        <f t="shared" si="38"/>
        <v>#DIV/0!</v>
      </c>
      <c r="P257" s="171" t="e">
        <f t="shared" si="39"/>
        <v>#DIV/0!</v>
      </c>
      <c r="Q257" s="186">
        <f>IF('prijem - EUR'!$I$87=TRUE,IF($C$11&gt;0,0.00025*M256,0),IF('prijem - EUR'!$I$88=TRUE,IF('prijem - EUR'!$F$88&gt;0,0.00025*M256*-1,0),0))</f>
        <v>0</v>
      </c>
    </row>
    <row r="258" spans="1:17" x14ac:dyDescent="0.2">
      <c r="A258" s="89">
        <v>242</v>
      </c>
      <c r="B258" s="186" t="e">
        <f t="shared" si="40"/>
        <v>#NUM!</v>
      </c>
      <c r="C258" s="171" t="e">
        <f t="shared" si="32"/>
        <v>#NUM!</v>
      </c>
      <c r="D258" s="171" t="e">
        <f t="shared" si="35"/>
        <v>#NUM!</v>
      </c>
      <c r="E258" s="171" t="e">
        <f t="shared" si="36"/>
        <v>#NUM!</v>
      </c>
      <c r="F258" s="171" t="e">
        <f t="shared" si="37"/>
        <v>#NUM!</v>
      </c>
      <c r="G258" s="186">
        <f>IF('prijem - EUR'!$I$87=TRUE,IF($C$11&gt;0,0.00025*C257,0),IF('prijem - EUR'!$I$88=TRUE,IF('prijem - EUR'!$F$88&gt;0,0.00025*C257,0),0))</f>
        <v>0</v>
      </c>
      <c r="K258" s="89">
        <v>242</v>
      </c>
      <c r="L258" s="186" t="e">
        <f t="shared" si="41"/>
        <v>#DIV/0!</v>
      </c>
      <c r="M258" s="171" t="e">
        <f t="shared" si="33"/>
        <v>#DIV/0!</v>
      </c>
      <c r="N258" s="171" t="e">
        <f t="shared" si="34"/>
        <v>#DIV/0!</v>
      </c>
      <c r="O258" s="171" t="e">
        <f t="shared" si="38"/>
        <v>#DIV/0!</v>
      </c>
      <c r="P258" s="171" t="e">
        <f t="shared" si="39"/>
        <v>#DIV/0!</v>
      </c>
      <c r="Q258" s="186">
        <f>IF('prijem - EUR'!$I$87=TRUE,IF($C$11&gt;0,0.00025*M257,0),IF('prijem - EUR'!$I$88=TRUE,IF('prijem - EUR'!$F$88&gt;0,0.00025*M257*-1,0),0))</f>
        <v>0</v>
      </c>
    </row>
    <row r="259" spans="1:17" x14ac:dyDescent="0.2">
      <c r="A259" s="89">
        <v>243</v>
      </c>
      <c r="B259" s="186" t="e">
        <f t="shared" si="40"/>
        <v>#NUM!</v>
      </c>
      <c r="C259" s="171" t="e">
        <f t="shared" si="32"/>
        <v>#NUM!</v>
      </c>
      <c r="D259" s="171" t="e">
        <f t="shared" si="35"/>
        <v>#NUM!</v>
      </c>
      <c r="E259" s="171" t="e">
        <f t="shared" si="36"/>
        <v>#NUM!</v>
      </c>
      <c r="F259" s="171" t="e">
        <f t="shared" si="37"/>
        <v>#NUM!</v>
      </c>
      <c r="G259" s="186">
        <f>IF('prijem - EUR'!$I$87=TRUE,IF($C$11&gt;0,0.00025*C258,0),IF('prijem - EUR'!$I$88=TRUE,IF('prijem - EUR'!$F$88&gt;0,0.00025*C258,0),0))</f>
        <v>0</v>
      </c>
      <c r="K259" s="89">
        <v>243</v>
      </c>
      <c r="L259" s="186" t="e">
        <f t="shared" si="41"/>
        <v>#DIV/0!</v>
      </c>
      <c r="M259" s="171" t="e">
        <f t="shared" si="33"/>
        <v>#DIV/0!</v>
      </c>
      <c r="N259" s="171" t="e">
        <f t="shared" si="34"/>
        <v>#DIV/0!</v>
      </c>
      <c r="O259" s="171" t="e">
        <f t="shared" si="38"/>
        <v>#DIV/0!</v>
      </c>
      <c r="P259" s="171" t="e">
        <f t="shared" si="39"/>
        <v>#DIV/0!</v>
      </c>
      <c r="Q259" s="186">
        <f>IF('prijem - EUR'!$I$87=TRUE,IF($C$11&gt;0,0.00025*M258,0),IF('prijem - EUR'!$I$88=TRUE,IF('prijem - EUR'!$F$88&gt;0,0.00025*M258*-1,0),0))</f>
        <v>0</v>
      </c>
    </row>
    <row r="260" spans="1:17" x14ac:dyDescent="0.2">
      <c r="A260" s="89">
        <v>244</v>
      </c>
      <c r="B260" s="186" t="e">
        <f t="shared" si="40"/>
        <v>#NUM!</v>
      </c>
      <c r="C260" s="171" t="e">
        <f t="shared" si="32"/>
        <v>#NUM!</v>
      </c>
      <c r="D260" s="171" t="e">
        <f t="shared" si="35"/>
        <v>#NUM!</v>
      </c>
      <c r="E260" s="171" t="e">
        <f t="shared" si="36"/>
        <v>#NUM!</v>
      </c>
      <c r="F260" s="171" t="e">
        <f t="shared" si="37"/>
        <v>#NUM!</v>
      </c>
      <c r="G260" s="186">
        <f>IF('prijem - EUR'!$I$87=TRUE,IF($C$11&gt;0,0.00025*C259,0),IF('prijem - EUR'!$I$88=TRUE,IF('prijem - EUR'!$F$88&gt;0,0.00025*C259,0),0))</f>
        <v>0</v>
      </c>
      <c r="K260" s="89">
        <v>244</v>
      </c>
      <c r="L260" s="186" t="e">
        <f t="shared" si="41"/>
        <v>#DIV/0!</v>
      </c>
      <c r="M260" s="171" t="e">
        <f t="shared" si="33"/>
        <v>#DIV/0!</v>
      </c>
      <c r="N260" s="171" t="e">
        <f t="shared" si="34"/>
        <v>#DIV/0!</v>
      </c>
      <c r="O260" s="171" t="e">
        <f t="shared" si="38"/>
        <v>#DIV/0!</v>
      </c>
      <c r="P260" s="171" t="e">
        <f t="shared" si="39"/>
        <v>#DIV/0!</v>
      </c>
      <c r="Q260" s="186">
        <f>IF('prijem - EUR'!$I$87=TRUE,IF($C$11&gt;0,0.00025*M259,0),IF('prijem - EUR'!$I$88=TRUE,IF('prijem - EUR'!$F$88&gt;0,0.00025*M259*-1,0),0))</f>
        <v>0</v>
      </c>
    </row>
    <row r="261" spans="1:17" x14ac:dyDescent="0.2">
      <c r="A261" s="89">
        <v>245</v>
      </c>
      <c r="B261" s="186" t="e">
        <f t="shared" si="40"/>
        <v>#NUM!</v>
      </c>
      <c r="C261" s="171" t="e">
        <f t="shared" si="32"/>
        <v>#NUM!</v>
      </c>
      <c r="D261" s="171" t="e">
        <f t="shared" si="35"/>
        <v>#NUM!</v>
      </c>
      <c r="E261" s="171" t="e">
        <f t="shared" si="36"/>
        <v>#NUM!</v>
      </c>
      <c r="F261" s="171" t="e">
        <f t="shared" si="37"/>
        <v>#NUM!</v>
      </c>
      <c r="G261" s="186">
        <f>IF('prijem - EUR'!$I$87=TRUE,IF($C$11&gt;0,0.00025*C260,0),IF('prijem - EUR'!$I$88=TRUE,IF('prijem - EUR'!$F$88&gt;0,0.00025*C260,0),0))</f>
        <v>0</v>
      </c>
      <c r="K261" s="89">
        <v>245</v>
      </c>
      <c r="L261" s="186" t="e">
        <f t="shared" si="41"/>
        <v>#DIV/0!</v>
      </c>
      <c r="M261" s="171" t="e">
        <f t="shared" si="33"/>
        <v>#DIV/0!</v>
      </c>
      <c r="N261" s="171" t="e">
        <f t="shared" si="34"/>
        <v>#DIV/0!</v>
      </c>
      <c r="O261" s="171" t="e">
        <f t="shared" si="38"/>
        <v>#DIV/0!</v>
      </c>
      <c r="P261" s="171" t="e">
        <f t="shared" si="39"/>
        <v>#DIV/0!</v>
      </c>
      <c r="Q261" s="186">
        <f>IF('prijem - EUR'!$I$87=TRUE,IF($C$11&gt;0,0.00025*M260,0),IF('prijem - EUR'!$I$88=TRUE,IF('prijem - EUR'!$F$88&gt;0,0.00025*M260*-1,0),0))</f>
        <v>0</v>
      </c>
    </row>
    <row r="262" spans="1:17" x14ac:dyDescent="0.2">
      <c r="A262" s="89">
        <v>246</v>
      </c>
      <c r="B262" s="186" t="e">
        <f t="shared" si="40"/>
        <v>#NUM!</v>
      </c>
      <c r="C262" s="171" t="e">
        <f t="shared" si="32"/>
        <v>#NUM!</v>
      </c>
      <c r="D262" s="171" t="e">
        <f t="shared" si="35"/>
        <v>#NUM!</v>
      </c>
      <c r="E262" s="171" t="e">
        <f t="shared" si="36"/>
        <v>#NUM!</v>
      </c>
      <c r="F262" s="171" t="e">
        <f t="shared" si="37"/>
        <v>#NUM!</v>
      </c>
      <c r="G262" s="186">
        <f>IF('prijem - EUR'!$I$87=TRUE,IF($C$11&gt;0,0.00025*C261,0),IF('prijem - EUR'!$I$88=TRUE,IF('prijem - EUR'!$F$88&gt;0,0.00025*C261,0),0))</f>
        <v>0</v>
      </c>
      <c r="K262" s="89">
        <v>246</v>
      </c>
      <c r="L262" s="186" t="e">
        <f t="shared" si="41"/>
        <v>#DIV/0!</v>
      </c>
      <c r="M262" s="171" t="e">
        <f t="shared" si="33"/>
        <v>#DIV/0!</v>
      </c>
      <c r="N262" s="171" t="e">
        <f t="shared" si="34"/>
        <v>#DIV/0!</v>
      </c>
      <c r="O262" s="171" t="e">
        <f t="shared" si="38"/>
        <v>#DIV/0!</v>
      </c>
      <c r="P262" s="171" t="e">
        <f t="shared" si="39"/>
        <v>#DIV/0!</v>
      </c>
      <c r="Q262" s="186">
        <f>IF('prijem - EUR'!$I$87=TRUE,IF($C$11&gt;0,0.00025*M261,0),IF('prijem - EUR'!$I$88=TRUE,IF('prijem - EUR'!$F$88&gt;0,0.00025*M261*-1,0),0))</f>
        <v>0</v>
      </c>
    </row>
    <row r="263" spans="1:17" x14ac:dyDescent="0.2">
      <c r="A263" s="89">
        <v>247</v>
      </c>
      <c r="B263" s="186" t="e">
        <f t="shared" si="40"/>
        <v>#NUM!</v>
      </c>
      <c r="C263" s="171" t="e">
        <f t="shared" si="32"/>
        <v>#NUM!</v>
      </c>
      <c r="D263" s="171" t="e">
        <f t="shared" si="35"/>
        <v>#NUM!</v>
      </c>
      <c r="E263" s="171" t="e">
        <f t="shared" si="36"/>
        <v>#NUM!</v>
      </c>
      <c r="F263" s="171" t="e">
        <f t="shared" si="37"/>
        <v>#NUM!</v>
      </c>
      <c r="G263" s="186">
        <f>IF('prijem - EUR'!$I$87=TRUE,IF($C$11&gt;0,0.00025*C262,0),IF('prijem - EUR'!$I$88=TRUE,IF('prijem - EUR'!$F$88&gt;0,0.00025*C262,0),0))</f>
        <v>0</v>
      </c>
      <c r="K263" s="89">
        <v>247</v>
      </c>
      <c r="L263" s="186" t="e">
        <f t="shared" si="41"/>
        <v>#DIV/0!</v>
      </c>
      <c r="M263" s="171" t="e">
        <f t="shared" si="33"/>
        <v>#DIV/0!</v>
      </c>
      <c r="N263" s="171" t="e">
        <f t="shared" si="34"/>
        <v>#DIV/0!</v>
      </c>
      <c r="O263" s="171" t="e">
        <f t="shared" si="38"/>
        <v>#DIV/0!</v>
      </c>
      <c r="P263" s="171" t="e">
        <f t="shared" si="39"/>
        <v>#DIV/0!</v>
      </c>
      <c r="Q263" s="186">
        <f>IF('prijem - EUR'!$I$87=TRUE,IF($C$11&gt;0,0.00025*M262,0),IF('prijem - EUR'!$I$88=TRUE,IF('prijem - EUR'!$F$88&gt;0,0.00025*M262*-1,0),0))</f>
        <v>0</v>
      </c>
    </row>
    <row r="264" spans="1:17" x14ac:dyDescent="0.2">
      <c r="A264" s="89">
        <v>248</v>
      </c>
      <c r="B264" s="186" t="e">
        <f t="shared" si="40"/>
        <v>#NUM!</v>
      </c>
      <c r="C264" s="171" t="e">
        <f t="shared" si="32"/>
        <v>#NUM!</v>
      </c>
      <c r="D264" s="171" t="e">
        <f t="shared" si="35"/>
        <v>#NUM!</v>
      </c>
      <c r="E264" s="171" t="e">
        <f t="shared" si="36"/>
        <v>#NUM!</v>
      </c>
      <c r="F264" s="171" t="e">
        <f t="shared" si="37"/>
        <v>#NUM!</v>
      </c>
      <c r="G264" s="186">
        <f>IF('prijem - EUR'!$I$87=TRUE,IF($C$11&gt;0,0.00025*C263,0),IF('prijem - EUR'!$I$88=TRUE,IF('prijem - EUR'!$F$88&gt;0,0.00025*C263,0),0))</f>
        <v>0</v>
      </c>
      <c r="K264" s="89">
        <v>248</v>
      </c>
      <c r="L264" s="186" t="e">
        <f t="shared" si="41"/>
        <v>#DIV/0!</v>
      </c>
      <c r="M264" s="171" t="e">
        <f t="shared" si="33"/>
        <v>#DIV/0!</v>
      </c>
      <c r="N264" s="171" t="e">
        <f t="shared" si="34"/>
        <v>#DIV/0!</v>
      </c>
      <c r="O264" s="171" t="e">
        <f t="shared" si="38"/>
        <v>#DIV/0!</v>
      </c>
      <c r="P264" s="171" t="e">
        <f t="shared" si="39"/>
        <v>#DIV/0!</v>
      </c>
      <c r="Q264" s="186">
        <f>IF('prijem - EUR'!$I$87=TRUE,IF($C$11&gt;0,0.00025*M263,0),IF('prijem - EUR'!$I$88=TRUE,IF('prijem - EUR'!$F$88&gt;0,0.00025*M263*-1,0),0))</f>
        <v>0</v>
      </c>
    </row>
    <row r="265" spans="1:17" x14ac:dyDescent="0.2">
      <c r="A265" s="89">
        <v>249</v>
      </c>
      <c r="B265" s="186" t="e">
        <f t="shared" si="40"/>
        <v>#NUM!</v>
      </c>
      <c r="C265" s="171" t="e">
        <f t="shared" si="32"/>
        <v>#NUM!</v>
      </c>
      <c r="D265" s="171" t="e">
        <f t="shared" si="35"/>
        <v>#NUM!</v>
      </c>
      <c r="E265" s="171" t="e">
        <f t="shared" si="36"/>
        <v>#NUM!</v>
      </c>
      <c r="F265" s="171" t="e">
        <f t="shared" si="37"/>
        <v>#NUM!</v>
      </c>
      <c r="G265" s="186">
        <f>IF('prijem - EUR'!$I$87=TRUE,IF($C$11&gt;0,0.00025*C264,0),IF('prijem - EUR'!$I$88=TRUE,IF('prijem - EUR'!$F$88&gt;0,0.00025*C264,0),0))</f>
        <v>0</v>
      </c>
      <c r="K265" s="89">
        <v>249</v>
      </c>
      <c r="L265" s="186" t="e">
        <f t="shared" si="41"/>
        <v>#DIV/0!</v>
      </c>
      <c r="M265" s="171" t="e">
        <f t="shared" si="33"/>
        <v>#DIV/0!</v>
      </c>
      <c r="N265" s="171" t="e">
        <f t="shared" si="34"/>
        <v>#DIV/0!</v>
      </c>
      <c r="O265" s="171" t="e">
        <f t="shared" si="38"/>
        <v>#DIV/0!</v>
      </c>
      <c r="P265" s="171" t="e">
        <f t="shared" si="39"/>
        <v>#DIV/0!</v>
      </c>
      <c r="Q265" s="186">
        <f>IF('prijem - EUR'!$I$87=TRUE,IF($C$11&gt;0,0.00025*M264,0),IF('prijem - EUR'!$I$88=TRUE,IF('prijem - EUR'!$F$88&gt;0,0.00025*M264*-1,0),0))</f>
        <v>0</v>
      </c>
    </row>
    <row r="266" spans="1:17" x14ac:dyDescent="0.2">
      <c r="A266" s="89">
        <v>250</v>
      </c>
      <c r="B266" s="186" t="e">
        <f t="shared" si="40"/>
        <v>#NUM!</v>
      </c>
      <c r="C266" s="171" t="e">
        <f t="shared" si="32"/>
        <v>#NUM!</v>
      </c>
      <c r="D266" s="171" t="e">
        <f t="shared" si="35"/>
        <v>#NUM!</v>
      </c>
      <c r="E266" s="171" t="e">
        <f t="shared" si="36"/>
        <v>#NUM!</v>
      </c>
      <c r="F266" s="171" t="e">
        <f t="shared" si="37"/>
        <v>#NUM!</v>
      </c>
      <c r="G266" s="186">
        <f>IF('prijem - EUR'!$I$87=TRUE,IF($C$11&gt;0,0.00025*C265,0),IF('prijem - EUR'!$I$88=TRUE,IF('prijem - EUR'!$F$88&gt;0,0.00025*C265,0),0))</f>
        <v>0</v>
      </c>
      <c r="K266" s="89">
        <v>250</v>
      </c>
      <c r="L266" s="186" t="e">
        <f t="shared" si="41"/>
        <v>#DIV/0!</v>
      </c>
      <c r="M266" s="171" t="e">
        <f t="shared" si="33"/>
        <v>#DIV/0!</v>
      </c>
      <c r="N266" s="171" t="e">
        <f t="shared" si="34"/>
        <v>#DIV/0!</v>
      </c>
      <c r="O266" s="171" t="e">
        <f t="shared" si="38"/>
        <v>#DIV/0!</v>
      </c>
      <c r="P266" s="171" t="e">
        <f t="shared" si="39"/>
        <v>#DIV/0!</v>
      </c>
      <c r="Q266" s="186">
        <f>IF('prijem - EUR'!$I$87=TRUE,IF($C$11&gt;0,0.00025*M265,0),IF('prijem - EUR'!$I$88=TRUE,IF('prijem - EUR'!$F$88&gt;0,0.00025*M265*-1,0),0))</f>
        <v>0</v>
      </c>
    </row>
    <row r="267" spans="1:17" x14ac:dyDescent="0.2">
      <c r="A267" s="89">
        <v>251</v>
      </c>
      <c r="B267" s="186" t="e">
        <f t="shared" si="40"/>
        <v>#NUM!</v>
      </c>
      <c r="C267" s="171" t="e">
        <f t="shared" si="32"/>
        <v>#NUM!</v>
      </c>
      <c r="D267" s="171" t="e">
        <f t="shared" si="35"/>
        <v>#NUM!</v>
      </c>
      <c r="E267" s="171" t="e">
        <f t="shared" si="36"/>
        <v>#NUM!</v>
      </c>
      <c r="F267" s="171" t="e">
        <f t="shared" si="37"/>
        <v>#NUM!</v>
      </c>
      <c r="G267" s="186">
        <f>IF('prijem - EUR'!$I$87=TRUE,IF($C$11&gt;0,0.00025*C266,0),IF('prijem - EUR'!$I$88=TRUE,IF('prijem - EUR'!$F$88&gt;0,0.00025*C266,0),0))</f>
        <v>0</v>
      </c>
      <c r="K267" s="89">
        <v>251</v>
      </c>
      <c r="L267" s="186" t="e">
        <f t="shared" si="41"/>
        <v>#DIV/0!</v>
      </c>
      <c r="M267" s="171" t="e">
        <f t="shared" si="33"/>
        <v>#DIV/0!</v>
      </c>
      <c r="N267" s="171" t="e">
        <f t="shared" si="34"/>
        <v>#DIV/0!</v>
      </c>
      <c r="O267" s="171" t="e">
        <f t="shared" si="38"/>
        <v>#DIV/0!</v>
      </c>
      <c r="P267" s="171" t="e">
        <f t="shared" si="39"/>
        <v>#DIV/0!</v>
      </c>
      <c r="Q267" s="186">
        <f>IF('prijem - EUR'!$I$87=TRUE,IF($C$11&gt;0,0.00025*M266,0),IF('prijem - EUR'!$I$88=TRUE,IF('prijem - EUR'!$F$88&gt;0,0.00025*M266*-1,0),0))</f>
        <v>0</v>
      </c>
    </row>
    <row r="268" spans="1:17" x14ac:dyDescent="0.2">
      <c r="A268" s="89">
        <v>252</v>
      </c>
      <c r="B268" s="186" t="e">
        <f t="shared" si="40"/>
        <v>#NUM!</v>
      </c>
      <c r="C268" s="171" t="e">
        <f t="shared" si="32"/>
        <v>#NUM!</v>
      </c>
      <c r="D268" s="171" t="e">
        <f t="shared" si="35"/>
        <v>#NUM!</v>
      </c>
      <c r="E268" s="171" t="e">
        <f t="shared" si="36"/>
        <v>#NUM!</v>
      </c>
      <c r="F268" s="171" t="e">
        <f t="shared" si="37"/>
        <v>#NUM!</v>
      </c>
      <c r="G268" s="186">
        <f>IF('prijem - EUR'!$I$87=TRUE,IF($C$11&gt;0,0.00025*C267,0),IF('prijem - EUR'!$I$88=TRUE,IF('prijem - EUR'!$F$88&gt;0,0.00025*C267,0),0))</f>
        <v>0</v>
      </c>
      <c r="K268" s="89">
        <v>252</v>
      </c>
      <c r="L268" s="186" t="e">
        <f t="shared" si="41"/>
        <v>#DIV/0!</v>
      </c>
      <c r="M268" s="171" t="e">
        <f t="shared" si="33"/>
        <v>#DIV/0!</v>
      </c>
      <c r="N268" s="171" t="e">
        <f t="shared" si="34"/>
        <v>#DIV/0!</v>
      </c>
      <c r="O268" s="171" t="e">
        <f t="shared" si="38"/>
        <v>#DIV/0!</v>
      </c>
      <c r="P268" s="171" t="e">
        <f t="shared" si="39"/>
        <v>#DIV/0!</v>
      </c>
      <c r="Q268" s="186">
        <f>IF('prijem - EUR'!$I$87=TRUE,IF($C$11&gt;0,0.00025*M267,0),IF('prijem - EUR'!$I$88=TRUE,IF('prijem - EUR'!$F$88&gt;0,0.00025*M267*-1,0),0))</f>
        <v>0</v>
      </c>
    </row>
    <row r="269" spans="1:17" x14ac:dyDescent="0.2">
      <c r="A269" s="89">
        <v>253</v>
      </c>
      <c r="B269" s="186" t="e">
        <f t="shared" si="40"/>
        <v>#NUM!</v>
      </c>
      <c r="C269" s="171" t="e">
        <f t="shared" si="32"/>
        <v>#NUM!</v>
      </c>
      <c r="D269" s="171" t="e">
        <f t="shared" si="35"/>
        <v>#NUM!</v>
      </c>
      <c r="E269" s="171" t="e">
        <f t="shared" si="36"/>
        <v>#NUM!</v>
      </c>
      <c r="F269" s="171" t="e">
        <f t="shared" si="37"/>
        <v>#NUM!</v>
      </c>
      <c r="G269" s="186">
        <f>IF('prijem - EUR'!$I$87=TRUE,IF($C$11&gt;0,0.00025*C268,0),IF('prijem - EUR'!$I$88=TRUE,IF('prijem - EUR'!$F$88&gt;0,0.00025*C268,0),0))</f>
        <v>0</v>
      </c>
      <c r="K269" s="89">
        <v>253</v>
      </c>
      <c r="L269" s="186" t="e">
        <f t="shared" si="41"/>
        <v>#DIV/0!</v>
      </c>
      <c r="M269" s="171" t="e">
        <f t="shared" si="33"/>
        <v>#DIV/0!</v>
      </c>
      <c r="N269" s="171" t="e">
        <f t="shared" si="34"/>
        <v>#DIV/0!</v>
      </c>
      <c r="O269" s="171" t="e">
        <f t="shared" si="38"/>
        <v>#DIV/0!</v>
      </c>
      <c r="P269" s="171" t="e">
        <f t="shared" si="39"/>
        <v>#DIV/0!</v>
      </c>
      <c r="Q269" s="186">
        <f>IF('prijem - EUR'!$I$87=TRUE,IF($C$11&gt;0,0.00025*M268,0),IF('prijem - EUR'!$I$88=TRUE,IF('prijem - EUR'!$F$88&gt;0,0.00025*M268*-1,0),0))</f>
        <v>0</v>
      </c>
    </row>
    <row r="270" spans="1:17" x14ac:dyDescent="0.2">
      <c r="A270" s="89">
        <v>254</v>
      </c>
      <c r="B270" s="186" t="e">
        <f t="shared" si="40"/>
        <v>#NUM!</v>
      </c>
      <c r="C270" s="171" t="e">
        <f t="shared" si="32"/>
        <v>#NUM!</v>
      </c>
      <c r="D270" s="171" t="e">
        <f t="shared" si="35"/>
        <v>#NUM!</v>
      </c>
      <c r="E270" s="171" t="e">
        <f t="shared" si="36"/>
        <v>#NUM!</v>
      </c>
      <c r="F270" s="171" t="e">
        <f t="shared" si="37"/>
        <v>#NUM!</v>
      </c>
      <c r="G270" s="186">
        <f>IF('prijem - EUR'!$I$87=TRUE,IF($C$11&gt;0,0.00025*C269,0),IF('prijem - EUR'!$I$88=TRUE,IF('prijem - EUR'!$F$88&gt;0,0.00025*C269,0),0))</f>
        <v>0</v>
      </c>
      <c r="K270" s="89">
        <v>254</v>
      </c>
      <c r="L270" s="186" t="e">
        <f t="shared" si="41"/>
        <v>#DIV/0!</v>
      </c>
      <c r="M270" s="171" t="e">
        <f t="shared" si="33"/>
        <v>#DIV/0!</v>
      </c>
      <c r="N270" s="171" t="e">
        <f t="shared" si="34"/>
        <v>#DIV/0!</v>
      </c>
      <c r="O270" s="171" t="e">
        <f t="shared" si="38"/>
        <v>#DIV/0!</v>
      </c>
      <c r="P270" s="171" t="e">
        <f t="shared" si="39"/>
        <v>#DIV/0!</v>
      </c>
      <c r="Q270" s="186">
        <f>IF('prijem - EUR'!$I$87=TRUE,IF($C$11&gt;0,0.00025*M269,0),IF('prijem - EUR'!$I$88=TRUE,IF('prijem - EUR'!$F$88&gt;0,0.00025*M269*-1,0),0))</f>
        <v>0</v>
      </c>
    </row>
    <row r="271" spans="1:17" x14ac:dyDescent="0.2">
      <c r="A271" s="89">
        <v>255</v>
      </c>
      <c r="B271" s="186" t="e">
        <f t="shared" si="40"/>
        <v>#NUM!</v>
      </c>
      <c r="C271" s="171" t="e">
        <f t="shared" si="32"/>
        <v>#NUM!</v>
      </c>
      <c r="D271" s="171" t="e">
        <f t="shared" si="35"/>
        <v>#NUM!</v>
      </c>
      <c r="E271" s="171" t="e">
        <f t="shared" si="36"/>
        <v>#NUM!</v>
      </c>
      <c r="F271" s="171" t="e">
        <f t="shared" si="37"/>
        <v>#NUM!</v>
      </c>
      <c r="G271" s="186">
        <f>IF('prijem - EUR'!$I$87=TRUE,IF($C$11&gt;0,0.00025*C270,0),IF('prijem - EUR'!$I$88=TRUE,IF('prijem - EUR'!$F$88&gt;0,0.00025*C270,0),0))</f>
        <v>0</v>
      </c>
      <c r="K271" s="89">
        <v>255</v>
      </c>
      <c r="L271" s="186" t="e">
        <f t="shared" si="41"/>
        <v>#DIV/0!</v>
      </c>
      <c r="M271" s="171" t="e">
        <f t="shared" si="33"/>
        <v>#DIV/0!</v>
      </c>
      <c r="N271" s="171" t="e">
        <f t="shared" si="34"/>
        <v>#DIV/0!</v>
      </c>
      <c r="O271" s="171" t="e">
        <f t="shared" si="38"/>
        <v>#DIV/0!</v>
      </c>
      <c r="P271" s="171" t="e">
        <f t="shared" si="39"/>
        <v>#DIV/0!</v>
      </c>
      <c r="Q271" s="186">
        <f>IF('prijem - EUR'!$I$87=TRUE,IF($C$11&gt;0,0.00025*M270,0),IF('prijem - EUR'!$I$88=TRUE,IF('prijem - EUR'!$F$88&gt;0,0.00025*M270*-1,0),0))</f>
        <v>0</v>
      </c>
    </row>
    <row r="272" spans="1:17" x14ac:dyDescent="0.2">
      <c r="A272" s="89">
        <v>256</v>
      </c>
      <c r="B272" s="186" t="e">
        <f t="shared" si="40"/>
        <v>#NUM!</v>
      </c>
      <c r="C272" s="171" t="e">
        <f t="shared" si="32"/>
        <v>#NUM!</v>
      </c>
      <c r="D272" s="171" t="e">
        <f t="shared" si="35"/>
        <v>#NUM!</v>
      </c>
      <c r="E272" s="171" t="e">
        <f t="shared" si="36"/>
        <v>#NUM!</v>
      </c>
      <c r="F272" s="171" t="e">
        <f t="shared" si="37"/>
        <v>#NUM!</v>
      </c>
      <c r="G272" s="186">
        <f>IF('prijem - EUR'!$I$87=TRUE,IF($C$11&gt;0,0.00025*C271,0),IF('prijem - EUR'!$I$88=TRUE,IF('prijem - EUR'!$F$88&gt;0,0.00025*C271,0),0))</f>
        <v>0</v>
      </c>
      <c r="K272" s="89">
        <v>256</v>
      </c>
      <c r="L272" s="186" t="e">
        <f t="shared" si="41"/>
        <v>#DIV/0!</v>
      </c>
      <c r="M272" s="171" t="e">
        <f t="shared" si="33"/>
        <v>#DIV/0!</v>
      </c>
      <c r="N272" s="171" t="e">
        <f t="shared" si="34"/>
        <v>#DIV/0!</v>
      </c>
      <c r="O272" s="171" t="e">
        <f t="shared" si="38"/>
        <v>#DIV/0!</v>
      </c>
      <c r="P272" s="171" t="e">
        <f t="shared" si="39"/>
        <v>#DIV/0!</v>
      </c>
      <c r="Q272" s="186">
        <f>IF('prijem - EUR'!$I$87=TRUE,IF($C$11&gt;0,0.00025*M271,0),IF('prijem - EUR'!$I$88=TRUE,IF('prijem - EUR'!$F$88&gt;0,0.00025*M271*-1,0),0))</f>
        <v>0</v>
      </c>
    </row>
    <row r="273" spans="1:17" x14ac:dyDescent="0.2">
      <c r="A273" s="89">
        <v>257</v>
      </c>
      <c r="B273" s="186" t="e">
        <f t="shared" si="40"/>
        <v>#NUM!</v>
      </c>
      <c r="C273" s="171" t="e">
        <f t="shared" ref="C273:C336" si="42">MAX(C272-D273,0)</f>
        <v>#NUM!</v>
      </c>
      <c r="D273" s="171" t="e">
        <f t="shared" si="35"/>
        <v>#NUM!</v>
      </c>
      <c r="E273" s="171" t="e">
        <f t="shared" si="36"/>
        <v>#NUM!</v>
      </c>
      <c r="F273" s="171" t="e">
        <f t="shared" si="37"/>
        <v>#NUM!</v>
      </c>
      <c r="G273" s="186">
        <f>IF('prijem - EUR'!$I$87=TRUE,IF($C$11&gt;0,0.00025*C272,0),IF('prijem - EUR'!$I$88=TRUE,IF('prijem - EUR'!$F$88&gt;0,0.00025*C272,0),0))</f>
        <v>0</v>
      </c>
      <c r="K273" s="89">
        <v>257</v>
      </c>
      <c r="L273" s="186" t="e">
        <f t="shared" si="41"/>
        <v>#DIV/0!</v>
      </c>
      <c r="M273" s="171" t="e">
        <f t="shared" ref="M273:M336" si="43">MAX(M272-N273,0)</f>
        <v>#DIV/0!</v>
      </c>
      <c r="N273" s="171" t="e">
        <f t="shared" ref="N273:N336" si="44">$M$16/$M$5</f>
        <v>#DIV/0!</v>
      </c>
      <c r="O273" s="171" t="e">
        <f t="shared" si="38"/>
        <v>#DIV/0!</v>
      </c>
      <c r="P273" s="171" t="e">
        <f t="shared" si="39"/>
        <v>#DIV/0!</v>
      </c>
      <c r="Q273" s="186">
        <f>IF('prijem - EUR'!$I$87=TRUE,IF($C$11&gt;0,0.00025*M272,0),IF('prijem - EUR'!$I$88=TRUE,IF('prijem - EUR'!$F$88&gt;0,0.00025*M272*-1,0),0))</f>
        <v>0</v>
      </c>
    </row>
    <row r="274" spans="1:17" x14ac:dyDescent="0.2">
      <c r="A274" s="89">
        <v>258</v>
      </c>
      <c r="B274" s="186" t="e">
        <f t="shared" si="40"/>
        <v>#NUM!</v>
      </c>
      <c r="C274" s="171" t="e">
        <f t="shared" si="42"/>
        <v>#NUM!</v>
      </c>
      <c r="D274" s="171" t="e">
        <f t="shared" ref="D274:D337" si="45">(F274-E274)*-1</f>
        <v>#NUM!</v>
      </c>
      <c r="E274" s="171" t="e">
        <f t="shared" ref="E274:E337" si="46">IPMT($C$4/12,1,$C$5,C273)</f>
        <v>#NUM!</v>
      </c>
      <c r="F274" s="171" t="e">
        <f t="shared" ref="F274:F337" si="47">PMT($C$4/12,$C$5,$C$3)</f>
        <v>#NUM!</v>
      </c>
      <c r="G274" s="186">
        <f>IF('prijem - EUR'!$I$87=TRUE,IF($C$11&gt;0,0.00025*C273,0),IF('prijem - EUR'!$I$88=TRUE,IF('prijem - EUR'!$F$88&gt;0,0.00025*C273,0),0))</f>
        <v>0</v>
      </c>
      <c r="K274" s="89">
        <v>258</v>
      </c>
      <c r="L274" s="186" t="e">
        <f t="shared" si="41"/>
        <v>#DIV/0!</v>
      </c>
      <c r="M274" s="171" t="e">
        <f t="shared" si="43"/>
        <v>#DIV/0!</v>
      </c>
      <c r="N274" s="171" t="e">
        <f t="shared" si="44"/>
        <v>#DIV/0!</v>
      </c>
      <c r="O274" s="171" t="e">
        <f t="shared" ref="O274:O337" si="48">M273*$M$4/12</f>
        <v>#DIV/0!</v>
      </c>
      <c r="P274" s="171" t="e">
        <f t="shared" ref="P274:P337" si="49">O274+N274</f>
        <v>#DIV/0!</v>
      </c>
      <c r="Q274" s="186">
        <f>IF('prijem - EUR'!$I$87=TRUE,IF($C$11&gt;0,0.00025*M273,0),IF('prijem - EUR'!$I$88=TRUE,IF('prijem - EUR'!$F$88&gt;0,0.00025*M273*-1,0),0))</f>
        <v>0</v>
      </c>
    </row>
    <row r="275" spans="1:17" x14ac:dyDescent="0.2">
      <c r="A275" s="89">
        <v>259</v>
      </c>
      <c r="B275" s="186" t="e">
        <f t="shared" si="40"/>
        <v>#NUM!</v>
      </c>
      <c r="C275" s="171" t="e">
        <f t="shared" si="42"/>
        <v>#NUM!</v>
      </c>
      <c r="D275" s="171" t="e">
        <f t="shared" si="45"/>
        <v>#NUM!</v>
      </c>
      <c r="E275" s="171" t="e">
        <f t="shared" si="46"/>
        <v>#NUM!</v>
      </c>
      <c r="F275" s="171" t="e">
        <f t="shared" si="47"/>
        <v>#NUM!</v>
      </c>
      <c r="G275" s="186">
        <f>IF('prijem - EUR'!$I$87=TRUE,IF($C$11&gt;0,0.00025*C274,0),IF('prijem - EUR'!$I$88=TRUE,IF('prijem - EUR'!$F$88&gt;0,0.00025*C274,0),0))</f>
        <v>0</v>
      </c>
      <c r="K275" s="89">
        <v>259</v>
      </c>
      <c r="L275" s="186" t="e">
        <f t="shared" si="41"/>
        <v>#DIV/0!</v>
      </c>
      <c r="M275" s="171" t="e">
        <f t="shared" si="43"/>
        <v>#DIV/0!</v>
      </c>
      <c r="N275" s="171" t="e">
        <f t="shared" si="44"/>
        <v>#DIV/0!</v>
      </c>
      <c r="O275" s="171" t="e">
        <f t="shared" si="48"/>
        <v>#DIV/0!</v>
      </c>
      <c r="P275" s="171" t="e">
        <f t="shared" si="49"/>
        <v>#DIV/0!</v>
      </c>
      <c r="Q275" s="186">
        <f>IF('prijem - EUR'!$I$87=TRUE,IF($C$11&gt;0,0.00025*M274,0),IF('prijem - EUR'!$I$88=TRUE,IF('prijem - EUR'!$F$88&gt;0,0.00025*M274*-1,0),0))</f>
        <v>0</v>
      </c>
    </row>
    <row r="276" spans="1:17" x14ac:dyDescent="0.2">
      <c r="A276" s="89">
        <v>260</v>
      </c>
      <c r="B276" s="186" t="e">
        <f t="shared" si="40"/>
        <v>#NUM!</v>
      </c>
      <c r="C276" s="171" t="e">
        <f t="shared" si="42"/>
        <v>#NUM!</v>
      </c>
      <c r="D276" s="171" t="e">
        <f t="shared" si="45"/>
        <v>#NUM!</v>
      </c>
      <c r="E276" s="171" t="e">
        <f t="shared" si="46"/>
        <v>#NUM!</v>
      </c>
      <c r="F276" s="171" t="e">
        <f t="shared" si="47"/>
        <v>#NUM!</v>
      </c>
      <c r="G276" s="186">
        <f>IF('prijem - EUR'!$I$87=TRUE,IF($C$11&gt;0,0.00025*C275,0),IF('prijem - EUR'!$I$88=TRUE,IF('prijem - EUR'!$F$88&gt;0,0.00025*C275,0),0))</f>
        <v>0</v>
      </c>
      <c r="K276" s="89">
        <v>260</v>
      </c>
      <c r="L276" s="186" t="e">
        <f t="shared" si="41"/>
        <v>#DIV/0!</v>
      </c>
      <c r="M276" s="171" t="e">
        <f t="shared" si="43"/>
        <v>#DIV/0!</v>
      </c>
      <c r="N276" s="171" t="e">
        <f t="shared" si="44"/>
        <v>#DIV/0!</v>
      </c>
      <c r="O276" s="171" t="e">
        <f t="shared" si="48"/>
        <v>#DIV/0!</v>
      </c>
      <c r="P276" s="171" t="e">
        <f t="shared" si="49"/>
        <v>#DIV/0!</v>
      </c>
      <c r="Q276" s="186">
        <f>IF('prijem - EUR'!$I$87=TRUE,IF($C$11&gt;0,0.00025*M275,0),IF('prijem - EUR'!$I$88=TRUE,IF('prijem - EUR'!$F$88&gt;0,0.00025*M275*-1,0),0))</f>
        <v>0</v>
      </c>
    </row>
    <row r="277" spans="1:17" x14ac:dyDescent="0.2">
      <c r="A277" s="89">
        <v>261</v>
      </c>
      <c r="B277" s="186" t="e">
        <f t="shared" si="40"/>
        <v>#NUM!</v>
      </c>
      <c r="C277" s="171" t="e">
        <f t="shared" si="42"/>
        <v>#NUM!</v>
      </c>
      <c r="D277" s="171" t="e">
        <f t="shared" si="45"/>
        <v>#NUM!</v>
      </c>
      <c r="E277" s="171" t="e">
        <f t="shared" si="46"/>
        <v>#NUM!</v>
      </c>
      <c r="F277" s="171" t="e">
        <f t="shared" si="47"/>
        <v>#NUM!</v>
      </c>
      <c r="G277" s="186">
        <f>IF('prijem - EUR'!$I$87=TRUE,IF($C$11&gt;0,0.00025*C276,0),IF('prijem - EUR'!$I$88=TRUE,IF('prijem - EUR'!$F$88&gt;0,0.00025*C276,0),0))</f>
        <v>0</v>
      </c>
      <c r="K277" s="89">
        <v>261</v>
      </c>
      <c r="L277" s="186" t="e">
        <f t="shared" si="41"/>
        <v>#DIV/0!</v>
      </c>
      <c r="M277" s="171" t="e">
        <f t="shared" si="43"/>
        <v>#DIV/0!</v>
      </c>
      <c r="N277" s="171" t="e">
        <f t="shared" si="44"/>
        <v>#DIV/0!</v>
      </c>
      <c r="O277" s="171" t="e">
        <f t="shared" si="48"/>
        <v>#DIV/0!</v>
      </c>
      <c r="P277" s="171" t="e">
        <f t="shared" si="49"/>
        <v>#DIV/0!</v>
      </c>
      <c r="Q277" s="186">
        <f>IF('prijem - EUR'!$I$87=TRUE,IF($C$11&gt;0,0.00025*M276,0),IF('prijem - EUR'!$I$88=TRUE,IF('prijem - EUR'!$F$88&gt;0,0.00025*M276*-1,0),0))</f>
        <v>0</v>
      </c>
    </row>
    <row r="278" spans="1:17" x14ac:dyDescent="0.2">
      <c r="A278" s="89">
        <v>262</v>
      </c>
      <c r="B278" s="186" t="e">
        <f t="shared" si="40"/>
        <v>#NUM!</v>
      </c>
      <c r="C278" s="171" t="e">
        <f t="shared" si="42"/>
        <v>#NUM!</v>
      </c>
      <c r="D278" s="171" t="e">
        <f t="shared" si="45"/>
        <v>#NUM!</v>
      </c>
      <c r="E278" s="171" t="e">
        <f t="shared" si="46"/>
        <v>#NUM!</v>
      </c>
      <c r="F278" s="171" t="e">
        <f t="shared" si="47"/>
        <v>#NUM!</v>
      </c>
      <c r="G278" s="186">
        <f>IF('prijem - EUR'!$I$87=TRUE,IF($C$11&gt;0,0.00025*C277,0),IF('prijem - EUR'!$I$88=TRUE,IF('prijem - EUR'!$F$88&gt;0,0.00025*C277,0),0))</f>
        <v>0</v>
      </c>
      <c r="K278" s="89">
        <v>262</v>
      </c>
      <c r="L278" s="186" t="e">
        <f t="shared" si="41"/>
        <v>#DIV/0!</v>
      </c>
      <c r="M278" s="171" t="e">
        <f t="shared" si="43"/>
        <v>#DIV/0!</v>
      </c>
      <c r="N278" s="171" t="e">
        <f t="shared" si="44"/>
        <v>#DIV/0!</v>
      </c>
      <c r="O278" s="171" t="e">
        <f t="shared" si="48"/>
        <v>#DIV/0!</v>
      </c>
      <c r="P278" s="171" t="e">
        <f t="shared" si="49"/>
        <v>#DIV/0!</v>
      </c>
      <c r="Q278" s="186">
        <f>IF('prijem - EUR'!$I$87=TRUE,IF($C$11&gt;0,0.00025*M277,0),IF('prijem - EUR'!$I$88=TRUE,IF('prijem - EUR'!$F$88&gt;0,0.00025*M277*-1,0),0))</f>
        <v>0</v>
      </c>
    </row>
    <row r="279" spans="1:17" x14ac:dyDescent="0.2">
      <c r="A279" s="89">
        <v>263</v>
      </c>
      <c r="B279" s="186" t="e">
        <f t="shared" si="40"/>
        <v>#NUM!</v>
      </c>
      <c r="C279" s="171" t="e">
        <f t="shared" si="42"/>
        <v>#NUM!</v>
      </c>
      <c r="D279" s="171" t="e">
        <f t="shared" si="45"/>
        <v>#NUM!</v>
      </c>
      <c r="E279" s="171" t="e">
        <f t="shared" si="46"/>
        <v>#NUM!</v>
      </c>
      <c r="F279" s="171" t="e">
        <f t="shared" si="47"/>
        <v>#NUM!</v>
      </c>
      <c r="G279" s="186">
        <f>IF('prijem - EUR'!$I$87=TRUE,IF($C$11&gt;0,0.00025*C278,0),IF('prijem - EUR'!$I$88=TRUE,IF('prijem - EUR'!$F$88&gt;0,0.00025*C278,0),0))</f>
        <v>0</v>
      </c>
      <c r="K279" s="89">
        <v>263</v>
      </c>
      <c r="L279" s="186" t="e">
        <f t="shared" si="41"/>
        <v>#DIV/0!</v>
      </c>
      <c r="M279" s="171" t="e">
        <f t="shared" si="43"/>
        <v>#DIV/0!</v>
      </c>
      <c r="N279" s="171" t="e">
        <f t="shared" si="44"/>
        <v>#DIV/0!</v>
      </c>
      <c r="O279" s="171" t="e">
        <f t="shared" si="48"/>
        <v>#DIV/0!</v>
      </c>
      <c r="P279" s="171" t="e">
        <f t="shared" si="49"/>
        <v>#DIV/0!</v>
      </c>
      <c r="Q279" s="186">
        <f>IF('prijem - EUR'!$I$87=TRUE,IF($C$11&gt;0,0.00025*M278,0),IF('prijem - EUR'!$I$88=TRUE,IF('prijem - EUR'!$F$88&gt;0,0.00025*M278*-1,0),0))</f>
        <v>0</v>
      </c>
    </row>
    <row r="280" spans="1:17" x14ac:dyDescent="0.2">
      <c r="A280" s="89">
        <v>264</v>
      </c>
      <c r="B280" s="186" t="e">
        <f t="shared" si="40"/>
        <v>#NUM!</v>
      </c>
      <c r="C280" s="171" t="e">
        <f t="shared" si="42"/>
        <v>#NUM!</v>
      </c>
      <c r="D280" s="171" t="e">
        <f t="shared" si="45"/>
        <v>#NUM!</v>
      </c>
      <c r="E280" s="171" t="e">
        <f t="shared" si="46"/>
        <v>#NUM!</v>
      </c>
      <c r="F280" s="171" t="e">
        <f t="shared" si="47"/>
        <v>#NUM!</v>
      </c>
      <c r="G280" s="186">
        <f>IF('prijem - EUR'!$I$87=TRUE,IF($C$11&gt;0,0.00025*C279,0),IF('prijem - EUR'!$I$88=TRUE,IF('prijem - EUR'!$F$88&gt;0,0.00025*C279,0),0))</f>
        <v>0</v>
      </c>
      <c r="K280" s="89">
        <v>264</v>
      </c>
      <c r="L280" s="186" t="e">
        <f t="shared" si="41"/>
        <v>#DIV/0!</v>
      </c>
      <c r="M280" s="171" t="e">
        <f t="shared" si="43"/>
        <v>#DIV/0!</v>
      </c>
      <c r="N280" s="171" t="e">
        <f t="shared" si="44"/>
        <v>#DIV/0!</v>
      </c>
      <c r="O280" s="171" t="e">
        <f t="shared" si="48"/>
        <v>#DIV/0!</v>
      </c>
      <c r="P280" s="171" t="e">
        <f t="shared" si="49"/>
        <v>#DIV/0!</v>
      </c>
      <c r="Q280" s="186">
        <f>IF('prijem - EUR'!$I$87=TRUE,IF($C$11&gt;0,0.00025*M279,0),IF('prijem - EUR'!$I$88=TRUE,IF('prijem - EUR'!$F$88&gt;0,0.00025*M279*-1,0),0))</f>
        <v>0</v>
      </c>
    </row>
    <row r="281" spans="1:17" x14ac:dyDescent="0.2">
      <c r="A281" s="89">
        <v>265</v>
      </c>
      <c r="B281" s="186" t="e">
        <f t="shared" si="40"/>
        <v>#NUM!</v>
      </c>
      <c r="C281" s="171" t="e">
        <f t="shared" si="42"/>
        <v>#NUM!</v>
      </c>
      <c r="D281" s="171" t="e">
        <f t="shared" si="45"/>
        <v>#NUM!</v>
      </c>
      <c r="E281" s="171" t="e">
        <f t="shared" si="46"/>
        <v>#NUM!</v>
      </c>
      <c r="F281" s="171" t="e">
        <f t="shared" si="47"/>
        <v>#NUM!</v>
      </c>
      <c r="G281" s="186">
        <f>IF('prijem - EUR'!$I$87=TRUE,IF($C$11&gt;0,0.00025*C280,0),IF('prijem - EUR'!$I$88=TRUE,IF('prijem - EUR'!$F$88&gt;0,0.00025*C280,0),0))</f>
        <v>0</v>
      </c>
      <c r="K281" s="89">
        <v>265</v>
      </c>
      <c r="L281" s="186" t="e">
        <f t="shared" si="41"/>
        <v>#DIV/0!</v>
      </c>
      <c r="M281" s="171" t="e">
        <f t="shared" si="43"/>
        <v>#DIV/0!</v>
      </c>
      <c r="N281" s="171" t="e">
        <f t="shared" si="44"/>
        <v>#DIV/0!</v>
      </c>
      <c r="O281" s="171" t="e">
        <f t="shared" si="48"/>
        <v>#DIV/0!</v>
      </c>
      <c r="P281" s="171" t="e">
        <f t="shared" si="49"/>
        <v>#DIV/0!</v>
      </c>
      <c r="Q281" s="186">
        <f>IF('prijem - EUR'!$I$87=TRUE,IF($C$11&gt;0,0.00025*M280,0),IF('prijem - EUR'!$I$88=TRUE,IF('prijem - EUR'!$F$88&gt;0,0.00025*M280*-1,0),0))</f>
        <v>0</v>
      </c>
    </row>
    <row r="282" spans="1:17" x14ac:dyDescent="0.2">
      <c r="A282" s="89">
        <v>266</v>
      </c>
      <c r="B282" s="186" t="e">
        <f t="shared" si="40"/>
        <v>#NUM!</v>
      </c>
      <c r="C282" s="171" t="e">
        <f t="shared" si="42"/>
        <v>#NUM!</v>
      </c>
      <c r="D282" s="171" t="e">
        <f t="shared" si="45"/>
        <v>#NUM!</v>
      </c>
      <c r="E282" s="171" t="e">
        <f t="shared" si="46"/>
        <v>#NUM!</v>
      </c>
      <c r="F282" s="171" t="e">
        <f t="shared" si="47"/>
        <v>#NUM!</v>
      </c>
      <c r="G282" s="186">
        <f>IF('prijem - EUR'!$I$87=TRUE,IF($C$11&gt;0,0.00025*C281,0),IF('prijem - EUR'!$I$88=TRUE,IF('prijem - EUR'!$F$88&gt;0,0.00025*C281,0),0))</f>
        <v>0</v>
      </c>
      <c r="K282" s="89">
        <v>266</v>
      </c>
      <c r="L282" s="186" t="e">
        <f t="shared" si="41"/>
        <v>#DIV/0!</v>
      </c>
      <c r="M282" s="171" t="e">
        <f t="shared" si="43"/>
        <v>#DIV/0!</v>
      </c>
      <c r="N282" s="171" t="e">
        <f t="shared" si="44"/>
        <v>#DIV/0!</v>
      </c>
      <c r="O282" s="171" t="e">
        <f t="shared" si="48"/>
        <v>#DIV/0!</v>
      </c>
      <c r="P282" s="171" t="e">
        <f t="shared" si="49"/>
        <v>#DIV/0!</v>
      </c>
      <c r="Q282" s="186">
        <f>IF('prijem - EUR'!$I$87=TRUE,IF($C$11&gt;0,0.00025*M281,0),IF('prijem - EUR'!$I$88=TRUE,IF('prijem - EUR'!$F$88&gt;0,0.00025*M281*-1,0),0))</f>
        <v>0</v>
      </c>
    </row>
    <row r="283" spans="1:17" x14ac:dyDescent="0.2">
      <c r="A283" s="89">
        <v>267</v>
      </c>
      <c r="B283" s="186" t="e">
        <f t="shared" si="40"/>
        <v>#NUM!</v>
      </c>
      <c r="C283" s="171" t="e">
        <f t="shared" si="42"/>
        <v>#NUM!</v>
      </c>
      <c r="D283" s="171" t="e">
        <f t="shared" si="45"/>
        <v>#NUM!</v>
      </c>
      <c r="E283" s="171" t="e">
        <f t="shared" si="46"/>
        <v>#NUM!</v>
      </c>
      <c r="F283" s="171" t="e">
        <f t="shared" si="47"/>
        <v>#NUM!</v>
      </c>
      <c r="G283" s="186">
        <f>IF('prijem - EUR'!$I$87=TRUE,IF($C$11&gt;0,0.00025*C282,0),IF('prijem - EUR'!$I$88=TRUE,IF('prijem - EUR'!$F$88&gt;0,0.00025*C282,0),0))</f>
        <v>0</v>
      </c>
      <c r="K283" s="89">
        <v>267</v>
      </c>
      <c r="L283" s="186" t="e">
        <f t="shared" si="41"/>
        <v>#DIV/0!</v>
      </c>
      <c r="M283" s="171" t="e">
        <f t="shared" si="43"/>
        <v>#DIV/0!</v>
      </c>
      <c r="N283" s="171" t="e">
        <f t="shared" si="44"/>
        <v>#DIV/0!</v>
      </c>
      <c r="O283" s="171" t="e">
        <f t="shared" si="48"/>
        <v>#DIV/0!</v>
      </c>
      <c r="P283" s="171" t="e">
        <f t="shared" si="49"/>
        <v>#DIV/0!</v>
      </c>
      <c r="Q283" s="186">
        <f>IF('prijem - EUR'!$I$87=TRUE,IF($C$11&gt;0,0.00025*M282,0),IF('prijem - EUR'!$I$88=TRUE,IF('prijem - EUR'!$F$88&gt;0,0.00025*M282*-1,0),0))</f>
        <v>0</v>
      </c>
    </row>
    <row r="284" spans="1:17" x14ac:dyDescent="0.2">
      <c r="A284" s="89">
        <v>268</v>
      </c>
      <c r="B284" s="186" t="e">
        <f t="shared" si="40"/>
        <v>#NUM!</v>
      </c>
      <c r="C284" s="171" t="e">
        <f t="shared" si="42"/>
        <v>#NUM!</v>
      </c>
      <c r="D284" s="171" t="e">
        <f t="shared" si="45"/>
        <v>#NUM!</v>
      </c>
      <c r="E284" s="171" t="e">
        <f t="shared" si="46"/>
        <v>#NUM!</v>
      </c>
      <c r="F284" s="171" t="e">
        <f t="shared" si="47"/>
        <v>#NUM!</v>
      </c>
      <c r="G284" s="186">
        <f>IF('prijem - EUR'!$I$87=TRUE,IF($C$11&gt;0,0.00025*C283,0),IF('prijem - EUR'!$I$88=TRUE,IF('prijem - EUR'!$F$88&gt;0,0.00025*C283,0),0))</f>
        <v>0</v>
      </c>
      <c r="K284" s="89">
        <v>268</v>
      </c>
      <c r="L284" s="186" t="e">
        <f t="shared" si="41"/>
        <v>#DIV/0!</v>
      </c>
      <c r="M284" s="171" t="e">
        <f t="shared" si="43"/>
        <v>#DIV/0!</v>
      </c>
      <c r="N284" s="171" t="e">
        <f t="shared" si="44"/>
        <v>#DIV/0!</v>
      </c>
      <c r="O284" s="171" t="e">
        <f t="shared" si="48"/>
        <v>#DIV/0!</v>
      </c>
      <c r="P284" s="171" t="e">
        <f t="shared" si="49"/>
        <v>#DIV/0!</v>
      </c>
      <c r="Q284" s="186">
        <f>IF('prijem - EUR'!$I$87=TRUE,IF($C$11&gt;0,0.00025*M283,0),IF('prijem - EUR'!$I$88=TRUE,IF('prijem - EUR'!$F$88&gt;0,0.00025*M283*-1,0),0))</f>
        <v>0</v>
      </c>
    </row>
    <row r="285" spans="1:17" x14ac:dyDescent="0.2">
      <c r="A285" s="89">
        <v>269</v>
      </c>
      <c r="B285" s="186" t="e">
        <f t="shared" si="40"/>
        <v>#NUM!</v>
      </c>
      <c r="C285" s="171" t="e">
        <f t="shared" si="42"/>
        <v>#NUM!</v>
      </c>
      <c r="D285" s="171" t="e">
        <f t="shared" si="45"/>
        <v>#NUM!</v>
      </c>
      <c r="E285" s="171" t="e">
        <f t="shared" si="46"/>
        <v>#NUM!</v>
      </c>
      <c r="F285" s="171" t="e">
        <f t="shared" si="47"/>
        <v>#NUM!</v>
      </c>
      <c r="G285" s="186">
        <f>IF('prijem - EUR'!$I$87=TRUE,IF($C$11&gt;0,0.00025*C284,0),IF('prijem - EUR'!$I$88=TRUE,IF('prijem - EUR'!$F$88&gt;0,0.00025*C284,0),0))</f>
        <v>0</v>
      </c>
      <c r="K285" s="89">
        <v>269</v>
      </c>
      <c r="L285" s="186" t="e">
        <f t="shared" si="41"/>
        <v>#DIV/0!</v>
      </c>
      <c r="M285" s="171" t="e">
        <f t="shared" si="43"/>
        <v>#DIV/0!</v>
      </c>
      <c r="N285" s="171" t="e">
        <f t="shared" si="44"/>
        <v>#DIV/0!</v>
      </c>
      <c r="O285" s="171" t="e">
        <f t="shared" si="48"/>
        <v>#DIV/0!</v>
      </c>
      <c r="P285" s="171" t="e">
        <f t="shared" si="49"/>
        <v>#DIV/0!</v>
      </c>
      <c r="Q285" s="186">
        <f>IF('prijem - EUR'!$I$87=TRUE,IF($C$11&gt;0,0.00025*M284,0),IF('prijem - EUR'!$I$88=TRUE,IF('prijem - EUR'!$F$88&gt;0,0.00025*M284*-1,0),0))</f>
        <v>0</v>
      </c>
    </row>
    <row r="286" spans="1:17" x14ac:dyDescent="0.2">
      <c r="A286" s="89">
        <v>270</v>
      </c>
      <c r="B286" s="186" t="e">
        <f t="shared" si="40"/>
        <v>#NUM!</v>
      </c>
      <c r="C286" s="171" t="e">
        <f t="shared" si="42"/>
        <v>#NUM!</v>
      </c>
      <c r="D286" s="171" t="e">
        <f t="shared" si="45"/>
        <v>#NUM!</v>
      </c>
      <c r="E286" s="171" t="e">
        <f t="shared" si="46"/>
        <v>#NUM!</v>
      </c>
      <c r="F286" s="171" t="e">
        <f t="shared" si="47"/>
        <v>#NUM!</v>
      </c>
      <c r="G286" s="186">
        <f>IF('prijem - EUR'!$I$87=TRUE,IF($C$11&gt;0,0.00025*C285,0),IF('prijem - EUR'!$I$88=TRUE,IF('prijem - EUR'!$F$88&gt;0,0.00025*C285,0),0))</f>
        <v>0</v>
      </c>
      <c r="K286" s="89">
        <v>270</v>
      </c>
      <c r="L286" s="186" t="e">
        <f t="shared" si="41"/>
        <v>#DIV/0!</v>
      </c>
      <c r="M286" s="171" t="e">
        <f t="shared" si="43"/>
        <v>#DIV/0!</v>
      </c>
      <c r="N286" s="171" t="e">
        <f t="shared" si="44"/>
        <v>#DIV/0!</v>
      </c>
      <c r="O286" s="171" t="e">
        <f t="shared" si="48"/>
        <v>#DIV/0!</v>
      </c>
      <c r="P286" s="171" t="e">
        <f t="shared" si="49"/>
        <v>#DIV/0!</v>
      </c>
      <c r="Q286" s="186">
        <f>IF('prijem - EUR'!$I$87=TRUE,IF($C$11&gt;0,0.00025*M285,0),IF('prijem - EUR'!$I$88=TRUE,IF('prijem - EUR'!$F$88&gt;0,0.00025*M285*-1,0),0))</f>
        <v>0</v>
      </c>
    </row>
    <row r="287" spans="1:17" x14ac:dyDescent="0.2">
      <c r="A287" s="89">
        <v>271</v>
      </c>
      <c r="B287" s="186" t="e">
        <f t="shared" si="40"/>
        <v>#NUM!</v>
      </c>
      <c r="C287" s="171" t="e">
        <f t="shared" si="42"/>
        <v>#NUM!</v>
      </c>
      <c r="D287" s="171" t="e">
        <f t="shared" si="45"/>
        <v>#NUM!</v>
      </c>
      <c r="E287" s="171" t="e">
        <f t="shared" si="46"/>
        <v>#NUM!</v>
      </c>
      <c r="F287" s="171" t="e">
        <f t="shared" si="47"/>
        <v>#NUM!</v>
      </c>
      <c r="G287" s="186">
        <f>IF('prijem - EUR'!$I$87=TRUE,IF($C$11&gt;0,0.00025*C286,0),IF('prijem - EUR'!$I$88=TRUE,IF('prijem - EUR'!$F$88&gt;0,0.00025*C286,0),0))</f>
        <v>0</v>
      </c>
      <c r="K287" s="89">
        <v>271</v>
      </c>
      <c r="L287" s="186" t="e">
        <f t="shared" si="41"/>
        <v>#DIV/0!</v>
      </c>
      <c r="M287" s="171" t="e">
        <f t="shared" si="43"/>
        <v>#DIV/0!</v>
      </c>
      <c r="N287" s="171" t="e">
        <f t="shared" si="44"/>
        <v>#DIV/0!</v>
      </c>
      <c r="O287" s="171" t="e">
        <f t="shared" si="48"/>
        <v>#DIV/0!</v>
      </c>
      <c r="P287" s="171" t="e">
        <f t="shared" si="49"/>
        <v>#DIV/0!</v>
      </c>
      <c r="Q287" s="186">
        <f>IF('prijem - EUR'!$I$87=TRUE,IF($C$11&gt;0,0.00025*M286,0),IF('prijem - EUR'!$I$88=TRUE,IF('prijem - EUR'!$F$88&gt;0,0.00025*M286*-1,0),0))</f>
        <v>0</v>
      </c>
    </row>
    <row r="288" spans="1:17" x14ac:dyDescent="0.2">
      <c r="A288" s="89">
        <v>272</v>
      </c>
      <c r="B288" s="186" t="e">
        <f t="shared" si="40"/>
        <v>#NUM!</v>
      </c>
      <c r="C288" s="171" t="e">
        <f t="shared" si="42"/>
        <v>#NUM!</v>
      </c>
      <c r="D288" s="171" t="e">
        <f t="shared" si="45"/>
        <v>#NUM!</v>
      </c>
      <c r="E288" s="171" t="e">
        <f t="shared" si="46"/>
        <v>#NUM!</v>
      </c>
      <c r="F288" s="171" t="e">
        <f t="shared" si="47"/>
        <v>#NUM!</v>
      </c>
      <c r="G288" s="186">
        <f>IF('prijem - EUR'!$I$87=TRUE,IF($C$11&gt;0,0.00025*C287,0),IF('prijem - EUR'!$I$88=TRUE,IF('prijem - EUR'!$F$88&gt;0,0.00025*C287,0),0))</f>
        <v>0</v>
      </c>
      <c r="K288" s="89">
        <v>272</v>
      </c>
      <c r="L288" s="186" t="e">
        <f t="shared" si="41"/>
        <v>#DIV/0!</v>
      </c>
      <c r="M288" s="171" t="e">
        <f t="shared" si="43"/>
        <v>#DIV/0!</v>
      </c>
      <c r="N288" s="171" t="e">
        <f t="shared" si="44"/>
        <v>#DIV/0!</v>
      </c>
      <c r="O288" s="171" t="e">
        <f t="shared" si="48"/>
        <v>#DIV/0!</v>
      </c>
      <c r="P288" s="171" t="e">
        <f t="shared" si="49"/>
        <v>#DIV/0!</v>
      </c>
      <c r="Q288" s="186">
        <f>IF('prijem - EUR'!$I$87=TRUE,IF($C$11&gt;0,0.00025*M287,0),IF('prijem - EUR'!$I$88=TRUE,IF('prijem - EUR'!$F$88&gt;0,0.00025*M287*-1,0),0))</f>
        <v>0</v>
      </c>
    </row>
    <row r="289" spans="1:17" x14ac:dyDescent="0.2">
      <c r="A289" s="89">
        <v>273</v>
      </c>
      <c r="B289" s="186" t="e">
        <f t="shared" si="40"/>
        <v>#NUM!</v>
      </c>
      <c r="C289" s="171" t="e">
        <f t="shared" si="42"/>
        <v>#NUM!</v>
      </c>
      <c r="D289" s="171" t="e">
        <f t="shared" si="45"/>
        <v>#NUM!</v>
      </c>
      <c r="E289" s="171" t="e">
        <f t="shared" si="46"/>
        <v>#NUM!</v>
      </c>
      <c r="F289" s="171" t="e">
        <f t="shared" si="47"/>
        <v>#NUM!</v>
      </c>
      <c r="G289" s="186">
        <f>IF('prijem - EUR'!$I$87=TRUE,IF($C$11&gt;0,0.00025*C288,0),IF('prijem - EUR'!$I$88=TRUE,IF('prijem - EUR'!$F$88&gt;0,0.00025*C288,0),0))</f>
        <v>0</v>
      </c>
      <c r="K289" s="89">
        <v>273</v>
      </c>
      <c r="L289" s="186" t="e">
        <f t="shared" si="41"/>
        <v>#DIV/0!</v>
      </c>
      <c r="M289" s="171" t="e">
        <f t="shared" si="43"/>
        <v>#DIV/0!</v>
      </c>
      <c r="N289" s="171" t="e">
        <f t="shared" si="44"/>
        <v>#DIV/0!</v>
      </c>
      <c r="O289" s="171" t="e">
        <f t="shared" si="48"/>
        <v>#DIV/0!</v>
      </c>
      <c r="P289" s="171" t="e">
        <f t="shared" si="49"/>
        <v>#DIV/0!</v>
      </c>
      <c r="Q289" s="186">
        <f>IF('prijem - EUR'!$I$87=TRUE,IF($C$11&gt;0,0.00025*M288,0),IF('prijem - EUR'!$I$88=TRUE,IF('prijem - EUR'!$F$88&gt;0,0.00025*M288*-1,0),0))</f>
        <v>0</v>
      </c>
    </row>
    <row r="290" spans="1:17" x14ac:dyDescent="0.2">
      <c r="A290" s="89">
        <v>274</v>
      </c>
      <c r="B290" s="186" t="e">
        <f t="shared" si="40"/>
        <v>#NUM!</v>
      </c>
      <c r="C290" s="171" t="e">
        <f t="shared" si="42"/>
        <v>#NUM!</v>
      </c>
      <c r="D290" s="171" t="e">
        <f t="shared" si="45"/>
        <v>#NUM!</v>
      </c>
      <c r="E290" s="171" t="e">
        <f t="shared" si="46"/>
        <v>#NUM!</v>
      </c>
      <c r="F290" s="171" t="e">
        <f t="shared" si="47"/>
        <v>#NUM!</v>
      </c>
      <c r="G290" s="186">
        <f>IF('prijem - EUR'!$I$87=TRUE,IF($C$11&gt;0,0.00025*C289,0),IF('prijem - EUR'!$I$88=TRUE,IF('prijem - EUR'!$F$88&gt;0,0.00025*C289,0),0))</f>
        <v>0</v>
      </c>
      <c r="K290" s="89">
        <v>274</v>
      </c>
      <c r="L290" s="186" t="e">
        <f t="shared" si="41"/>
        <v>#DIV/0!</v>
      </c>
      <c r="M290" s="171" t="e">
        <f t="shared" si="43"/>
        <v>#DIV/0!</v>
      </c>
      <c r="N290" s="171" t="e">
        <f t="shared" si="44"/>
        <v>#DIV/0!</v>
      </c>
      <c r="O290" s="171" t="e">
        <f t="shared" si="48"/>
        <v>#DIV/0!</v>
      </c>
      <c r="P290" s="171" t="e">
        <f t="shared" si="49"/>
        <v>#DIV/0!</v>
      </c>
      <c r="Q290" s="186">
        <f>IF('prijem - EUR'!$I$87=TRUE,IF($C$11&gt;0,0.00025*M289,0),IF('prijem - EUR'!$I$88=TRUE,IF('prijem - EUR'!$F$88&gt;0,0.00025*M289*-1,0),0))</f>
        <v>0</v>
      </c>
    </row>
    <row r="291" spans="1:17" x14ac:dyDescent="0.2">
      <c r="A291" s="89">
        <v>275</v>
      </c>
      <c r="B291" s="186" t="e">
        <f t="shared" si="40"/>
        <v>#NUM!</v>
      </c>
      <c r="C291" s="171" t="e">
        <f t="shared" si="42"/>
        <v>#NUM!</v>
      </c>
      <c r="D291" s="171" t="e">
        <f t="shared" si="45"/>
        <v>#NUM!</v>
      </c>
      <c r="E291" s="171" t="e">
        <f t="shared" si="46"/>
        <v>#NUM!</v>
      </c>
      <c r="F291" s="171" t="e">
        <f t="shared" si="47"/>
        <v>#NUM!</v>
      </c>
      <c r="G291" s="186">
        <f>IF('prijem - EUR'!$I$87=TRUE,IF($C$11&gt;0,0.00025*C290,0),IF('prijem - EUR'!$I$88=TRUE,IF('prijem - EUR'!$F$88&gt;0,0.00025*C290,0),0))</f>
        <v>0</v>
      </c>
      <c r="K291" s="89">
        <v>275</v>
      </c>
      <c r="L291" s="186" t="e">
        <f t="shared" si="41"/>
        <v>#DIV/0!</v>
      </c>
      <c r="M291" s="171" t="e">
        <f t="shared" si="43"/>
        <v>#DIV/0!</v>
      </c>
      <c r="N291" s="171" t="e">
        <f t="shared" si="44"/>
        <v>#DIV/0!</v>
      </c>
      <c r="O291" s="171" t="e">
        <f t="shared" si="48"/>
        <v>#DIV/0!</v>
      </c>
      <c r="P291" s="171" t="e">
        <f t="shared" si="49"/>
        <v>#DIV/0!</v>
      </c>
      <c r="Q291" s="186">
        <f>IF('prijem - EUR'!$I$87=TRUE,IF($C$11&gt;0,0.00025*M290,0),IF('prijem - EUR'!$I$88=TRUE,IF('prijem - EUR'!$F$88&gt;0,0.00025*M290*-1,0),0))</f>
        <v>0</v>
      </c>
    </row>
    <row r="292" spans="1:17" x14ac:dyDescent="0.2">
      <c r="A292" s="89">
        <v>276</v>
      </c>
      <c r="B292" s="186" t="e">
        <f t="shared" si="40"/>
        <v>#NUM!</v>
      </c>
      <c r="C292" s="171" t="e">
        <f t="shared" si="42"/>
        <v>#NUM!</v>
      </c>
      <c r="D292" s="171" t="e">
        <f t="shared" si="45"/>
        <v>#NUM!</v>
      </c>
      <c r="E292" s="171" t="e">
        <f t="shared" si="46"/>
        <v>#NUM!</v>
      </c>
      <c r="F292" s="171" t="e">
        <f t="shared" si="47"/>
        <v>#NUM!</v>
      </c>
      <c r="G292" s="186">
        <f>IF('prijem - EUR'!$I$87=TRUE,IF($C$11&gt;0,0.00025*C291,0),IF('prijem - EUR'!$I$88=TRUE,IF('prijem - EUR'!$F$88&gt;0,0.00025*C291,0),0))</f>
        <v>0</v>
      </c>
      <c r="K292" s="89">
        <v>276</v>
      </c>
      <c r="L292" s="186" t="e">
        <f t="shared" si="41"/>
        <v>#DIV/0!</v>
      </c>
      <c r="M292" s="171" t="e">
        <f t="shared" si="43"/>
        <v>#DIV/0!</v>
      </c>
      <c r="N292" s="171" t="e">
        <f t="shared" si="44"/>
        <v>#DIV/0!</v>
      </c>
      <c r="O292" s="171" t="e">
        <f t="shared" si="48"/>
        <v>#DIV/0!</v>
      </c>
      <c r="P292" s="171" t="e">
        <f t="shared" si="49"/>
        <v>#DIV/0!</v>
      </c>
      <c r="Q292" s="186">
        <f>IF('prijem - EUR'!$I$87=TRUE,IF($C$11&gt;0,0.00025*M291,0),IF('prijem - EUR'!$I$88=TRUE,IF('prijem - EUR'!$F$88&gt;0,0.00025*M291*-1,0),0))</f>
        <v>0</v>
      </c>
    </row>
    <row r="293" spans="1:17" x14ac:dyDescent="0.2">
      <c r="A293" s="89">
        <v>277</v>
      </c>
      <c r="B293" s="186" t="e">
        <f t="shared" si="40"/>
        <v>#NUM!</v>
      </c>
      <c r="C293" s="171" t="e">
        <f t="shared" si="42"/>
        <v>#NUM!</v>
      </c>
      <c r="D293" s="171" t="e">
        <f t="shared" si="45"/>
        <v>#NUM!</v>
      </c>
      <c r="E293" s="171" t="e">
        <f t="shared" si="46"/>
        <v>#NUM!</v>
      </c>
      <c r="F293" s="171" t="e">
        <f t="shared" si="47"/>
        <v>#NUM!</v>
      </c>
      <c r="G293" s="186">
        <f>IF('prijem - EUR'!$I$87=TRUE,IF($C$11&gt;0,0.00025*C292,0),IF('prijem - EUR'!$I$88=TRUE,IF('prijem - EUR'!$F$88&gt;0,0.00025*C292,0),0))</f>
        <v>0</v>
      </c>
      <c r="K293" s="89">
        <v>277</v>
      </c>
      <c r="L293" s="186" t="e">
        <f t="shared" si="41"/>
        <v>#DIV/0!</v>
      </c>
      <c r="M293" s="171" t="e">
        <f t="shared" si="43"/>
        <v>#DIV/0!</v>
      </c>
      <c r="N293" s="171" t="e">
        <f t="shared" si="44"/>
        <v>#DIV/0!</v>
      </c>
      <c r="O293" s="171" t="e">
        <f t="shared" si="48"/>
        <v>#DIV/0!</v>
      </c>
      <c r="P293" s="171" t="e">
        <f t="shared" si="49"/>
        <v>#DIV/0!</v>
      </c>
      <c r="Q293" s="186">
        <f>IF('prijem - EUR'!$I$87=TRUE,IF($C$11&gt;0,0.00025*M292,0),IF('prijem - EUR'!$I$88=TRUE,IF('prijem - EUR'!$F$88&gt;0,0.00025*M292*-1,0),0))</f>
        <v>0</v>
      </c>
    </row>
    <row r="294" spans="1:17" x14ac:dyDescent="0.2">
      <c r="A294" s="89">
        <v>278</v>
      </c>
      <c r="B294" s="186" t="e">
        <f t="shared" si="40"/>
        <v>#NUM!</v>
      </c>
      <c r="C294" s="171" t="e">
        <f t="shared" si="42"/>
        <v>#NUM!</v>
      </c>
      <c r="D294" s="171" t="e">
        <f t="shared" si="45"/>
        <v>#NUM!</v>
      </c>
      <c r="E294" s="171" t="e">
        <f t="shared" si="46"/>
        <v>#NUM!</v>
      </c>
      <c r="F294" s="171" t="e">
        <f t="shared" si="47"/>
        <v>#NUM!</v>
      </c>
      <c r="G294" s="186">
        <f>IF('prijem - EUR'!$I$87=TRUE,IF($C$11&gt;0,0.00025*C293,0),IF('prijem - EUR'!$I$88=TRUE,IF('prijem - EUR'!$F$88&gt;0,0.00025*C293,0),0))</f>
        <v>0</v>
      </c>
      <c r="K294" s="89">
        <v>278</v>
      </c>
      <c r="L294" s="186" t="e">
        <f t="shared" si="41"/>
        <v>#DIV/0!</v>
      </c>
      <c r="M294" s="171" t="e">
        <f t="shared" si="43"/>
        <v>#DIV/0!</v>
      </c>
      <c r="N294" s="171" t="e">
        <f t="shared" si="44"/>
        <v>#DIV/0!</v>
      </c>
      <c r="O294" s="171" t="e">
        <f t="shared" si="48"/>
        <v>#DIV/0!</v>
      </c>
      <c r="P294" s="171" t="e">
        <f t="shared" si="49"/>
        <v>#DIV/0!</v>
      </c>
      <c r="Q294" s="186">
        <f>IF('prijem - EUR'!$I$87=TRUE,IF($C$11&gt;0,0.00025*M293,0),IF('prijem - EUR'!$I$88=TRUE,IF('prijem - EUR'!$F$88&gt;0,0.00025*M293*-1,0),0))</f>
        <v>0</v>
      </c>
    </row>
    <row r="295" spans="1:17" x14ac:dyDescent="0.2">
      <c r="A295" s="89">
        <v>279</v>
      </c>
      <c r="B295" s="186" t="e">
        <f t="shared" si="40"/>
        <v>#NUM!</v>
      </c>
      <c r="C295" s="171" t="e">
        <f t="shared" si="42"/>
        <v>#NUM!</v>
      </c>
      <c r="D295" s="171" t="e">
        <f t="shared" si="45"/>
        <v>#NUM!</v>
      </c>
      <c r="E295" s="171" t="e">
        <f t="shared" si="46"/>
        <v>#NUM!</v>
      </c>
      <c r="F295" s="171" t="e">
        <f t="shared" si="47"/>
        <v>#NUM!</v>
      </c>
      <c r="G295" s="186">
        <f>IF('prijem - EUR'!$I$87=TRUE,IF($C$11&gt;0,0.00025*C294,0),IF('prijem - EUR'!$I$88=TRUE,IF('prijem - EUR'!$F$88&gt;0,0.00025*C294,0),0))</f>
        <v>0</v>
      </c>
      <c r="K295" s="89">
        <v>279</v>
      </c>
      <c r="L295" s="186" t="e">
        <f t="shared" si="41"/>
        <v>#DIV/0!</v>
      </c>
      <c r="M295" s="171" t="e">
        <f t="shared" si="43"/>
        <v>#DIV/0!</v>
      </c>
      <c r="N295" s="171" t="e">
        <f t="shared" si="44"/>
        <v>#DIV/0!</v>
      </c>
      <c r="O295" s="171" t="e">
        <f t="shared" si="48"/>
        <v>#DIV/0!</v>
      </c>
      <c r="P295" s="171" t="e">
        <f t="shared" si="49"/>
        <v>#DIV/0!</v>
      </c>
      <c r="Q295" s="186">
        <f>IF('prijem - EUR'!$I$87=TRUE,IF($C$11&gt;0,0.00025*M294,0),IF('prijem - EUR'!$I$88=TRUE,IF('prijem - EUR'!$F$88&gt;0,0.00025*M294*-1,0),0))</f>
        <v>0</v>
      </c>
    </row>
    <row r="296" spans="1:17" x14ac:dyDescent="0.2">
      <c r="A296" s="89">
        <v>280</v>
      </c>
      <c r="B296" s="186" t="e">
        <f t="shared" si="40"/>
        <v>#NUM!</v>
      </c>
      <c r="C296" s="171" t="e">
        <f t="shared" si="42"/>
        <v>#NUM!</v>
      </c>
      <c r="D296" s="171" t="e">
        <f t="shared" si="45"/>
        <v>#NUM!</v>
      </c>
      <c r="E296" s="171" t="e">
        <f t="shared" si="46"/>
        <v>#NUM!</v>
      </c>
      <c r="F296" s="171" t="e">
        <f t="shared" si="47"/>
        <v>#NUM!</v>
      </c>
      <c r="G296" s="186">
        <f>IF('prijem - EUR'!$I$87=TRUE,IF($C$11&gt;0,0.00025*C295,0),IF('prijem - EUR'!$I$88=TRUE,IF('prijem - EUR'!$F$88&gt;0,0.00025*C295,0),0))</f>
        <v>0</v>
      </c>
      <c r="K296" s="89">
        <v>280</v>
      </c>
      <c r="L296" s="186" t="e">
        <f t="shared" si="41"/>
        <v>#DIV/0!</v>
      </c>
      <c r="M296" s="171" t="e">
        <f t="shared" si="43"/>
        <v>#DIV/0!</v>
      </c>
      <c r="N296" s="171" t="e">
        <f t="shared" si="44"/>
        <v>#DIV/0!</v>
      </c>
      <c r="O296" s="171" t="e">
        <f t="shared" si="48"/>
        <v>#DIV/0!</v>
      </c>
      <c r="P296" s="171" t="e">
        <f t="shared" si="49"/>
        <v>#DIV/0!</v>
      </c>
      <c r="Q296" s="186">
        <f>IF('prijem - EUR'!$I$87=TRUE,IF($C$11&gt;0,0.00025*M295,0),IF('prijem - EUR'!$I$88=TRUE,IF('prijem - EUR'!$F$88&gt;0,0.00025*M295*-1,0),0))</f>
        <v>0</v>
      </c>
    </row>
    <row r="297" spans="1:17" x14ac:dyDescent="0.2">
      <c r="A297" s="89">
        <v>281</v>
      </c>
      <c r="B297" s="186" t="e">
        <f t="shared" si="40"/>
        <v>#NUM!</v>
      </c>
      <c r="C297" s="171" t="e">
        <f t="shared" si="42"/>
        <v>#NUM!</v>
      </c>
      <c r="D297" s="171" t="e">
        <f t="shared" si="45"/>
        <v>#NUM!</v>
      </c>
      <c r="E297" s="171" t="e">
        <f t="shared" si="46"/>
        <v>#NUM!</v>
      </c>
      <c r="F297" s="171" t="e">
        <f t="shared" si="47"/>
        <v>#NUM!</v>
      </c>
      <c r="G297" s="186">
        <f>IF('prijem - EUR'!$I$87=TRUE,IF($C$11&gt;0,0.00025*C296,0),IF('prijem - EUR'!$I$88=TRUE,IF('prijem - EUR'!$F$88&gt;0,0.00025*C296,0),0))</f>
        <v>0</v>
      </c>
      <c r="K297" s="89">
        <v>281</v>
      </c>
      <c r="L297" s="186" t="e">
        <f t="shared" si="41"/>
        <v>#DIV/0!</v>
      </c>
      <c r="M297" s="171" t="e">
        <f t="shared" si="43"/>
        <v>#DIV/0!</v>
      </c>
      <c r="N297" s="171" t="e">
        <f t="shared" si="44"/>
        <v>#DIV/0!</v>
      </c>
      <c r="O297" s="171" t="e">
        <f t="shared" si="48"/>
        <v>#DIV/0!</v>
      </c>
      <c r="P297" s="171" t="e">
        <f t="shared" si="49"/>
        <v>#DIV/0!</v>
      </c>
      <c r="Q297" s="186">
        <f>IF('prijem - EUR'!$I$87=TRUE,IF($C$11&gt;0,0.00025*M296,0),IF('prijem - EUR'!$I$88=TRUE,IF('prijem - EUR'!$F$88&gt;0,0.00025*M296*-1,0),0))</f>
        <v>0</v>
      </c>
    </row>
    <row r="298" spans="1:17" x14ac:dyDescent="0.2">
      <c r="A298" s="89">
        <v>282</v>
      </c>
      <c r="B298" s="186" t="e">
        <f t="shared" ref="B298:B361" si="50">IF(C297&gt;0.00001,F298-G298,0)</f>
        <v>#NUM!</v>
      </c>
      <c r="C298" s="171" t="e">
        <f t="shared" si="42"/>
        <v>#NUM!</v>
      </c>
      <c r="D298" s="171" t="e">
        <f t="shared" si="45"/>
        <v>#NUM!</v>
      </c>
      <c r="E298" s="171" t="e">
        <f t="shared" si="46"/>
        <v>#NUM!</v>
      </c>
      <c r="F298" s="171" t="e">
        <f t="shared" si="47"/>
        <v>#NUM!</v>
      </c>
      <c r="G298" s="186">
        <f>IF('prijem - EUR'!$I$87=TRUE,IF($C$11&gt;0,0.00025*C297,0),IF('prijem - EUR'!$I$88=TRUE,IF('prijem - EUR'!$F$88&gt;0,0.00025*C297,0),0))</f>
        <v>0</v>
      </c>
      <c r="K298" s="89">
        <v>282</v>
      </c>
      <c r="L298" s="186" t="e">
        <f t="shared" ref="L298:L361" si="51">IF(M297&gt;0.00001,P298-Q298,0)*-1</f>
        <v>#DIV/0!</v>
      </c>
      <c r="M298" s="171" t="e">
        <f t="shared" si="43"/>
        <v>#DIV/0!</v>
      </c>
      <c r="N298" s="171" t="e">
        <f t="shared" si="44"/>
        <v>#DIV/0!</v>
      </c>
      <c r="O298" s="171" t="e">
        <f t="shared" si="48"/>
        <v>#DIV/0!</v>
      </c>
      <c r="P298" s="171" t="e">
        <f t="shared" si="49"/>
        <v>#DIV/0!</v>
      </c>
      <c r="Q298" s="186">
        <f>IF('prijem - EUR'!$I$87=TRUE,IF($C$11&gt;0,0.00025*M297,0),IF('prijem - EUR'!$I$88=TRUE,IF('prijem - EUR'!$F$88&gt;0,0.00025*M297*-1,0),0))</f>
        <v>0</v>
      </c>
    </row>
    <row r="299" spans="1:17" x14ac:dyDescent="0.2">
      <c r="A299" s="89">
        <v>283</v>
      </c>
      <c r="B299" s="186" t="e">
        <f t="shared" si="50"/>
        <v>#NUM!</v>
      </c>
      <c r="C299" s="171" t="e">
        <f t="shared" si="42"/>
        <v>#NUM!</v>
      </c>
      <c r="D299" s="171" t="e">
        <f t="shared" si="45"/>
        <v>#NUM!</v>
      </c>
      <c r="E299" s="171" t="e">
        <f t="shared" si="46"/>
        <v>#NUM!</v>
      </c>
      <c r="F299" s="171" t="e">
        <f t="shared" si="47"/>
        <v>#NUM!</v>
      </c>
      <c r="G299" s="186">
        <f>IF('prijem - EUR'!$I$87=TRUE,IF($C$11&gt;0,0.00025*C298,0),IF('prijem - EUR'!$I$88=TRUE,IF('prijem - EUR'!$F$88&gt;0,0.00025*C298,0),0))</f>
        <v>0</v>
      </c>
      <c r="K299" s="89">
        <v>283</v>
      </c>
      <c r="L299" s="186" t="e">
        <f t="shared" si="51"/>
        <v>#DIV/0!</v>
      </c>
      <c r="M299" s="171" t="e">
        <f t="shared" si="43"/>
        <v>#DIV/0!</v>
      </c>
      <c r="N299" s="171" t="e">
        <f t="shared" si="44"/>
        <v>#DIV/0!</v>
      </c>
      <c r="O299" s="171" t="e">
        <f t="shared" si="48"/>
        <v>#DIV/0!</v>
      </c>
      <c r="P299" s="171" t="e">
        <f t="shared" si="49"/>
        <v>#DIV/0!</v>
      </c>
      <c r="Q299" s="186">
        <f>IF('prijem - EUR'!$I$87=TRUE,IF($C$11&gt;0,0.00025*M298,0),IF('prijem - EUR'!$I$88=TRUE,IF('prijem - EUR'!$F$88&gt;0,0.00025*M298*-1,0),0))</f>
        <v>0</v>
      </c>
    </row>
    <row r="300" spans="1:17" x14ac:dyDescent="0.2">
      <c r="A300" s="89">
        <v>284</v>
      </c>
      <c r="B300" s="186" t="e">
        <f t="shared" si="50"/>
        <v>#NUM!</v>
      </c>
      <c r="C300" s="171" t="e">
        <f t="shared" si="42"/>
        <v>#NUM!</v>
      </c>
      <c r="D300" s="171" t="e">
        <f t="shared" si="45"/>
        <v>#NUM!</v>
      </c>
      <c r="E300" s="171" t="e">
        <f t="shared" si="46"/>
        <v>#NUM!</v>
      </c>
      <c r="F300" s="171" t="e">
        <f t="shared" si="47"/>
        <v>#NUM!</v>
      </c>
      <c r="G300" s="186">
        <f>IF('prijem - EUR'!$I$87=TRUE,IF($C$11&gt;0,0.00025*C299,0),IF('prijem - EUR'!$I$88=TRUE,IF('prijem - EUR'!$F$88&gt;0,0.00025*C299,0),0))</f>
        <v>0</v>
      </c>
      <c r="K300" s="89">
        <v>284</v>
      </c>
      <c r="L300" s="186" t="e">
        <f t="shared" si="51"/>
        <v>#DIV/0!</v>
      </c>
      <c r="M300" s="171" t="e">
        <f t="shared" si="43"/>
        <v>#DIV/0!</v>
      </c>
      <c r="N300" s="171" t="e">
        <f t="shared" si="44"/>
        <v>#DIV/0!</v>
      </c>
      <c r="O300" s="171" t="e">
        <f t="shared" si="48"/>
        <v>#DIV/0!</v>
      </c>
      <c r="P300" s="171" t="e">
        <f t="shared" si="49"/>
        <v>#DIV/0!</v>
      </c>
      <c r="Q300" s="186">
        <f>IF('prijem - EUR'!$I$87=TRUE,IF($C$11&gt;0,0.00025*M299,0),IF('prijem - EUR'!$I$88=TRUE,IF('prijem - EUR'!$F$88&gt;0,0.00025*M299*-1,0),0))</f>
        <v>0</v>
      </c>
    </row>
    <row r="301" spans="1:17" x14ac:dyDescent="0.2">
      <c r="A301" s="89">
        <v>285</v>
      </c>
      <c r="B301" s="186" t="e">
        <f t="shared" si="50"/>
        <v>#NUM!</v>
      </c>
      <c r="C301" s="171" t="e">
        <f t="shared" si="42"/>
        <v>#NUM!</v>
      </c>
      <c r="D301" s="171" t="e">
        <f t="shared" si="45"/>
        <v>#NUM!</v>
      </c>
      <c r="E301" s="171" t="e">
        <f t="shared" si="46"/>
        <v>#NUM!</v>
      </c>
      <c r="F301" s="171" t="e">
        <f t="shared" si="47"/>
        <v>#NUM!</v>
      </c>
      <c r="G301" s="186">
        <f>IF('prijem - EUR'!$I$87=TRUE,IF($C$11&gt;0,0.00025*C300,0),IF('prijem - EUR'!$I$88=TRUE,IF('prijem - EUR'!$F$88&gt;0,0.00025*C300,0),0))</f>
        <v>0</v>
      </c>
      <c r="K301" s="89">
        <v>285</v>
      </c>
      <c r="L301" s="186" t="e">
        <f t="shared" si="51"/>
        <v>#DIV/0!</v>
      </c>
      <c r="M301" s="171" t="e">
        <f t="shared" si="43"/>
        <v>#DIV/0!</v>
      </c>
      <c r="N301" s="171" t="e">
        <f t="shared" si="44"/>
        <v>#DIV/0!</v>
      </c>
      <c r="O301" s="171" t="e">
        <f t="shared" si="48"/>
        <v>#DIV/0!</v>
      </c>
      <c r="P301" s="171" t="e">
        <f t="shared" si="49"/>
        <v>#DIV/0!</v>
      </c>
      <c r="Q301" s="186">
        <f>IF('prijem - EUR'!$I$87=TRUE,IF($C$11&gt;0,0.00025*M300,0),IF('prijem - EUR'!$I$88=TRUE,IF('prijem - EUR'!$F$88&gt;0,0.00025*M300*-1,0),0))</f>
        <v>0</v>
      </c>
    </row>
    <row r="302" spans="1:17" x14ac:dyDescent="0.2">
      <c r="A302" s="89">
        <v>286</v>
      </c>
      <c r="B302" s="186" t="e">
        <f t="shared" si="50"/>
        <v>#NUM!</v>
      </c>
      <c r="C302" s="171" t="e">
        <f t="shared" si="42"/>
        <v>#NUM!</v>
      </c>
      <c r="D302" s="171" t="e">
        <f t="shared" si="45"/>
        <v>#NUM!</v>
      </c>
      <c r="E302" s="171" t="e">
        <f t="shared" si="46"/>
        <v>#NUM!</v>
      </c>
      <c r="F302" s="171" t="e">
        <f t="shared" si="47"/>
        <v>#NUM!</v>
      </c>
      <c r="G302" s="186">
        <f>IF('prijem - EUR'!$I$87=TRUE,IF($C$11&gt;0,0.00025*C301,0),IF('prijem - EUR'!$I$88=TRUE,IF('prijem - EUR'!$F$88&gt;0,0.00025*C301,0),0))</f>
        <v>0</v>
      </c>
      <c r="K302" s="89">
        <v>286</v>
      </c>
      <c r="L302" s="186" t="e">
        <f t="shared" si="51"/>
        <v>#DIV/0!</v>
      </c>
      <c r="M302" s="171" t="e">
        <f t="shared" si="43"/>
        <v>#DIV/0!</v>
      </c>
      <c r="N302" s="171" t="e">
        <f t="shared" si="44"/>
        <v>#DIV/0!</v>
      </c>
      <c r="O302" s="171" t="e">
        <f t="shared" si="48"/>
        <v>#DIV/0!</v>
      </c>
      <c r="P302" s="171" t="e">
        <f t="shared" si="49"/>
        <v>#DIV/0!</v>
      </c>
      <c r="Q302" s="186">
        <f>IF('prijem - EUR'!$I$87=TRUE,IF($C$11&gt;0,0.00025*M301,0),IF('prijem - EUR'!$I$88=TRUE,IF('prijem - EUR'!$F$88&gt;0,0.00025*M301*-1,0),0))</f>
        <v>0</v>
      </c>
    </row>
    <row r="303" spans="1:17" x14ac:dyDescent="0.2">
      <c r="A303" s="89">
        <v>287</v>
      </c>
      <c r="B303" s="186" t="e">
        <f t="shared" si="50"/>
        <v>#NUM!</v>
      </c>
      <c r="C303" s="171" t="e">
        <f t="shared" si="42"/>
        <v>#NUM!</v>
      </c>
      <c r="D303" s="171" t="e">
        <f t="shared" si="45"/>
        <v>#NUM!</v>
      </c>
      <c r="E303" s="171" t="e">
        <f t="shared" si="46"/>
        <v>#NUM!</v>
      </c>
      <c r="F303" s="171" t="e">
        <f t="shared" si="47"/>
        <v>#NUM!</v>
      </c>
      <c r="G303" s="186">
        <f>IF('prijem - EUR'!$I$87=TRUE,IF($C$11&gt;0,0.00025*C302,0),IF('prijem - EUR'!$I$88=TRUE,IF('prijem - EUR'!$F$88&gt;0,0.00025*C302,0),0))</f>
        <v>0</v>
      </c>
      <c r="K303" s="89">
        <v>287</v>
      </c>
      <c r="L303" s="186" t="e">
        <f t="shared" si="51"/>
        <v>#DIV/0!</v>
      </c>
      <c r="M303" s="171" t="e">
        <f t="shared" si="43"/>
        <v>#DIV/0!</v>
      </c>
      <c r="N303" s="171" t="e">
        <f t="shared" si="44"/>
        <v>#DIV/0!</v>
      </c>
      <c r="O303" s="171" t="e">
        <f t="shared" si="48"/>
        <v>#DIV/0!</v>
      </c>
      <c r="P303" s="171" t="e">
        <f t="shared" si="49"/>
        <v>#DIV/0!</v>
      </c>
      <c r="Q303" s="186">
        <f>IF('prijem - EUR'!$I$87=TRUE,IF($C$11&gt;0,0.00025*M302,0),IF('prijem - EUR'!$I$88=TRUE,IF('prijem - EUR'!$F$88&gt;0,0.00025*M302*-1,0),0))</f>
        <v>0</v>
      </c>
    </row>
    <row r="304" spans="1:17" x14ac:dyDescent="0.2">
      <c r="A304" s="89">
        <v>288</v>
      </c>
      <c r="B304" s="186" t="e">
        <f t="shared" si="50"/>
        <v>#NUM!</v>
      </c>
      <c r="C304" s="171" t="e">
        <f t="shared" si="42"/>
        <v>#NUM!</v>
      </c>
      <c r="D304" s="171" t="e">
        <f t="shared" si="45"/>
        <v>#NUM!</v>
      </c>
      <c r="E304" s="171" t="e">
        <f t="shared" si="46"/>
        <v>#NUM!</v>
      </c>
      <c r="F304" s="171" t="e">
        <f t="shared" si="47"/>
        <v>#NUM!</v>
      </c>
      <c r="G304" s="186">
        <f>IF('prijem - EUR'!$I$87=TRUE,IF($C$11&gt;0,0.00025*C303,0),IF('prijem - EUR'!$I$88=TRUE,IF('prijem - EUR'!$F$88&gt;0,0.00025*C303,0),0))</f>
        <v>0</v>
      </c>
      <c r="K304" s="89">
        <v>288</v>
      </c>
      <c r="L304" s="186" t="e">
        <f t="shared" si="51"/>
        <v>#DIV/0!</v>
      </c>
      <c r="M304" s="171" t="e">
        <f t="shared" si="43"/>
        <v>#DIV/0!</v>
      </c>
      <c r="N304" s="171" t="e">
        <f t="shared" si="44"/>
        <v>#DIV/0!</v>
      </c>
      <c r="O304" s="171" t="e">
        <f t="shared" si="48"/>
        <v>#DIV/0!</v>
      </c>
      <c r="P304" s="171" t="e">
        <f t="shared" si="49"/>
        <v>#DIV/0!</v>
      </c>
      <c r="Q304" s="186">
        <f>IF('prijem - EUR'!$I$87=TRUE,IF($C$11&gt;0,0.00025*M303,0),IF('prijem - EUR'!$I$88=TRUE,IF('prijem - EUR'!$F$88&gt;0,0.00025*M303*-1,0),0))</f>
        <v>0</v>
      </c>
    </row>
    <row r="305" spans="1:17" x14ac:dyDescent="0.2">
      <c r="A305" s="89">
        <v>289</v>
      </c>
      <c r="B305" s="186" t="e">
        <f t="shared" si="50"/>
        <v>#NUM!</v>
      </c>
      <c r="C305" s="171" t="e">
        <f t="shared" si="42"/>
        <v>#NUM!</v>
      </c>
      <c r="D305" s="171" t="e">
        <f t="shared" si="45"/>
        <v>#NUM!</v>
      </c>
      <c r="E305" s="171" t="e">
        <f t="shared" si="46"/>
        <v>#NUM!</v>
      </c>
      <c r="F305" s="171" t="e">
        <f t="shared" si="47"/>
        <v>#NUM!</v>
      </c>
      <c r="G305" s="186">
        <f>IF('prijem - EUR'!$I$87=TRUE,IF($C$11&gt;0,0.00025*C304,0),IF('prijem - EUR'!$I$88=TRUE,IF('prijem - EUR'!$F$88&gt;0,0.00025*C304,0),0))</f>
        <v>0</v>
      </c>
      <c r="K305" s="89">
        <v>289</v>
      </c>
      <c r="L305" s="186" t="e">
        <f t="shared" si="51"/>
        <v>#DIV/0!</v>
      </c>
      <c r="M305" s="171" t="e">
        <f t="shared" si="43"/>
        <v>#DIV/0!</v>
      </c>
      <c r="N305" s="171" t="e">
        <f t="shared" si="44"/>
        <v>#DIV/0!</v>
      </c>
      <c r="O305" s="171" t="e">
        <f t="shared" si="48"/>
        <v>#DIV/0!</v>
      </c>
      <c r="P305" s="171" t="e">
        <f t="shared" si="49"/>
        <v>#DIV/0!</v>
      </c>
      <c r="Q305" s="186">
        <f>IF('prijem - EUR'!$I$87=TRUE,IF($C$11&gt;0,0.00025*M304,0),IF('prijem - EUR'!$I$88=TRUE,IF('prijem - EUR'!$F$88&gt;0,0.00025*M304*-1,0),0))</f>
        <v>0</v>
      </c>
    </row>
    <row r="306" spans="1:17" x14ac:dyDescent="0.2">
      <c r="A306" s="89">
        <v>290</v>
      </c>
      <c r="B306" s="186" t="e">
        <f t="shared" si="50"/>
        <v>#NUM!</v>
      </c>
      <c r="C306" s="171" t="e">
        <f t="shared" si="42"/>
        <v>#NUM!</v>
      </c>
      <c r="D306" s="171" t="e">
        <f t="shared" si="45"/>
        <v>#NUM!</v>
      </c>
      <c r="E306" s="171" t="e">
        <f t="shared" si="46"/>
        <v>#NUM!</v>
      </c>
      <c r="F306" s="171" t="e">
        <f t="shared" si="47"/>
        <v>#NUM!</v>
      </c>
      <c r="G306" s="186">
        <f>IF('prijem - EUR'!$I$87=TRUE,IF($C$11&gt;0,0.00025*C305,0),IF('prijem - EUR'!$I$88=TRUE,IF('prijem - EUR'!$F$88&gt;0,0.00025*C305,0),0))</f>
        <v>0</v>
      </c>
      <c r="K306" s="89">
        <v>290</v>
      </c>
      <c r="L306" s="186" t="e">
        <f t="shared" si="51"/>
        <v>#DIV/0!</v>
      </c>
      <c r="M306" s="171" t="e">
        <f t="shared" si="43"/>
        <v>#DIV/0!</v>
      </c>
      <c r="N306" s="171" t="e">
        <f t="shared" si="44"/>
        <v>#DIV/0!</v>
      </c>
      <c r="O306" s="171" t="e">
        <f t="shared" si="48"/>
        <v>#DIV/0!</v>
      </c>
      <c r="P306" s="171" t="e">
        <f t="shared" si="49"/>
        <v>#DIV/0!</v>
      </c>
      <c r="Q306" s="186">
        <f>IF('prijem - EUR'!$I$87=TRUE,IF($C$11&gt;0,0.00025*M305,0),IF('prijem - EUR'!$I$88=TRUE,IF('prijem - EUR'!$F$88&gt;0,0.00025*M305*-1,0),0))</f>
        <v>0</v>
      </c>
    </row>
    <row r="307" spans="1:17" x14ac:dyDescent="0.2">
      <c r="A307" s="89">
        <v>291</v>
      </c>
      <c r="B307" s="186" t="e">
        <f t="shared" si="50"/>
        <v>#NUM!</v>
      </c>
      <c r="C307" s="171" t="e">
        <f t="shared" si="42"/>
        <v>#NUM!</v>
      </c>
      <c r="D307" s="171" t="e">
        <f t="shared" si="45"/>
        <v>#NUM!</v>
      </c>
      <c r="E307" s="171" t="e">
        <f t="shared" si="46"/>
        <v>#NUM!</v>
      </c>
      <c r="F307" s="171" t="e">
        <f t="shared" si="47"/>
        <v>#NUM!</v>
      </c>
      <c r="G307" s="186">
        <f>IF('prijem - EUR'!$I$87=TRUE,IF($C$11&gt;0,0.00025*C306,0),IF('prijem - EUR'!$I$88=TRUE,IF('prijem - EUR'!$F$88&gt;0,0.00025*C306,0),0))</f>
        <v>0</v>
      </c>
      <c r="K307" s="89">
        <v>291</v>
      </c>
      <c r="L307" s="186" t="e">
        <f t="shared" si="51"/>
        <v>#DIV/0!</v>
      </c>
      <c r="M307" s="171" t="e">
        <f t="shared" si="43"/>
        <v>#DIV/0!</v>
      </c>
      <c r="N307" s="171" t="e">
        <f t="shared" si="44"/>
        <v>#DIV/0!</v>
      </c>
      <c r="O307" s="171" t="e">
        <f t="shared" si="48"/>
        <v>#DIV/0!</v>
      </c>
      <c r="P307" s="171" t="e">
        <f t="shared" si="49"/>
        <v>#DIV/0!</v>
      </c>
      <c r="Q307" s="186">
        <f>IF('prijem - EUR'!$I$87=TRUE,IF($C$11&gt;0,0.00025*M306,0),IF('prijem - EUR'!$I$88=TRUE,IF('prijem - EUR'!$F$88&gt;0,0.00025*M306*-1,0),0))</f>
        <v>0</v>
      </c>
    </row>
    <row r="308" spans="1:17" x14ac:dyDescent="0.2">
      <c r="A308" s="89">
        <v>292</v>
      </c>
      <c r="B308" s="186" t="e">
        <f t="shared" si="50"/>
        <v>#NUM!</v>
      </c>
      <c r="C308" s="171" t="e">
        <f t="shared" si="42"/>
        <v>#NUM!</v>
      </c>
      <c r="D308" s="171" t="e">
        <f t="shared" si="45"/>
        <v>#NUM!</v>
      </c>
      <c r="E308" s="171" t="e">
        <f t="shared" si="46"/>
        <v>#NUM!</v>
      </c>
      <c r="F308" s="171" t="e">
        <f t="shared" si="47"/>
        <v>#NUM!</v>
      </c>
      <c r="G308" s="186">
        <f>IF('prijem - EUR'!$I$87=TRUE,IF($C$11&gt;0,0.00025*C307,0),IF('prijem - EUR'!$I$88=TRUE,IF('prijem - EUR'!$F$88&gt;0,0.00025*C307,0),0))</f>
        <v>0</v>
      </c>
      <c r="K308" s="89">
        <v>292</v>
      </c>
      <c r="L308" s="186" t="e">
        <f t="shared" si="51"/>
        <v>#DIV/0!</v>
      </c>
      <c r="M308" s="171" t="e">
        <f t="shared" si="43"/>
        <v>#DIV/0!</v>
      </c>
      <c r="N308" s="171" t="e">
        <f t="shared" si="44"/>
        <v>#DIV/0!</v>
      </c>
      <c r="O308" s="171" t="e">
        <f t="shared" si="48"/>
        <v>#DIV/0!</v>
      </c>
      <c r="P308" s="171" t="e">
        <f t="shared" si="49"/>
        <v>#DIV/0!</v>
      </c>
      <c r="Q308" s="186">
        <f>IF('prijem - EUR'!$I$87=TRUE,IF($C$11&gt;0,0.00025*M307,0),IF('prijem - EUR'!$I$88=TRUE,IF('prijem - EUR'!$F$88&gt;0,0.00025*M307*-1,0),0))</f>
        <v>0</v>
      </c>
    </row>
    <row r="309" spans="1:17" x14ac:dyDescent="0.2">
      <c r="A309" s="89">
        <v>293</v>
      </c>
      <c r="B309" s="186" t="e">
        <f t="shared" si="50"/>
        <v>#NUM!</v>
      </c>
      <c r="C309" s="171" t="e">
        <f t="shared" si="42"/>
        <v>#NUM!</v>
      </c>
      <c r="D309" s="171" t="e">
        <f t="shared" si="45"/>
        <v>#NUM!</v>
      </c>
      <c r="E309" s="171" t="e">
        <f t="shared" si="46"/>
        <v>#NUM!</v>
      </c>
      <c r="F309" s="171" t="e">
        <f t="shared" si="47"/>
        <v>#NUM!</v>
      </c>
      <c r="G309" s="186">
        <f>IF('prijem - EUR'!$I$87=TRUE,IF($C$11&gt;0,0.00025*C308,0),IF('prijem - EUR'!$I$88=TRUE,IF('prijem - EUR'!$F$88&gt;0,0.00025*C308,0),0))</f>
        <v>0</v>
      </c>
      <c r="K309" s="89">
        <v>293</v>
      </c>
      <c r="L309" s="186" t="e">
        <f t="shared" si="51"/>
        <v>#DIV/0!</v>
      </c>
      <c r="M309" s="171" t="e">
        <f t="shared" si="43"/>
        <v>#DIV/0!</v>
      </c>
      <c r="N309" s="171" t="e">
        <f t="shared" si="44"/>
        <v>#DIV/0!</v>
      </c>
      <c r="O309" s="171" t="e">
        <f t="shared" si="48"/>
        <v>#DIV/0!</v>
      </c>
      <c r="P309" s="171" t="e">
        <f t="shared" si="49"/>
        <v>#DIV/0!</v>
      </c>
      <c r="Q309" s="186">
        <f>IF('prijem - EUR'!$I$87=TRUE,IF($C$11&gt;0,0.00025*M308,0),IF('prijem - EUR'!$I$88=TRUE,IF('prijem - EUR'!$F$88&gt;0,0.00025*M308*-1,0),0))</f>
        <v>0</v>
      </c>
    </row>
    <row r="310" spans="1:17" x14ac:dyDescent="0.2">
      <c r="A310" s="89">
        <v>294</v>
      </c>
      <c r="B310" s="186" t="e">
        <f t="shared" si="50"/>
        <v>#NUM!</v>
      </c>
      <c r="C310" s="171" t="e">
        <f t="shared" si="42"/>
        <v>#NUM!</v>
      </c>
      <c r="D310" s="171" t="e">
        <f t="shared" si="45"/>
        <v>#NUM!</v>
      </c>
      <c r="E310" s="171" t="e">
        <f t="shared" si="46"/>
        <v>#NUM!</v>
      </c>
      <c r="F310" s="171" t="e">
        <f t="shared" si="47"/>
        <v>#NUM!</v>
      </c>
      <c r="G310" s="186">
        <f>IF('prijem - EUR'!$I$87=TRUE,IF($C$11&gt;0,0.00025*C309,0),IF('prijem - EUR'!$I$88=TRUE,IF('prijem - EUR'!$F$88&gt;0,0.00025*C309,0),0))</f>
        <v>0</v>
      </c>
      <c r="K310" s="89">
        <v>294</v>
      </c>
      <c r="L310" s="186" t="e">
        <f t="shared" si="51"/>
        <v>#DIV/0!</v>
      </c>
      <c r="M310" s="171" t="e">
        <f t="shared" si="43"/>
        <v>#DIV/0!</v>
      </c>
      <c r="N310" s="171" t="e">
        <f t="shared" si="44"/>
        <v>#DIV/0!</v>
      </c>
      <c r="O310" s="171" t="e">
        <f t="shared" si="48"/>
        <v>#DIV/0!</v>
      </c>
      <c r="P310" s="171" t="e">
        <f t="shared" si="49"/>
        <v>#DIV/0!</v>
      </c>
      <c r="Q310" s="186">
        <f>IF('prijem - EUR'!$I$87=TRUE,IF($C$11&gt;0,0.00025*M309,0),IF('prijem - EUR'!$I$88=TRUE,IF('prijem - EUR'!$F$88&gt;0,0.00025*M309*-1,0),0))</f>
        <v>0</v>
      </c>
    </row>
    <row r="311" spans="1:17" x14ac:dyDescent="0.2">
      <c r="A311" s="89">
        <v>295</v>
      </c>
      <c r="B311" s="186" t="e">
        <f t="shared" si="50"/>
        <v>#NUM!</v>
      </c>
      <c r="C311" s="171" t="e">
        <f t="shared" si="42"/>
        <v>#NUM!</v>
      </c>
      <c r="D311" s="171" t="e">
        <f t="shared" si="45"/>
        <v>#NUM!</v>
      </c>
      <c r="E311" s="171" t="e">
        <f t="shared" si="46"/>
        <v>#NUM!</v>
      </c>
      <c r="F311" s="171" t="e">
        <f t="shared" si="47"/>
        <v>#NUM!</v>
      </c>
      <c r="G311" s="186">
        <f>IF('prijem - EUR'!$I$87=TRUE,IF($C$11&gt;0,0.00025*C310,0),IF('prijem - EUR'!$I$88=TRUE,IF('prijem - EUR'!$F$88&gt;0,0.00025*C310,0),0))</f>
        <v>0</v>
      </c>
      <c r="K311" s="89">
        <v>295</v>
      </c>
      <c r="L311" s="186" t="e">
        <f t="shared" si="51"/>
        <v>#DIV/0!</v>
      </c>
      <c r="M311" s="171" t="e">
        <f t="shared" si="43"/>
        <v>#DIV/0!</v>
      </c>
      <c r="N311" s="171" t="e">
        <f t="shared" si="44"/>
        <v>#DIV/0!</v>
      </c>
      <c r="O311" s="171" t="e">
        <f t="shared" si="48"/>
        <v>#DIV/0!</v>
      </c>
      <c r="P311" s="171" t="e">
        <f t="shared" si="49"/>
        <v>#DIV/0!</v>
      </c>
      <c r="Q311" s="186">
        <f>IF('prijem - EUR'!$I$87=TRUE,IF($C$11&gt;0,0.00025*M310,0),IF('prijem - EUR'!$I$88=TRUE,IF('prijem - EUR'!$F$88&gt;0,0.00025*M310*-1,0),0))</f>
        <v>0</v>
      </c>
    </row>
    <row r="312" spans="1:17" x14ac:dyDescent="0.2">
      <c r="A312" s="89">
        <v>296</v>
      </c>
      <c r="B312" s="186" t="e">
        <f t="shared" si="50"/>
        <v>#NUM!</v>
      </c>
      <c r="C312" s="171" t="e">
        <f t="shared" si="42"/>
        <v>#NUM!</v>
      </c>
      <c r="D312" s="171" t="e">
        <f t="shared" si="45"/>
        <v>#NUM!</v>
      </c>
      <c r="E312" s="171" t="e">
        <f t="shared" si="46"/>
        <v>#NUM!</v>
      </c>
      <c r="F312" s="171" t="e">
        <f t="shared" si="47"/>
        <v>#NUM!</v>
      </c>
      <c r="G312" s="186">
        <f>IF('prijem - EUR'!$I$87=TRUE,IF($C$11&gt;0,0.00025*C311,0),IF('prijem - EUR'!$I$88=TRUE,IF('prijem - EUR'!$F$88&gt;0,0.00025*C311,0),0))</f>
        <v>0</v>
      </c>
      <c r="K312" s="89">
        <v>296</v>
      </c>
      <c r="L312" s="186" t="e">
        <f t="shared" si="51"/>
        <v>#DIV/0!</v>
      </c>
      <c r="M312" s="171" t="e">
        <f t="shared" si="43"/>
        <v>#DIV/0!</v>
      </c>
      <c r="N312" s="171" t="e">
        <f t="shared" si="44"/>
        <v>#DIV/0!</v>
      </c>
      <c r="O312" s="171" t="e">
        <f t="shared" si="48"/>
        <v>#DIV/0!</v>
      </c>
      <c r="P312" s="171" t="e">
        <f t="shared" si="49"/>
        <v>#DIV/0!</v>
      </c>
      <c r="Q312" s="186">
        <f>IF('prijem - EUR'!$I$87=TRUE,IF($C$11&gt;0,0.00025*M311,0),IF('prijem - EUR'!$I$88=TRUE,IF('prijem - EUR'!$F$88&gt;0,0.00025*M311*-1,0),0))</f>
        <v>0</v>
      </c>
    </row>
    <row r="313" spans="1:17" x14ac:dyDescent="0.2">
      <c r="A313" s="89">
        <v>297</v>
      </c>
      <c r="B313" s="186" t="e">
        <f t="shared" si="50"/>
        <v>#NUM!</v>
      </c>
      <c r="C313" s="171" t="e">
        <f t="shared" si="42"/>
        <v>#NUM!</v>
      </c>
      <c r="D313" s="171" t="e">
        <f t="shared" si="45"/>
        <v>#NUM!</v>
      </c>
      <c r="E313" s="171" t="e">
        <f t="shared" si="46"/>
        <v>#NUM!</v>
      </c>
      <c r="F313" s="171" t="e">
        <f t="shared" si="47"/>
        <v>#NUM!</v>
      </c>
      <c r="G313" s="186">
        <f>IF('prijem - EUR'!$I$87=TRUE,IF($C$11&gt;0,0.00025*C312,0),IF('prijem - EUR'!$I$88=TRUE,IF('prijem - EUR'!$F$88&gt;0,0.00025*C312,0),0))</f>
        <v>0</v>
      </c>
      <c r="K313" s="89">
        <v>297</v>
      </c>
      <c r="L313" s="186" t="e">
        <f t="shared" si="51"/>
        <v>#DIV/0!</v>
      </c>
      <c r="M313" s="171" t="e">
        <f t="shared" si="43"/>
        <v>#DIV/0!</v>
      </c>
      <c r="N313" s="171" t="e">
        <f t="shared" si="44"/>
        <v>#DIV/0!</v>
      </c>
      <c r="O313" s="171" t="e">
        <f t="shared" si="48"/>
        <v>#DIV/0!</v>
      </c>
      <c r="P313" s="171" t="e">
        <f t="shared" si="49"/>
        <v>#DIV/0!</v>
      </c>
      <c r="Q313" s="186">
        <f>IF('prijem - EUR'!$I$87=TRUE,IF($C$11&gt;0,0.00025*M312,0),IF('prijem - EUR'!$I$88=TRUE,IF('prijem - EUR'!$F$88&gt;0,0.00025*M312*-1,0),0))</f>
        <v>0</v>
      </c>
    </row>
    <row r="314" spans="1:17" x14ac:dyDescent="0.2">
      <c r="A314" s="89">
        <v>298</v>
      </c>
      <c r="B314" s="186" t="e">
        <f t="shared" si="50"/>
        <v>#NUM!</v>
      </c>
      <c r="C314" s="171" t="e">
        <f t="shared" si="42"/>
        <v>#NUM!</v>
      </c>
      <c r="D314" s="171" t="e">
        <f t="shared" si="45"/>
        <v>#NUM!</v>
      </c>
      <c r="E314" s="171" t="e">
        <f t="shared" si="46"/>
        <v>#NUM!</v>
      </c>
      <c r="F314" s="171" t="e">
        <f t="shared" si="47"/>
        <v>#NUM!</v>
      </c>
      <c r="G314" s="186">
        <f>IF('prijem - EUR'!$I$87=TRUE,IF($C$11&gt;0,0.00025*C313,0),IF('prijem - EUR'!$I$88=TRUE,IF('prijem - EUR'!$F$88&gt;0,0.00025*C313,0),0))</f>
        <v>0</v>
      </c>
      <c r="K314" s="89">
        <v>298</v>
      </c>
      <c r="L314" s="186" t="e">
        <f t="shared" si="51"/>
        <v>#DIV/0!</v>
      </c>
      <c r="M314" s="171" t="e">
        <f t="shared" si="43"/>
        <v>#DIV/0!</v>
      </c>
      <c r="N314" s="171" t="e">
        <f t="shared" si="44"/>
        <v>#DIV/0!</v>
      </c>
      <c r="O314" s="171" t="e">
        <f t="shared" si="48"/>
        <v>#DIV/0!</v>
      </c>
      <c r="P314" s="171" t="e">
        <f t="shared" si="49"/>
        <v>#DIV/0!</v>
      </c>
      <c r="Q314" s="186">
        <f>IF('prijem - EUR'!$I$87=TRUE,IF($C$11&gt;0,0.00025*M313,0),IF('prijem - EUR'!$I$88=TRUE,IF('prijem - EUR'!$F$88&gt;0,0.00025*M313*-1,0),0))</f>
        <v>0</v>
      </c>
    </row>
    <row r="315" spans="1:17" x14ac:dyDescent="0.2">
      <c r="A315" s="89">
        <v>299</v>
      </c>
      <c r="B315" s="186" t="e">
        <f t="shared" si="50"/>
        <v>#NUM!</v>
      </c>
      <c r="C315" s="171" t="e">
        <f t="shared" si="42"/>
        <v>#NUM!</v>
      </c>
      <c r="D315" s="171" t="e">
        <f t="shared" si="45"/>
        <v>#NUM!</v>
      </c>
      <c r="E315" s="171" t="e">
        <f t="shared" si="46"/>
        <v>#NUM!</v>
      </c>
      <c r="F315" s="171" t="e">
        <f t="shared" si="47"/>
        <v>#NUM!</v>
      </c>
      <c r="G315" s="186">
        <f>IF('prijem - EUR'!$I$87=TRUE,IF($C$11&gt;0,0.00025*C314,0),IF('prijem - EUR'!$I$88=TRUE,IF('prijem - EUR'!$F$88&gt;0,0.00025*C314,0),0))</f>
        <v>0</v>
      </c>
      <c r="K315" s="89">
        <v>299</v>
      </c>
      <c r="L315" s="186" t="e">
        <f t="shared" si="51"/>
        <v>#DIV/0!</v>
      </c>
      <c r="M315" s="171" t="e">
        <f t="shared" si="43"/>
        <v>#DIV/0!</v>
      </c>
      <c r="N315" s="171" t="e">
        <f t="shared" si="44"/>
        <v>#DIV/0!</v>
      </c>
      <c r="O315" s="171" t="e">
        <f t="shared" si="48"/>
        <v>#DIV/0!</v>
      </c>
      <c r="P315" s="171" t="e">
        <f t="shared" si="49"/>
        <v>#DIV/0!</v>
      </c>
      <c r="Q315" s="186">
        <f>IF('prijem - EUR'!$I$87=TRUE,IF($C$11&gt;0,0.00025*M314,0),IF('prijem - EUR'!$I$88=TRUE,IF('prijem - EUR'!$F$88&gt;0,0.00025*M314*-1,0),0))</f>
        <v>0</v>
      </c>
    </row>
    <row r="316" spans="1:17" x14ac:dyDescent="0.2">
      <c r="A316" s="89">
        <v>300</v>
      </c>
      <c r="B316" s="186" t="e">
        <f t="shared" si="50"/>
        <v>#NUM!</v>
      </c>
      <c r="C316" s="171" t="e">
        <f t="shared" si="42"/>
        <v>#NUM!</v>
      </c>
      <c r="D316" s="171" t="e">
        <f t="shared" si="45"/>
        <v>#NUM!</v>
      </c>
      <c r="E316" s="171" t="e">
        <f t="shared" si="46"/>
        <v>#NUM!</v>
      </c>
      <c r="F316" s="171" t="e">
        <f t="shared" si="47"/>
        <v>#NUM!</v>
      </c>
      <c r="G316" s="186">
        <f>IF('prijem - EUR'!$I$87=TRUE,IF($C$11&gt;0,0.00025*C315,0),IF('prijem - EUR'!$I$88=TRUE,IF('prijem - EUR'!$F$88&gt;0,0.00025*C315,0),0))</f>
        <v>0</v>
      </c>
      <c r="K316" s="89">
        <v>300</v>
      </c>
      <c r="L316" s="186" t="e">
        <f t="shared" si="51"/>
        <v>#DIV/0!</v>
      </c>
      <c r="M316" s="171" t="e">
        <f t="shared" si="43"/>
        <v>#DIV/0!</v>
      </c>
      <c r="N316" s="171" t="e">
        <f t="shared" si="44"/>
        <v>#DIV/0!</v>
      </c>
      <c r="O316" s="171" t="e">
        <f t="shared" si="48"/>
        <v>#DIV/0!</v>
      </c>
      <c r="P316" s="171" t="e">
        <f t="shared" si="49"/>
        <v>#DIV/0!</v>
      </c>
      <c r="Q316" s="186">
        <f>IF('prijem - EUR'!$I$87=TRUE,IF($C$11&gt;0,0.00025*M315,0),IF('prijem - EUR'!$I$88=TRUE,IF('prijem - EUR'!$F$88&gt;0,0.00025*M315*-1,0),0))</f>
        <v>0</v>
      </c>
    </row>
    <row r="317" spans="1:17" x14ac:dyDescent="0.2">
      <c r="A317" s="89">
        <v>301</v>
      </c>
      <c r="B317" s="186" t="e">
        <f t="shared" si="50"/>
        <v>#NUM!</v>
      </c>
      <c r="C317" s="171" t="e">
        <f t="shared" si="42"/>
        <v>#NUM!</v>
      </c>
      <c r="D317" s="171" t="e">
        <f t="shared" si="45"/>
        <v>#NUM!</v>
      </c>
      <c r="E317" s="171" t="e">
        <f t="shared" si="46"/>
        <v>#NUM!</v>
      </c>
      <c r="F317" s="171" t="e">
        <f t="shared" si="47"/>
        <v>#NUM!</v>
      </c>
      <c r="G317" s="186">
        <f>IF('prijem - EUR'!$I$87=TRUE,IF($C$11&gt;0,0.00025*C316,0),IF('prijem - EUR'!$I$88=TRUE,IF('prijem - EUR'!$F$88&gt;0,0.00025*C316,0),0))</f>
        <v>0</v>
      </c>
      <c r="K317" s="89">
        <v>301</v>
      </c>
      <c r="L317" s="186" t="e">
        <f t="shared" si="51"/>
        <v>#DIV/0!</v>
      </c>
      <c r="M317" s="171" t="e">
        <f t="shared" si="43"/>
        <v>#DIV/0!</v>
      </c>
      <c r="N317" s="171" t="e">
        <f t="shared" si="44"/>
        <v>#DIV/0!</v>
      </c>
      <c r="O317" s="171" t="e">
        <f t="shared" si="48"/>
        <v>#DIV/0!</v>
      </c>
      <c r="P317" s="171" t="e">
        <f t="shared" si="49"/>
        <v>#DIV/0!</v>
      </c>
      <c r="Q317" s="186">
        <f>IF('prijem - EUR'!$I$87=TRUE,IF($C$11&gt;0,0.00025*M316,0),IF('prijem - EUR'!$I$88=TRUE,IF('prijem - EUR'!$F$88&gt;0,0.00025*M316*-1,0),0))</f>
        <v>0</v>
      </c>
    </row>
    <row r="318" spans="1:17" x14ac:dyDescent="0.2">
      <c r="A318" s="89">
        <v>302</v>
      </c>
      <c r="B318" s="186" t="e">
        <f t="shared" si="50"/>
        <v>#NUM!</v>
      </c>
      <c r="C318" s="171" t="e">
        <f t="shared" si="42"/>
        <v>#NUM!</v>
      </c>
      <c r="D318" s="171" t="e">
        <f t="shared" si="45"/>
        <v>#NUM!</v>
      </c>
      <c r="E318" s="171" t="e">
        <f t="shared" si="46"/>
        <v>#NUM!</v>
      </c>
      <c r="F318" s="171" t="e">
        <f t="shared" si="47"/>
        <v>#NUM!</v>
      </c>
      <c r="G318" s="186">
        <f>IF('prijem - EUR'!$I$87=TRUE,IF($C$11&gt;0,0.00025*C317,0),IF('prijem - EUR'!$I$88=TRUE,IF('prijem - EUR'!$F$88&gt;0,0.00025*C317,0),0))</f>
        <v>0</v>
      </c>
      <c r="K318" s="89">
        <v>302</v>
      </c>
      <c r="L318" s="186" t="e">
        <f t="shared" si="51"/>
        <v>#DIV/0!</v>
      </c>
      <c r="M318" s="171" t="e">
        <f t="shared" si="43"/>
        <v>#DIV/0!</v>
      </c>
      <c r="N318" s="171" t="e">
        <f t="shared" si="44"/>
        <v>#DIV/0!</v>
      </c>
      <c r="O318" s="171" t="e">
        <f t="shared" si="48"/>
        <v>#DIV/0!</v>
      </c>
      <c r="P318" s="171" t="e">
        <f t="shared" si="49"/>
        <v>#DIV/0!</v>
      </c>
      <c r="Q318" s="186">
        <f>IF('prijem - EUR'!$I$87=TRUE,IF($C$11&gt;0,0.00025*M317,0),IF('prijem - EUR'!$I$88=TRUE,IF('prijem - EUR'!$F$88&gt;0,0.00025*M317*-1,0),0))</f>
        <v>0</v>
      </c>
    </row>
    <row r="319" spans="1:17" x14ac:dyDescent="0.2">
      <c r="A319" s="89">
        <v>303</v>
      </c>
      <c r="B319" s="186" t="e">
        <f t="shared" si="50"/>
        <v>#NUM!</v>
      </c>
      <c r="C319" s="171" t="e">
        <f t="shared" si="42"/>
        <v>#NUM!</v>
      </c>
      <c r="D319" s="171" t="e">
        <f t="shared" si="45"/>
        <v>#NUM!</v>
      </c>
      <c r="E319" s="171" t="e">
        <f t="shared" si="46"/>
        <v>#NUM!</v>
      </c>
      <c r="F319" s="171" t="e">
        <f t="shared" si="47"/>
        <v>#NUM!</v>
      </c>
      <c r="G319" s="186">
        <f>IF('prijem - EUR'!$I$87=TRUE,IF($C$11&gt;0,0.00025*C318,0),IF('prijem - EUR'!$I$88=TRUE,IF('prijem - EUR'!$F$88&gt;0,0.00025*C318,0),0))</f>
        <v>0</v>
      </c>
      <c r="K319" s="89">
        <v>303</v>
      </c>
      <c r="L319" s="186" t="e">
        <f t="shared" si="51"/>
        <v>#DIV/0!</v>
      </c>
      <c r="M319" s="171" t="e">
        <f t="shared" si="43"/>
        <v>#DIV/0!</v>
      </c>
      <c r="N319" s="171" t="e">
        <f t="shared" si="44"/>
        <v>#DIV/0!</v>
      </c>
      <c r="O319" s="171" t="e">
        <f t="shared" si="48"/>
        <v>#DIV/0!</v>
      </c>
      <c r="P319" s="171" t="e">
        <f t="shared" si="49"/>
        <v>#DIV/0!</v>
      </c>
      <c r="Q319" s="186">
        <f>IF('prijem - EUR'!$I$87=TRUE,IF($C$11&gt;0,0.00025*M318,0),IF('prijem - EUR'!$I$88=TRUE,IF('prijem - EUR'!$F$88&gt;0,0.00025*M318*-1,0),0))</f>
        <v>0</v>
      </c>
    </row>
    <row r="320" spans="1:17" x14ac:dyDescent="0.2">
      <c r="A320" s="89">
        <v>304</v>
      </c>
      <c r="B320" s="186" t="e">
        <f t="shared" si="50"/>
        <v>#NUM!</v>
      </c>
      <c r="C320" s="171" t="e">
        <f t="shared" si="42"/>
        <v>#NUM!</v>
      </c>
      <c r="D320" s="171" t="e">
        <f t="shared" si="45"/>
        <v>#NUM!</v>
      </c>
      <c r="E320" s="171" t="e">
        <f t="shared" si="46"/>
        <v>#NUM!</v>
      </c>
      <c r="F320" s="171" t="e">
        <f t="shared" si="47"/>
        <v>#NUM!</v>
      </c>
      <c r="G320" s="186">
        <f>IF('prijem - EUR'!$I$87=TRUE,IF($C$11&gt;0,0.00025*C319,0),IF('prijem - EUR'!$I$88=TRUE,IF('prijem - EUR'!$F$88&gt;0,0.00025*C319,0),0))</f>
        <v>0</v>
      </c>
      <c r="K320" s="89">
        <v>304</v>
      </c>
      <c r="L320" s="186" t="e">
        <f t="shared" si="51"/>
        <v>#DIV/0!</v>
      </c>
      <c r="M320" s="171" t="e">
        <f t="shared" si="43"/>
        <v>#DIV/0!</v>
      </c>
      <c r="N320" s="171" t="e">
        <f t="shared" si="44"/>
        <v>#DIV/0!</v>
      </c>
      <c r="O320" s="171" t="e">
        <f t="shared" si="48"/>
        <v>#DIV/0!</v>
      </c>
      <c r="P320" s="171" t="e">
        <f t="shared" si="49"/>
        <v>#DIV/0!</v>
      </c>
      <c r="Q320" s="186">
        <f>IF('prijem - EUR'!$I$87=TRUE,IF($C$11&gt;0,0.00025*M319,0),IF('prijem - EUR'!$I$88=TRUE,IF('prijem - EUR'!$F$88&gt;0,0.00025*M319*-1,0),0))</f>
        <v>0</v>
      </c>
    </row>
    <row r="321" spans="1:17" x14ac:dyDescent="0.2">
      <c r="A321" s="89">
        <v>305</v>
      </c>
      <c r="B321" s="186" t="e">
        <f t="shared" si="50"/>
        <v>#NUM!</v>
      </c>
      <c r="C321" s="171" t="e">
        <f t="shared" si="42"/>
        <v>#NUM!</v>
      </c>
      <c r="D321" s="171" t="e">
        <f t="shared" si="45"/>
        <v>#NUM!</v>
      </c>
      <c r="E321" s="171" t="e">
        <f t="shared" si="46"/>
        <v>#NUM!</v>
      </c>
      <c r="F321" s="171" t="e">
        <f t="shared" si="47"/>
        <v>#NUM!</v>
      </c>
      <c r="G321" s="186">
        <f>IF('prijem - EUR'!$I$87=TRUE,IF($C$11&gt;0,0.00025*C320,0),IF('prijem - EUR'!$I$88=TRUE,IF('prijem - EUR'!$F$88&gt;0,0.00025*C320,0),0))</f>
        <v>0</v>
      </c>
      <c r="K321" s="89">
        <v>305</v>
      </c>
      <c r="L321" s="186" t="e">
        <f t="shared" si="51"/>
        <v>#DIV/0!</v>
      </c>
      <c r="M321" s="171" t="e">
        <f t="shared" si="43"/>
        <v>#DIV/0!</v>
      </c>
      <c r="N321" s="171" t="e">
        <f t="shared" si="44"/>
        <v>#DIV/0!</v>
      </c>
      <c r="O321" s="171" t="e">
        <f t="shared" si="48"/>
        <v>#DIV/0!</v>
      </c>
      <c r="P321" s="171" t="e">
        <f t="shared" si="49"/>
        <v>#DIV/0!</v>
      </c>
      <c r="Q321" s="186">
        <f>IF('prijem - EUR'!$I$87=TRUE,IF($C$11&gt;0,0.00025*M320,0),IF('prijem - EUR'!$I$88=TRUE,IF('prijem - EUR'!$F$88&gt;0,0.00025*M320*-1,0),0))</f>
        <v>0</v>
      </c>
    </row>
    <row r="322" spans="1:17" x14ac:dyDescent="0.2">
      <c r="A322" s="89">
        <v>306</v>
      </c>
      <c r="B322" s="186" t="e">
        <f t="shared" si="50"/>
        <v>#NUM!</v>
      </c>
      <c r="C322" s="171" t="e">
        <f t="shared" si="42"/>
        <v>#NUM!</v>
      </c>
      <c r="D322" s="171" t="e">
        <f t="shared" si="45"/>
        <v>#NUM!</v>
      </c>
      <c r="E322" s="171" t="e">
        <f t="shared" si="46"/>
        <v>#NUM!</v>
      </c>
      <c r="F322" s="171" t="e">
        <f t="shared" si="47"/>
        <v>#NUM!</v>
      </c>
      <c r="G322" s="186">
        <f>IF('prijem - EUR'!$I$87=TRUE,IF($C$11&gt;0,0.00025*C321,0),IF('prijem - EUR'!$I$88=TRUE,IF('prijem - EUR'!$F$88&gt;0,0.00025*C321,0),0))</f>
        <v>0</v>
      </c>
      <c r="K322" s="89">
        <v>306</v>
      </c>
      <c r="L322" s="186" t="e">
        <f t="shared" si="51"/>
        <v>#DIV/0!</v>
      </c>
      <c r="M322" s="171" t="e">
        <f t="shared" si="43"/>
        <v>#DIV/0!</v>
      </c>
      <c r="N322" s="171" t="e">
        <f t="shared" si="44"/>
        <v>#DIV/0!</v>
      </c>
      <c r="O322" s="171" t="e">
        <f t="shared" si="48"/>
        <v>#DIV/0!</v>
      </c>
      <c r="P322" s="171" t="e">
        <f t="shared" si="49"/>
        <v>#DIV/0!</v>
      </c>
      <c r="Q322" s="186">
        <f>IF('prijem - EUR'!$I$87=TRUE,IF($C$11&gt;0,0.00025*M321,0),IF('prijem - EUR'!$I$88=TRUE,IF('prijem - EUR'!$F$88&gt;0,0.00025*M321*-1,0),0))</f>
        <v>0</v>
      </c>
    </row>
    <row r="323" spans="1:17" x14ac:dyDescent="0.2">
      <c r="A323" s="89">
        <v>307</v>
      </c>
      <c r="B323" s="186" t="e">
        <f t="shared" si="50"/>
        <v>#NUM!</v>
      </c>
      <c r="C323" s="171" t="e">
        <f t="shared" si="42"/>
        <v>#NUM!</v>
      </c>
      <c r="D323" s="171" t="e">
        <f t="shared" si="45"/>
        <v>#NUM!</v>
      </c>
      <c r="E323" s="171" t="e">
        <f t="shared" si="46"/>
        <v>#NUM!</v>
      </c>
      <c r="F323" s="171" t="e">
        <f t="shared" si="47"/>
        <v>#NUM!</v>
      </c>
      <c r="G323" s="186">
        <f>IF('prijem - EUR'!$I$87=TRUE,IF($C$11&gt;0,0.00025*C322,0),IF('prijem - EUR'!$I$88=TRUE,IF('prijem - EUR'!$F$88&gt;0,0.00025*C322,0),0))</f>
        <v>0</v>
      </c>
      <c r="K323" s="89">
        <v>307</v>
      </c>
      <c r="L323" s="186" t="e">
        <f t="shared" si="51"/>
        <v>#DIV/0!</v>
      </c>
      <c r="M323" s="171" t="e">
        <f t="shared" si="43"/>
        <v>#DIV/0!</v>
      </c>
      <c r="N323" s="171" t="e">
        <f t="shared" si="44"/>
        <v>#DIV/0!</v>
      </c>
      <c r="O323" s="171" t="e">
        <f t="shared" si="48"/>
        <v>#DIV/0!</v>
      </c>
      <c r="P323" s="171" t="e">
        <f t="shared" si="49"/>
        <v>#DIV/0!</v>
      </c>
      <c r="Q323" s="186">
        <f>IF('prijem - EUR'!$I$87=TRUE,IF($C$11&gt;0,0.00025*M322,0),IF('prijem - EUR'!$I$88=TRUE,IF('prijem - EUR'!$F$88&gt;0,0.00025*M322*-1,0),0))</f>
        <v>0</v>
      </c>
    </row>
    <row r="324" spans="1:17" x14ac:dyDescent="0.2">
      <c r="A324" s="89">
        <v>308</v>
      </c>
      <c r="B324" s="186" t="e">
        <f t="shared" si="50"/>
        <v>#NUM!</v>
      </c>
      <c r="C324" s="171" t="e">
        <f t="shared" si="42"/>
        <v>#NUM!</v>
      </c>
      <c r="D324" s="171" t="e">
        <f t="shared" si="45"/>
        <v>#NUM!</v>
      </c>
      <c r="E324" s="171" t="e">
        <f t="shared" si="46"/>
        <v>#NUM!</v>
      </c>
      <c r="F324" s="171" t="e">
        <f t="shared" si="47"/>
        <v>#NUM!</v>
      </c>
      <c r="G324" s="186">
        <f>IF('prijem - EUR'!$I$87=TRUE,IF($C$11&gt;0,0.00025*C323,0),IF('prijem - EUR'!$I$88=TRUE,IF('prijem - EUR'!$F$88&gt;0,0.00025*C323,0),0))</f>
        <v>0</v>
      </c>
      <c r="K324" s="89">
        <v>308</v>
      </c>
      <c r="L324" s="186" t="e">
        <f t="shared" si="51"/>
        <v>#DIV/0!</v>
      </c>
      <c r="M324" s="171" t="e">
        <f t="shared" si="43"/>
        <v>#DIV/0!</v>
      </c>
      <c r="N324" s="171" t="e">
        <f t="shared" si="44"/>
        <v>#DIV/0!</v>
      </c>
      <c r="O324" s="171" t="e">
        <f t="shared" si="48"/>
        <v>#DIV/0!</v>
      </c>
      <c r="P324" s="171" t="e">
        <f t="shared" si="49"/>
        <v>#DIV/0!</v>
      </c>
      <c r="Q324" s="186">
        <f>IF('prijem - EUR'!$I$87=TRUE,IF($C$11&gt;0,0.00025*M323,0),IF('prijem - EUR'!$I$88=TRUE,IF('prijem - EUR'!$F$88&gt;0,0.00025*M323*-1,0),0))</f>
        <v>0</v>
      </c>
    </row>
    <row r="325" spans="1:17" x14ac:dyDescent="0.2">
      <c r="A325" s="89">
        <v>309</v>
      </c>
      <c r="B325" s="186" t="e">
        <f t="shared" si="50"/>
        <v>#NUM!</v>
      </c>
      <c r="C325" s="171" t="e">
        <f t="shared" si="42"/>
        <v>#NUM!</v>
      </c>
      <c r="D325" s="171" t="e">
        <f t="shared" si="45"/>
        <v>#NUM!</v>
      </c>
      <c r="E325" s="171" t="e">
        <f t="shared" si="46"/>
        <v>#NUM!</v>
      </c>
      <c r="F325" s="171" t="e">
        <f t="shared" si="47"/>
        <v>#NUM!</v>
      </c>
      <c r="G325" s="186">
        <f>IF('prijem - EUR'!$I$87=TRUE,IF($C$11&gt;0,0.00025*C324,0),IF('prijem - EUR'!$I$88=TRUE,IF('prijem - EUR'!$F$88&gt;0,0.00025*C324,0),0))</f>
        <v>0</v>
      </c>
      <c r="K325" s="89">
        <v>309</v>
      </c>
      <c r="L325" s="186" t="e">
        <f t="shared" si="51"/>
        <v>#DIV/0!</v>
      </c>
      <c r="M325" s="171" t="e">
        <f t="shared" si="43"/>
        <v>#DIV/0!</v>
      </c>
      <c r="N325" s="171" t="e">
        <f t="shared" si="44"/>
        <v>#DIV/0!</v>
      </c>
      <c r="O325" s="171" t="e">
        <f t="shared" si="48"/>
        <v>#DIV/0!</v>
      </c>
      <c r="P325" s="171" t="e">
        <f t="shared" si="49"/>
        <v>#DIV/0!</v>
      </c>
      <c r="Q325" s="186">
        <f>IF('prijem - EUR'!$I$87=TRUE,IF($C$11&gt;0,0.00025*M324,0),IF('prijem - EUR'!$I$88=TRUE,IF('prijem - EUR'!$F$88&gt;0,0.00025*M324*-1,0),0))</f>
        <v>0</v>
      </c>
    </row>
    <row r="326" spans="1:17" x14ac:dyDescent="0.2">
      <c r="A326" s="89">
        <v>310</v>
      </c>
      <c r="B326" s="186" t="e">
        <f t="shared" si="50"/>
        <v>#NUM!</v>
      </c>
      <c r="C326" s="171" t="e">
        <f t="shared" si="42"/>
        <v>#NUM!</v>
      </c>
      <c r="D326" s="171" t="e">
        <f t="shared" si="45"/>
        <v>#NUM!</v>
      </c>
      <c r="E326" s="171" t="e">
        <f t="shared" si="46"/>
        <v>#NUM!</v>
      </c>
      <c r="F326" s="171" t="e">
        <f t="shared" si="47"/>
        <v>#NUM!</v>
      </c>
      <c r="G326" s="186">
        <f>IF('prijem - EUR'!$I$87=TRUE,IF($C$11&gt;0,0.00025*C325,0),IF('prijem - EUR'!$I$88=TRUE,IF('prijem - EUR'!$F$88&gt;0,0.00025*C325,0),0))</f>
        <v>0</v>
      </c>
      <c r="K326" s="89">
        <v>310</v>
      </c>
      <c r="L326" s="186" t="e">
        <f t="shared" si="51"/>
        <v>#DIV/0!</v>
      </c>
      <c r="M326" s="171" t="e">
        <f t="shared" si="43"/>
        <v>#DIV/0!</v>
      </c>
      <c r="N326" s="171" t="e">
        <f t="shared" si="44"/>
        <v>#DIV/0!</v>
      </c>
      <c r="O326" s="171" t="e">
        <f t="shared" si="48"/>
        <v>#DIV/0!</v>
      </c>
      <c r="P326" s="171" t="e">
        <f t="shared" si="49"/>
        <v>#DIV/0!</v>
      </c>
      <c r="Q326" s="186">
        <f>IF('prijem - EUR'!$I$87=TRUE,IF($C$11&gt;0,0.00025*M325,0),IF('prijem - EUR'!$I$88=TRUE,IF('prijem - EUR'!$F$88&gt;0,0.00025*M325*-1,0),0))</f>
        <v>0</v>
      </c>
    </row>
    <row r="327" spans="1:17" x14ac:dyDescent="0.2">
      <c r="A327" s="89">
        <v>311</v>
      </c>
      <c r="B327" s="186" t="e">
        <f t="shared" si="50"/>
        <v>#NUM!</v>
      </c>
      <c r="C327" s="171" t="e">
        <f t="shared" si="42"/>
        <v>#NUM!</v>
      </c>
      <c r="D327" s="171" t="e">
        <f t="shared" si="45"/>
        <v>#NUM!</v>
      </c>
      <c r="E327" s="171" t="e">
        <f t="shared" si="46"/>
        <v>#NUM!</v>
      </c>
      <c r="F327" s="171" t="e">
        <f t="shared" si="47"/>
        <v>#NUM!</v>
      </c>
      <c r="G327" s="186">
        <f>IF('prijem - EUR'!$I$87=TRUE,IF($C$11&gt;0,0.00025*C326,0),IF('prijem - EUR'!$I$88=TRUE,IF('prijem - EUR'!$F$88&gt;0,0.00025*C326,0),0))</f>
        <v>0</v>
      </c>
      <c r="K327" s="89">
        <v>311</v>
      </c>
      <c r="L327" s="186" t="e">
        <f t="shared" si="51"/>
        <v>#DIV/0!</v>
      </c>
      <c r="M327" s="171" t="e">
        <f t="shared" si="43"/>
        <v>#DIV/0!</v>
      </c>
      <c r="N327" s="171" t="e">
        <f t="shared" si="44"/>
        <v>#DIV/0!</v>
      </c>
      <c r="O327" s="171" t="e">
        <f t="shared" si="48"/>
        <v>#DIV/0!</v>
      </c>
      <c r="P327" s="171" t="e">
        <f t="shared" si="49"/>
        <v>#DIV/0!</v>
      </c>
      <c r="Q327" s="186">
        <f>IF('prijem - EUR'!$I$87=TRUE,IF($C$11&gt;0,0.00025*M326,0),IF('prijem - EUR'!$I$88=TRUE,IF('prijem - EUR'!$F$88&gt;0,0.00025*M326*-1,0),0))</f>
        <v>0</v>
      </c>
    </row>
    <row r="328" spans="1:17" x14ac:dyDescent="0.2">
      <c r="A328" s="89">
        <v>312</v>
      </c>
      <c r="B328" s="186" t="e">
        <f t="shared" si="50"/>
        <v>#NUM!</v>
      </c>
      <c r="C328" s="171" t="e">
        <f t="shared" si="42"/>
        <v>#NUM!</v>
      </c>
      <c r="D328" s="171" t="e">
        <f t="shared" si="45"/>
        <v>#NUM!</v>
      </c>
      <c r="E328" s="171" t="e">
        <f t="shared" si="46"/>
        <v>#NUM!</v>
      </c>
      <c r="F328" s="171" t="e">
        <f t="shared" si="47"/>
        <v>#NUM!</v>
      </c>
      <c r="G328" s="186">
        <f>IF('prijem - EUR'!$I$87=TRUE,IF($C$11&gt;0,0.00025*C327,0),IF('prijem - EUR'!$I$88=TRUE,IF('prijem - EUR'!$F$88&gt;0,0.00025*C327,0),0))</f>
        <v>0</v>
      </c>
      <c r="K328" s="89">
        <v>312</v>
      </c>
      <c r="L328" s="186" t="e">
        <f t="shared" si="51"/>
        <v>#DIV/0!</v>
      </c>
      <c r="M328" s="171" t="e">
        <f t="shared" si="43"/>
        <v>#DIV/0!</v>
      </c>
      <c r="N328" s="171" t="e">
        <f t="shared" si="44"/>
        <v>#DIV/0!</v>
      </c>
      <c r="O328" s="171" t="e">
        <f t="shared" si="48"/>
        <v>#DIV/0!</v>
      </c>
      <c r="P328" s="171" t="e">
        <f t="shared" si="49"/>
        <v>#DIV/0!</v>
      </c>
      <c r="Q328" s="186">
        <f>IF('prijem - EUR'!$I$87=TRUE,IF($C$11&gt;0,0.00025*M327,0),IF('prijem - EUR'!$I$88=TRUE,IF('prijem - EUR'!$F$88&gt;0,0.00025*M327*-1,0),0))</f>
        <v>0</v>
      </c>
    </row>
    <row r="329" spans="1:17" x14ac:dyDescent="0.2">
      <c r="A329" s="89">
        <v>313</v>
      </c>
      <c r="B329" s="186" t="e">
        <f t="shared" si="50"/>
        <v>#NUM!</v>
      </c>
      <c r="C329" s="171" t="e">
        <f t="shared" si="42"/>
        <v>#NUM!</v>
      </c>
      <c r="D329" s="171" t="e">
        <f t="shared" si="45"/>
        <v>#NUM!</v>
      </c>
      <c r="E329" s="171" t="e">
        <f t="shared" si="46"/>
        <v>#NUM!</v>
      </c>
      <c r="F329" s="171" t="e">
        <f t="shared" si="47"/>
        <v>#NUM!</v>
      </c>
      <c r="G329" s="186">
        <f>IF('prijem - EUR'!$I$87=TRUE,IF($C$11&gt;0,0.00025*C328,0),IF('prijem - EUR'!$I$88=TRUE,IF('prijem - EUR'!$F$88&gt;0,0.00025*C328,0),0))</f>
        <v>0</v>
      </c>
      <c r="K329" s="89">
        <v>313</v>
      </c>
      <c r="L329" s="186" t="e">
        <f t="shared" si="51"/>
        <v>#DIV/0!</v>
      </c>
      <c r="M329" s="171" t="e">
        <f t="shared" si="43"/>
        <v>#DIV/0!</v>
      </c>
      <c r="N329" s="171" t="e">
        <f t="shared" si="44"/>
        <v>#DIV/0!</v>
      </c>
      <c r="O329" s="171" t="e">
        <f t="shared" si="48"/>
        <v>#DIV/0!</v>
      </c>
      <c r="P329" s="171" t="e">
        <f t="shared" si="49"/>
        <v>#DIV/0!</v>
      </c>
      <c r="Q329" s="186">
        <f>IF('prijem - EUR'!$I$87=TRUE,IF($C$11&gt;0,0.00025*M328,0),IF('prijem - EUR'!$I$88=TRUE,IF('prijem - EUR'!$F$88&gt;0,0.00025*M328*-1,0),0))</f>
        <v>0</v>
      </c>
    </row>
    <row r="330" spans="1:17" x14ac:dyDescent="0.2">
      <c r="A330" s="89">
        <v>314</v>
      </c>
      <c r="B330" s="186" t="e">
        <f t="shared" si="50"/>
        <v>#NUM!</v>
      </c>
      <c r="C330" s="171" t="e">
        <f t="shared" si="42"/>
        <v>#NUM!</v>
      </c>
      <c r="D330" s="171" t="e">
        <f t="shared" si="45"/>
        <v>#NUM!</v>
      </c>
      <c r="E330" s="171" t="e">
        <f t="shared" si="46"/>
        <v>#NUM!</v>
      </c>
      <c r="F330" s="171" t="e">
        <f t="shared" si="47"/>
        <v>#NUM!</v>
      </c>
      <c r="G330" s="186">
        <f>IF('prijem - EUR'!$I$87=TRUE,IF($C$11&gt;0,0.00025*C329,0),IF('prijem - EUR'!$I$88=TRUE,IF('prijem - EUR'!$F$88&gt;0,0.00025*C329,0),0))</f>
        <v>0</v>
      </c>
      <c r="K330" s="89">
        <v>314</v>
      </c>
      <c r="L330" s="186" t="e">
        <f t="shared" si="51"/>
        <v>#DIV/0!</v>
      </c>
      <c r="M330" s="171" t="e">
        <f t="shared" si="43"/>
        <v>#DIV/0!</v>
      </c>
      <c r="N330" s="171" t="e">
        <f t="shared" si="44"/>
        <v>#DIV/0!</v>
      </c>
      <c r="O330" s="171" t="e">
        <f t="shared" si="48"/>
        <v>#DIV/0!</v>
      </c>
      <c r="P330" s="171" t="e">
        <f t="shared" si="49"/>
        <v>#DIV/0!</v>
      </c>
      <c r="Q330" s="186">
        <f>IF('prijem - EUR'!$I$87=TRUE,IF($C$11&gt;0,0.00025*M329,0),IF('prijem - EUR'!$I$88=TRUE,IF('prijem - EUR'!$F$88&gt;0,0.00025*M329*-1,0),0))</f>
        <v>0</v>
      </c>
    </row>
    <row r="331" spans="1:17" x14ac:dyDescent="0.2">
      <c r="A331" s="89">
        <v>315</v>
      </c>
      <c r="B331" s="186" t="e">
        <f t="shared" si="50"/>
        <v>#NUM!</v>
      </c>
      <c r="C331" s="171" t="e">
        <f t="shared" si="42"/>
        <v>#NUM!</v>
      </c>
      <c r="D331" s="171" t="e">
        <f t="shared" si="45"/>
        <v>#NUM!</v>
      </c>
      <c r="E331" s="171" t="e">
        <f t="shared" si="46"/>
        <v>#NUM!</v>
      </c>
      <c r="F331" s="171" t="e">
        <f t="shared" si="47"/>
        <v>#NUM!</v>
      </c>
      <c r="G331" s="186">
        <f>IF('prijem - EUR'!$I$87=TRUE,IF($C$11&gt;0,0.00025*C330,0),IF('prijem - EUR'!$I$88=TRUE,IF('prijem - EUR'!$F$88&gt;0,0.00025*C330,0),0))</f>
        <v>0</v>
      </c>
      <c r="K331" s="89">
        <v>315</v>
      </c>
      <c r="L331" s="186" t="e">
        <f t="shared" si="51"/>
        <v>#DIV/0!</v>
      </c>
      <c r="M331" s="171" t="e">
        <f t="shared" si="43"/>
        <v>#DIV/0!</v>
      </c>
      <c r="N331" s="171" t="e">
        <f t="shared" si="44"/>
        <v>#DIV/0!</v>
      </c>
      <c r="O331" s="171" t="e">
        <f t="shared" si="48"/>
        <v>#DIV/0!</v>
      </c>
      <c r="P331" s="171" t="e">
        <f t="shared" si="49"/>
        <v>#DIV/0!</v>
      </c>
      <c r="Q331" s="186">
        <f>IF('prijem - EUR'!$I$87=TRUE,IF($C$11&gt;0,0.00025*M330,0),IF('prijem - EUR'!$I$88=TRUE,IF('prijem - EUR'!$F$88&gt;0,0.00025*M330*-1,0),0))</f>
        <v>0</v>
      </c>
    </row>
    <row r="332" spans="1:17" x14ac:dyDescent="0.2">
      <c r="A332" s="89">
        <v>316</v>
      </c>
      <c r="B332" s="186" t="e">
        <f t="shared" si="50"/>
        <v>#NUM!</v>
      </c>
      <c r="C332" s="171" t="e">
        <f t="shared" si="42"/>
        <v>#NUM!</v>
      </c>
      <c r="D332" s="171" t="e">
        <f t="shared" si="45"/>
        <v>#NUM!</v>
      </c>
      <c r="E332" s="171" t="e">
        <f t="shared" si="46"/>
        <v>#NUM!</v>
      </c>
      <c r="F332" s="171" t="e">
        <f t="shared" si="47"/>
        <v>#NUM!</v>
      </c>
      <c r="G332" s="186">
        <f>IF('prijem - EUR'!$I$87=TRUE,IF($C$11&gt;0,0.00025*C331,0),IF('prijem - EUR'!$I$88=TRUE,IF('prijem - EUR'!$F$88&gt;0,0.00025*C331,0),0))</f>
        <v>0</v>
      </c>
      <c r="K332" s="89">
        <v>316</v>
      </c>
      <c r="L332" s="186" t="e">
        <f t="shared" si="51"/>
        <v>#DIV/0!</v>
      </c>
      <c r="M332" s="171" t="e">
        <f t="shared" si="43"/>
        <v>#DIV/0!</v>
      </c>
      <c r="N332" s="171" t="e">
        <f t="shared" si="44"/>
        <v>#DIV/0!</v>
      </c>
      <c r="O332" s="171" t="e">
        <f t="shared" si="48"/>
        <v>#DIV/0!</v>
      </c>
      <c r="P332" s="171" t="e">
        <f t="shared" si="49"/>
        <v>#DIV/0!</v>
      </c>
      <c r="Q332" s="186">
        <f>IF('prijem - EUR'!$I$87=TRUE,IF($C$11&gt;0,0.00025*M331,0),IF('prijem - EUR'!$I$88=TRUE,IF('prijem - EUR'!$F$88&gt;0,0.00025*M331*-1,0),0))</f>
        <v>0</v>
      </c>
    </row>
    <row r="333" spans="1:17" x14ac:dyDescent="0.2">
      <c r="A333" s="89">
        <v>317</v>
      </c>
      <c r="B333" s="186" t="e">
        <f t="shared" si="50"/>
        <v>#NUM!</v>
      </c>
      <c r="C333" s="171" t="e">
        <f t="shared" si="42"/>
        <v>#NUM!</v>
      </c>
      <c r="D333" s="171" t="e">
        <f t="shared" si="45"/>
        <v>#NUM!</v>
      </c>
      <c r="E333" s="171" t="e">
        <f t="shared" si="46"/>
        <v>#NUM!</v>
      </c>
      <c r="F333" s="171" t="e">
        <f t="shared" si="47"/>
        <v>#NUM!</v>
      </c>
      <c r="G333" s="186">
        <f>IF('prijem - EUR'!$I$87=TRUE,IF($C$11&gt;0,0.00025*C332,0),IF('prijem - EUR'!$I$88=TRUE,IF('prijem - EUR'!$F$88&gt;0,0.00025*C332,0),0))</f>
        <v>0</v>
      </c>
      <c r="K333" s="89">
        <v>317</v>
      </c>
      <c r="L333" s="186" t="e">
        <f t="shared" si="51"/>
        <v>#DIV/0!</v>
      </c>
      <c r="M333" s="171" t="e">
        <f t="shared" si="43"/>
        <v>#DIV/0!</v>
      </c>
      <c r="N333" s="171" t="e">
        <f t="shared" si="44"/>
        <v>#DIV/0!</v>
      </c>
      <c r="O333" s="171" t="e">
        <f t="shared" si="48"/>
        <v>#DIV/0!</v>
      </c>
      <c r="P333" s="171" t="e">
        <f t="shared" si="49"/>
        <v>#DIV/0!</v>
      </c>
      <c r="Q333" s="186">
        <f>IF('prijem - EUR'!$I$87=TRUE,IF($C$11&gt;0,0.00025*M332,0),IF('prijem - EUR'!$I$88=TRUE,IF('prijem - EUR'!$F$88&gt;0,0.00025*M332*-1,0),0))</f>
        <v>0</v>
      </c>
    </row>
    <row r="334" spans="1:17" x14ac:dyDescent="0.2">
      <c r="A334" s="89">
        <v>318</v>
      </c>
      <c r="B334" s="186" t="e">
        <f t="shared" si="50"/>
        <v>#NUM!</v>
      </c>
      <c r="C334" s="171" t="e">
        <f t="shared" si="42"/>
        <v>#NUM!</v>
      </c>
      <c r="D334" s="171" t="e">
        <f t="shared" si="45"/>
        <v>#NUM!</v>
      </c>
      <c r="E334" s="171" t="e">
        <f t="shared" si="46"/>
        <v>#NUM!</v>
      </c>
      <c r="F334" s="171" t="e">
        <f t="shared" si="47"/>
        <v>#NUM!</v>
      </c>
      <c r="G334" s="186">
        <f>IF('prijem - EUR'!$I$87=TRUE,IF($C$11&gt;0,0.00025*C333,0),IF('prijem - EUR'!$I$88=TRUE,IF('prijem - EUR'!$F$88&gt;0,0.00025*C333,0),0))</f>
        <v>0</v>
      </c>
      <c r="K334" s="89">
        <v>318</v>
      </c>
      <c r="L334" s="186" t="e">
        <f t="shared" si="51"/>
        <v>#DIV/0!</v>
      </c>
      <c r="M334" s="171" t="e">
        <f t="shared" si="43"/>
        <v>#DIV/0!</v>
      </c>
      <c r="N334" s="171" t="e">
        <f t="shared" si="44"/>
        <v>#DIV/0!</v>
      </c>
      <c r="O334" s="171" t="e">
        <f t="shared" si="48"/>
        <v>#DIV/0!</v>
      </c>
      <c r="P334" s="171" t="e">
        <f t="shared" si="49"/>
        <v>#DIV/0!</v>
      </c>
      <c r="Q334" s="186">
        <f>IF('prijem - EUR'!$I$87=TRUE,IF($C$11&gt;0,0.00025*M333,0),IF('prijem - EUR'!$I$88=TRUE,IF('prijem - EUR'!$F$88&gt;0,0.00025*M333*-1,0),0))</f>
        <v>0</v>
      </c>
    </row>
    <row r="335" spans="1:17" x14ac:dyDescent="0.2">
      <c r="A335" s="89">
        <v>319</v>
      </c>
      <c r="B335" s="186" t="e">
        <f t="shared" si="50"/>
        <v>#NUM!</v>
      </c>
      <c r="C335" s="171" t="e">
        <f t="shared" si="42"/>
        <v>#NUM!</v>
      </c>
      <c r="D335" s="171" t="e">
        <f t="shared" si="45"/>
        <v>#NUM!</v>
      </c>
      <c r="E335" s="171" t="e">
        <f t="shared" si="46"/>
        <v>#NUM!</v>
      </c>
      <c r="F335" s="171" t="e">
        <f t="shared" si="47"/>
        <v>#NUM!</v>
      </c>
      <c r="G335" s="186">
        <f>IF('prijem - EUR'!$I$87=TRUE,IF($C$11&gt;0,0.00025*C334,0),IF('prijem - EUR'!$I$88=TRUE,IF('prijem - EUR'!$F$88&gt;0,0.00025*C334,0),0))</f>
        <v>0</v>
      </c>
      <c r="K335" s="89">
        <v>319</v>
      </c>
      <c r="L335" s="186" t="e">
        <f t="shared" si="51"/>
        <v>#DIV/0!</v>
      </c>
      <c r="M335" s="171" t="e">
        <f t="shared" si="43"/>
        <v>#DIV/0!</v>
      </c>
      <c r="N335" s="171" t="e">
        <f t="shared" si="44"/>
        <v>#DIV/0!</v>
      </c>
      <c r="O335" s="171" t="e">
        <f t="shared" si="48"/>
        <v>#DIV/0!</v>
      </c>
      <c r="P335" s="171" t="e">
        <f t="shared" si="49"/>
        <v>#DIV/0!</v>
      </c>
      <c r="Q335" s="186">
        <f>IF('prijem - EUR'!$I$87=TRUE,IF($C$11&gt;0,0.00025*M334,0),IF('prijem - EUR'!$I$88=TRUE,IF('prijem - EUR'!$F$88&gt;0,0.00025*M334*-1,0),0))</f>
        <v>0</v>
      </c>
    </row>
    <row r="336" spans="1:17" x14ac:dyDescent="0.2">
      <c r="A336" s="89">
        <v>320</v>
      </c>
      <c r="B336" s="186" t="e">
        <f t="shared" si="50"/>
        <v>#NUM!</v>
      </c>
      <c r="C336" s="171" t="e">
        <f t="shared" si="42"/>
        <v>#NUM!</v>
      </c>
      <c r="D336" s="171" t="e">
        <f t="shared" si="45"/>
        <v>#NUM!</v>
      </c>
      <c r="E336" s="171" t="e">
        <f t="shared" si="46"/>
        <v>#NUM!</v>
      </c>
      <c r="F336" s="171" t="e">
        <f t="shared" si="47"/>
        <v>#NUM!</v>
      </c>
      <c r="G336" s="186">
        <f>IF('prijem - EUR'!$I$87=TRUE,IF($C$11&gt;0,0.00025*C335,0),IF('prijem - EUR'!$I$88=TRUE,IF('prijem - EUR'!$F$88&gt;0,0.00025*C335,0),0))</f>
        <v>0</v>
      </c>
      <c r="K336" s="89">
        <v>320</v>
      </c>
      <c r="L336" s="186" t="e">
        <f t="shared" si="51"/>
        <v>#DIV/0!</v>
      </c>
      <c r="M336" s="171" t="e">
        <f t="shared" si="43"/>
        <v>#DIV/0!</v>
      </c>
      <c r="N336" s="171" t="e">
        <f t="shared" si="44"/>
        <v>#DIV/0!</v>
      </c>
      <c r="O336" s="171" t="e">
        <f t="shared" si="48"/>
        <v>#DIV/0!</v>
      </c>
      <c r="P336" s="171" t="e">
        <f t="shared" si="49"/>
        <v>#DIV/0!</v>
      </c>
      <c r="Q336" s="186">
        <f>IF('prijem - EUR'!$I$87=TRUE,IF($C$11&gt;0,0.00025*M335,0),IF('prijem - EUR'!$I$88=TRUE,IF('prijem - EUR'!$F$88&gt;0,0.00025*M335*-1,0),0))</f>
        <v>0</v>
      </c>
    </row>
    <row r="337" spans="1:17" x14ac:dyDescent="0.2">
      <c r="A337" s="89">
        <v>321</v>
      </c>
      <c r="B337" s="186" t="e">
        <f t="shared" si="50"/>
        <v>#NUM!</v>
      </c>
      <c r="C337" s="171" t="e">
        <f t="shared" ref="C337:C400" si="52">MAX(C336-D337,0)</f>
        <v>#NUM!</v>
      </c>
      <c r="D337" s="171" t="e">
        <f t="shared" si="45"/>
        <v>#NUM!</v>
      </c>
      <c r="E337" s="171" t="e">
        <f t="shared" si="46"/>
        <v>#NUM!</v>
      </c>
      <c r="F337" s="171" t="e">
        <f t="shared" si="47"/>
        <v>#NUM!</v>
      </c>
      <c r="G337" s="186">
        <f>IF('prijem - EUR'!$I$87=TRUE,IF($C$11&gt;0,0.00025*C336,0),IF('prijem - EUR'!$I$88=TRUE,IF('prijem - EUR'!$F$88&gt;0,0.00025*C336,0),0))</f>
        <v>0</v>
      </c>
      <c r="K337" s="89">
        <v>321</v>
      </c>
      <c r="L337" s="186" t="e">
        <f t="shared" si="51"/>
        <v>#DIV/0!</v>
      </c>
      <c r="M337" s="171" t="e">
        <f t="shared" ref="M337:M400" si="53">MAX(M336-N337,0)</f>
        <v>#DIV/0!</v>
      </c>
      <c r="N337" s="171" t="e">
        <f t="shared" ref="N337:N400" si="54">$M$16/$M$5</f>
        <v>#DIV/0!</v>
      </c>
      <c r="O337" s="171" t="e">
        <f t="shared" si="48"/>
        <v>#DIV/0!</v>
      </c>
      <c r="P337" s="171" t="e">
        <f t="shared" si="49"/>
        <v>#DIV/0!</v>
      </c>
      <c r="Q337" s="186">
        <f>IF('prijem - EUR'!$I$87=TRUE,IF($C$11&gt;0,0.00025*M336,0),IF('prijem - EUR'!$I$88=TRUE,IF('prijem - EUR'!$F$88&gt;0,0.00025*M336*-1,0),0))</f>
        <v>0</v>
      </c>
    </row>
    <row r="338" spans="1:17" x14ac:dyDescent="0.2">
      <c r="A338" s="89">
        <v>322</v>
      </c>
      <c r="B338" s="186" t="e">
        <f t="shared" si="50"/>
        <v>#NUM!</v>
      </c>
      <c r="C338" s="171" t="e">
        <f t="shared" si="52"/>
        <v>#NUM!</v>
      </c>
      <c r="D338" s="171" t="e">
        <f t="shared" ref="D338:D401" si="55">(F338-E338)*-1</f>
        <v>#NUM!</v>
      </c>
      <c r="E338" s="171" t="e">
        <f t="shared" ref="E338:E401" si="56">IPMT($C$4/12,1,$C$5,C337)</f>
        <v>#NUM!</v>
      </c>
      <c r="F338" s="171" t="e">
        <f t="shared" ref="F338:F401" si="57">PMT($C$4/12,$C$5,$C$3)</f>
        <v>#NUM!</v>
      </c>
      <c r="G338" s="186">
        <f>IF('prijem - EUR'!$I$87=TRUE,IF($C$11&gt;0,0.00025*C337,0),IF('prijem - EUR'!$I$88=TRUE,IF('prijem - EUR'!$F$88&gt;0,0.00025*C337,0),0))</f>
        <v>0</v>
      </c>
      <c r="K338" s="89">
        <v>322</v>
      </c>
      <c r="L338" s="186" t="e">
        <f t="shared" si="51"/>
        <v>#DIV/0!</v>
      </c>
      <c r="M338" s="171" t="e">
        <f t="shared" si="53"/>
        <v>#DIV/0!</v>
      </c>
      <c r="N338" s="171" t="e">
        <f t="shared" si="54"/>
        <v>#DIV/0!</v>
      </c>
      <c r="O338" s="171" t="e">
        <f t="shared" ref="O338:O401" si="58">M337*$M$4/12</f>
        <v>#DIV/0!</v>
      </c>
      <c r="P338" s="171" t="e">
        <f t="shared" ref="P338:P401" si="59">O338+N338</f>
        <v>#DIV/0!</v>
      </c>
      <c r="Q338" s="186">
        <f>IF('prijem - EUR'!$I$87=TRUE,IF($C$11&gt;0,0.00025*M337,0),IF('prijem - EUR'!$I$88=TRUE,IF('prijem - EUR'!$F$88&gt;0,0.00025*M337*-1,0),0))</f>
        <v>0</v>
      </c>
    </row>
    <row r="339" spans="1:17" x14ac:dyDescent="0.2">
      <c r="A339" s="89">
        <v>323</v>
      </c>
      <c r="B339" s="186" t="e">
        <f t="shared" si="50"/>
        <v>#NUM!</v>
      </c>
      <c r="C339" s="171" t="e">
        <f t="shared" si="52"/>
        <v>#NUM!</v>
      </c>
      <c r="D339" s="171" t="e">
        <f t="shared" si="55"/>
        <v>#NUM!</v>
      </c>
      <c r="E339" s="171" t="e">
        <f t="shared" si="56"/>
        <v>#NUM!</v>
      </c>
      <c r="F339" s="171" t="e">
        <f t="shared" si="57"/>
        <v>#NUM!</v>
      </c>
      <c r="G339" s="186">
        <f>IF('prijem - EUR'!$I$87=TRUE,IF($C$11&gt;0,0.00025*C338,0),IF('prijem - EUR'!$I$88=TRUE,IF('prijem - EUR'!$F$88&gt;0,0.00025*C338,0),0))</f>
        <v>0</v>
      </c>
      <c r="K339" s="89">
        <v>323</v>
      </c>
      <c r="L339" s="186" t="e">
        <f t="shared" si="51"/>
        <v>#DIV/0!</v>
      </c>
      <c r="M339" s="171" t="e">
        <f t="shared" si="53"/>
        <v>#DIV/0!</v>
      </c>
      <c r="N339" s="171" t="e">
        <f t="shared" si="54"/>
        <v>#DIV/0!</v>
      </c>
      <c r="O339" s="171" t="e">
        <f t="shared" si="58"/>
        <v>#DIV/0!</v>
      </c>
      <c r="P339" s="171" t="e">
        <f t="shared" si="59"/>
        <v>#DIV/0!</v>
      </c>
      <c r="Q339" s="186">
        <f>IF('prijem - EUR'!$I$87=TRUE,IF($C$11&gt;0,0.00025*M338,0),IF('prijem - EUR'!$I$88=TRUE,IF('prijem - EUR'!$F$88&gt;0,0.00025*M338*-1,0),0))</f>
        <v>0</v>
      </c>
    </row>
    <row r="340" spans="1:17" x14ac:dyDescent="0.2">
      <c r="A340" s="89">
        <v>324</v>
      </c>
      <c r="B340" s="186" t="e">
        <f t="shared" si="50"/>
        <v>#NUM!</v>
      </c>
      <c r="C340" s="171" t="e">
        <f t="shared" si="52"/>
        <v>#NUM!</v>
      </c>
      <c r="D340" s="171" t="e">
        <f t="shared" si="55"/>
        <v>#NUM!</v>
      </c>
      <c r="E340" s="171" t="e">
        <f t="shared" si="56"/>
        <v>#NUM!</v>
      </c>
      <c r="F340" s="171" t="e">
        <f t="shared" si="57"/>
        <v>#NUM!</v>
      </c>
      <c r="G340" s="186">
        <f>IF('prijem - EUR'!$I$87=TRUE,IF($C$11&gt;0,0.00025*C339,0),IF('prijem - EUR'!$I$88=TRUE,IF('prijem - EUR'!$F$88&gt;0,0.00025*C339,0),0))</f>
        <v>0</v>
      </c>
      <c r="K340" s="89">
        <v>324</v>
      </c>
      <c r="L340" s="186" t="e">
        <f t="shared" si="51"/>
        <v>#DIV/0!</v>
      </c>
      <c r="M340" s="171" t="e">
        <f t="shared" si="53"/>
        <v>#DIV/0!</v>
      </c>
      <c r="N340" s="171" t="e">
        <f t="shared" si="54"/>
        <v>#DIV/0!</v>
      </c>
      <c r="O340" s="171" t="e">
        <f t="shared" si="58"/>
        <v>#DIV/0!</v>
      </c>
      <c r="P340" s="171" t="e">
        <f t="shared" si="59"/>
        <v>#DIV/0!</v>
      </c>
      <c r="Q340" s="186">
        <f>IF('prijem - EUR'!$I$87=TRUE,IF($C$11&gt;0,0.00025*M339,0),IF('prijem - EUR'!$I$88=TRUE,IF('prijem - EUR'!$F$88&gt;0,0.00025*M339*-1,0),0))</f>
        <v>0</v>
      </c>
    </row>
    <row r="341" spans="1:17" x14ac:dyDescent="0.2">
      <c r="A341" s="89">
        <v>325</v>
      </c>
      <c r="B341" s="186" t="e">
        <f t="shared" si="50"/>
        <v>#NUM!</v>
      </c>
      <c r="C341" s="171" t="e">
        <f t="shared" si="52"/>
        <v>#NUM!</v>
      </c>
      <c r="D341" s="171" t="e">
        <f t="shared" si="55"/>
        <v>#NUM!</v>
      </c>
      <c r="E341" s="171" t="e">
        <f t="shared" si="56"/>
        <v>#NUM!</v>
      </c>
      <c r="F341" s="171" t="e">
        <f t="shared" si="57"/>
        <v>#NUM!</v>
      </c>
      <c r="G341" s="186">
        <f>IF('prijem - EUR'!$I$87=TRUE,IF($C$11&gt;0,0.00025*C340,0),IF('prijem - EUR'!$I$88=TRUE,IF('prijem - EUR'!$F$88&gt;0,0.00025*C340,0),0))</f>
        <v>0</v>
      </c>
      <c r="K341" s="89">
        <v>325</v>
      </c>
      <c r="L341" s="186" t="e">
        <f t="shared" si="51"/>
        <v>#DIV/0!</v>
      </c>
      <c r="M341" s="171" t="e">
        <f t="shared" si="53"/>
        <v>#DIV/0!</v>
      </c>
      <c r="N341" s="171" t="e">
        <f t="shared" si="54"/>
        <v>#DIV/0!</v>
      </c>
      <c r="O341" s="171" t="e">
        <f t="shared" si="58"/>
        <v>#DIV/0!</v>
      </c>
      <c r="P341" s="171" t="e">
        <f t="shared" si="59"/>
        <v>#DIV/0!</v>
      </c>
      <c r="Q341" s="186">
        <f>IF('prijem - EUR'!$I$87=TRUE,IF($C$11&gt;0,0.00025*M340,0),IF('prijem - EUR'!$I$88=TRUE,IF('prijem - EUR'!$F$88&gt;0,0.00025*M340*-1,0),0))</f>
        <v>0</v>
      </c>
    </row>
    <row r="342" spans="1:17" x14ac:dyDescent="0.2">
      <c r="A342" s="89">
        <v>326</v>
      </c>
      <c r="B342" s="186" t="e">
        <f t="shared" si="50"/>
        <v>#NUM!</v>
      </c>
      <c r="C342" s="171" t="e">
        <f t="shared" si="52"/>
        <v>#NUM!</v>
      </c>
      <c r="D342" s="171" t="e">
        <f t="shared" si="55"/>
        <v>#NUM!</v>
      </c>
      <c r="E342" s="171" t="e">
        <f t="shared" si="56"/>
        <v>#NUM!</v>
      </c>
      <c r="F342" s="171" t="e">
        <f t="shared" si="57"/>
        <v>#NUM!</v>
      </c>
      <c r="G342" s="186">
        <f>IF('prijem - EUR'!$I$87=TRUE,IF($C$11&gt;0,0.00025*C341,0),IF('prijem - EUR'!$I$88=TRUE,IF('prijem - EUR'!$F$88&gt;0,0.00025*C341,0),0))</f>
        <v>0</v>
      </c>
      <c r="K342" s="89">
        <v>326</v>
      </c>
      <c r="L342" s="186" t="e">
        <f t="shared" si="51"/>
        <v>#DIV/0!</v>
      </c>
      <c r="M342" s="171" t="e">
        <f t="shared" si="53"/>
        <v>#DIV/0!</v>
      </c>
      <c r="N342" s="171" t="e">
        <f t="shared" si="54"/>
        <v>#DIV/0!</v>
      </c>
      <c r="O342" s="171" t="e">
        <f t="shared" si="58"/>
        <v>#DIV/0!</v>
      </c>
      <c r="P342" s="171" t="e">
        <f t="shared" si="59"/>
        <v>#DIV/0!</v>
      </c>
      <c r="Q342" s="186">
        <f>IF('prijem - EUR'!$I$87=TRUE,IF($C$11&gt;0,0.00025*M341,0),IF('prijem - EUR'!$I$88=TRUE,IF('prijem - EUR'!$F$88&gt;0,0.00025*M341*-1,0),0))</f>
        <v>0</v>
      </c>
    </row>
    <row r="343" spans="1:17" x14ac:dyDescent="0.2">
      <c r="A343" s="89">
        <v>327</v>
      </c>
      <c r="B343" s="186" t="e">
        <f t="shared" si="50"/>
        <v>#NUM!</v>
      </c>
      <c r="C343" s="171" t="e">
        <f t="shared" si="52"/>
        <v>#NUM!</v>
      </c>
      <c r="D343" s="171" t="e">
        <f t="shared" si="55"/>
        <v>#NUM!</v>
      </c>
      <c r="E343" s="171" t="e">
        <f t="shared" si="56"/>
        <v>#NUM!</v>
      </c>
      <c r="F343" s="171" t="e">
        <f t="shared" si="57"/>
        <v>#NUM!</v>
      </c>
      <c r="G343" s="186">
        <f>IF('prijem - EUR'!$I$87=TRUE,IF($C$11&gt;0,0.00025*C342,0),IF('prijem - EUR'!$I$88=TRUE,IF('prijem - EUR'!$F$88&gt;0,0.00025*C342,0),0))</f>
        <v>0</v>
      </c>
      <c r="K343" s="89">
        <v>327</v>
      </c>
      <c r="L343" s="186" t="e">
        <f t="shared" si="51"/>
        <v>#DIV/0!</v>
      </c>
      <c r="M343" s="171" t="e">
        <f t="shared" si="53"/>
        <v>#DIV/0!</v>
      </c>
      <c r="N343" s="171" t="e">
        <f t="shared" si="54"/>
        <v>#DIV/0!</v>
      </c>
      <c r="O343" s="171" t="e">
        <f t="shared" si="58"/>
        <v>#DIV/0!</v>
      </c>
      <c r="P343" s="171" t="e">
        <f t="shared" si="59"/>
        <v>#DIV/0!</v>
      </c>
      <c r="Q343" s="186">
        <f>IF('prijem - EUR'!$I$87=TRUE,IF($C$11&gt;0,0.00025*M342,0),IF('prijem - EUR'!$I$88=TRUE,IF('prijem - EUR'!$F$88&gt;0,0.00025*M342*-1,0),0))</f>
        <v>0</v>
      </c>
    </row>
    <row r="344" spans="1:17" x14ac:dyDescent="0.2">
      <c r="A344" s="89">
        <v>328</v>
      </c>
      <c r="B344" s="186" t="e">
        <f t="shared" si="50"/>
        <v>#NUM!</v>
      </c>
      <c r="C344" s="171" t="e">
        <f t="shared" si="52"/>
        <v>#NUM!</v>
      </c>
      <c r="D344" s="171" t="e">
        <f t="shared" si="55"/>
        <v>#NUM!</v>
      </c>
      <c r="E344" s="171" t="e">
        <f t="shared" si="56"/>
        <v>#NUM!</v>
      </c>
      <c r="F344" s="171" t="e">
        <f t="shared" si="57"/>
        <v>#NUM!</v>
      </c>
      <c r="G344" s="186">
        <f>IF('prijem - EUR'!$I$87=TRUE,IF($C$11&gt;0,0.00025*C343,0),IF('prijem - EUR'!$I$88=TRUE,IF('prijem - EUR'!$F$88&gt;0,0.00025*C343,0),0))</f>
        <v>0</v>
      </c>
      <c r="K344" s="89">
        <v>328</v>
      </c>
      <c r="L344" s="186" t="e">
        <f t="shared" si="51"/>
        <v>#DIV/0!</v>
      </c>
      <c r="M344" s="171" t="e">
        <f t="shared" si="53"/>
        <v>#DIV/0!</v>
      </c>
      <c r="N344" s="171" t="e">
        <f t="shared" si="54"/>
        <v>#DIV/0!</v>
      </c>
      <c r="O344" s="171" t="e">
        <f t="shared" si="58"/>
        <v>#DIV/0!</v>
      </c>
      <c r="P344" s="171" t="e">
        <f t="shared" si="59"/>
        <v>#DIV/0!</v>
      </c>
      <c r="Q344" s="186">
        <f>IF('prijem - EUR'!$I$87=TRUE,IF($C$11&gt;0,0.00025*M343,0),IF('prijem - EUR'!$I$88=TRUE,IF('prijem - EUR'!$F$88&gt;0,0.00025*M343*-1,0),0))</f>
        <v>0</v>
      </c>
    </row>
    <row r="345" spans="1:17" x14ac:dyDescent="0.2">
      <c r="A345" s="89">
        <v>329</v>
      </c>
      <c r="B345" s="186" t="e">
        <f t="shared" si="50"/>
        <v>#NUM!</v>
      </c>
      <c r="C345" s="171" t="e">
        <f t="shared" si="52"/>
        <v>#NUM!</v>
      </c>
      <c r="D345" s="171" t="e">
        <f t="shared" si="55"/>
        <v>#NUM!</v>
      </c>
      <c r="E345" s="171" t="e">
        <f t="shared" si="56"/>
        <v>#NUM!</v>
      </c>
      <c r="F345" s="171" t="e">
        <f t="shared" si="57"/>
        <v>#NUM!</v>
      </c>
      <c r="G345" s="186">
        <f>IF('prijem - EUR'!$I$87=TRUE,IF($C$11&gt;0,0.00025*C344,0),IF('prijem - EUR'!$I$88=TRUE,IF('prijem - EUR'!$F$88&gt;0,0.00025*C344,0),0))</f>
        <v>0</v>
      </c>
      <c r="K345" s="89">
        <v>329</v>
      </c>
      <c r="L345" s="186" t="e">
        <f t="shared" si="51"/>
        <v>#DIV/0!</v>
      </c>
      <c r="M345" s="171" t="e">
        <f t="shared" si="53"/>
        <v>#DIV/0!</v>
      </c>
      <c r="N345" s="171" t="e">
        <f t="shared" si="54"/>
        <v>#DIV/0!</v>
      </c>
      <c r="O345" s="171" t="e">
        <f t="shared" si="58"/>
        <v>#DIV/0!</v>
      </c>
      <c r="P345" s="171" t="e">
        <f t="shared" si="59"/>
        <v>#DIV/0!</v>
      </c>
      <c r="Q345" s="186">
        <f>IF('prijem - EUR'!$I$87=TRUE,IF($C$11&gt;0,0.00025*M344,0),IF('prijem - EUR'!$I$88=TRUE,IF('prijem - EUR'!$F$88&gt;0,0.00025*M344*-1,0),0))</f>
        <v>0</v>
      </c>
    </row>
    <row r="346" spans="1:17" x14ac:dyDescent="0.2">
      <c r="A346" s="89">
        <v>330</v>
      </c>
      <c r="B346" s="186" t="e">
        <f t="shared" si="50"/>
        <v>#NUM!</v>
      </c>
      <c r="C346" s="171" t="e">
        <f t="shared" si="52"/>
        <v>#NUM!</v>
      </c>
      <c r="D346" s="171" t="e">
        <f t="shared" si="55"/>
        <v>#NUM!</v>
      </c>
      <c r="E346" s="171" t="e">
        <f t="shared" si="56"/>
        <v>#NUM!</v>
      </c>
      <c r="F346" s="171" t="e">
        <f t="shared" si="57"/>
        <v>#NUM!</v>
      </c>
      <c r="G346" s="186">
        <f>IF('prijem - EUR'!$I$87=TRUE,IF($C$11&gt;0,0.00025*C345,0),IF('prijem - EUR'!$I$88=TRUE,IF('prijem - EUR'!$F$88&gt;0,0.00025*C345,0),0))</f>
        <v>0</v>
      </c>
      <c r="K346" s="89">
        <v>330</v>
      </c>
      <c r="L346" s="186" t="e">
        <f t="shared" si="51"/>
        <v>#DIV/0!</v>
      </c>
      <c r="M346" s="171" t="e">
        <f t="shared" si="53"/>
        <v>#DIV/0!</v>
      </c>
      <c r="N346" s="171" t="e">
        <f t="shared" si="54"/>
        <v>#DIV/0!</v>
      </c>
      <c r="O346" s="171" t="e">
        <f t="shared" si="58"/>
        <v>#DIV/0!</v>
      </c>
      <c r="P346" s="171" t="e">
        <f t="shared" si="59"/>
        <v>#DIV/0!</v>
      </c>
      <c r="Q346" s="186">
        <f>IF('prijem - EUR'!$I$87=TRUE,IF($C$11&gt;0,0.00025*M345,0),IF('prijem - EUR'!$I$88=TRUE,IF('prijem - EUR'!$F$88&gt;0,0.00025*M345*-1,0),0))</f>
        <v>0</v>
      </c>
    </row>
    <row r="347" spans="1:17" x14ac:dyDescent="0.2">
      <c r="A347" s="89">
        <v>331</v>
      </c>
      <c r="B347" s="186" t="e">
        <f t="shared" si="50"/>
        <v>#NUM!</v>
      </c>
      <c r="C347" s="171" t="e">
        <f t="shared" si="52"/>
        <v>#NUM!</v>
      </c>
      <c r="D347" s="171" t="e">
        <f t="shared" si="55"/>
        <v>#NUM!</v>
      </c>
      <c r="E347" s="171" t="e">
        <f t="shared" si="56"/>
        <v>#NUM!</v>
      </c>
      <c r="F347" s="171" t="e">
        <f t="shared" si="57"/>
        <v>#NUM!</v>
      </c>
      <c r="G347" s="186">
        <f>IF('prijem - EUR'!$I$87=TRUE,IF($C$11&gt;0,0.00025*C346,0),IF('prijem - EUR'!$I$88=TRUE,IF('prijem - EUR'!$F$88&gt;0,0.00025*C346,0),0))</f>
        <v>0</v>
      </c>
      <c r="K347" s="89">
        <v>331</v>
      </c>
      <c r="L347" s="186" t="e">
        <f t="shared" si="51"/>
        <v>#DIV/0!</v>
      </c>
      <c r="M347" s="171" t="e">
        <f t="shared" si="53"/>
        <v>#DIV/0!</v>
      </c>
      <c r="N347" s="171" t="e">
        <f t="shared" si="54"/>
        <v>#DIV/0!</v>
      </c>
      <c r="O347" s="171" t="e">
        <f t="shared" si="58"/>
        <v>#DIV/0!</v>
      </c>
      <c r="P347" s="171" t="e">
        <f t="shared" si="59"/>
        <v>#DIV/0!</v>
      </c>
      <c r="Q347" s="186">
        <f>IF('prijem - EUR'!$I$87=TRUE,IF($C$11&gt;0,0.00025*M346,0),IF('prijem - EUR'!$I$88=TRUE,IF('prijem - EUR'!$F$88&gt;0,0.00025*M346*-1,0),0))</f>
        <v>0</v>
      </c>
    </row>
    <row r="348" spans="1:17" x14ac:dyDescent="0.2">
      <c r="A348" s="89">
        <v>332</v>
      </c>
      <c r="B348" s="186" t="e">
        <f t="shared" si="50"/>
        <v>#NUM!</v>
      </c>
      <c r="C348" s="171" t="e">
        <f t="shared" si="52"/>
        <v>#NUM!</v>
      </c>
      <c r="D348" s="171" t="e">
        <f t="shared" si="55"/>
        <v>#NUM!</v>
      </c>
      <c r="E348" s="171" t="e">
        <f t="shared" si="56"/>
        <v>#NUM!</v>
      </c>
      <c r="F348" s="171" t="e">
        <f t="shared" si="57"/>
        <v>#NUM!</v>
      </c>
      <c r="G348" s="186">
        <f>IF('prijem - EUR'!$I$87=TRUE,IF($C$11&gt;0,0.00025*C347,0),IF('prijem - EUR'!$I$88=TRUE,IF('prijem - EUR'!$F$88&gt;0,0.00025*C347,0),0))</f>
        <v>0</v>
      </c>
      <c r="K348" s="89">
        <v>332</v>
      </c>
      <c r="L348" s="186" t="e">
        <f t="shared" si="51"/>
        <v>#DIV/0!</v>
      </c>
      <c r="M348" s="171" t="e">
        <f t="shared" si="53"/>
        <v>#DIV/0!</v>
      </c>
      <c r="N348" s="171" t="e">
        <f t="shared" si="54"/>
        <v>#DIV/0!</v>
      </c>
      <c r="O348" s="171" t="e">
        <f t="shared" si="58"/>
        <v>#DIV/0!</v>
      </c>
      <c r="P348" s="171" t="e">
        <f t="shared" si="59"/>
        <v>#DIV/0!</v>
      </c>
      <c r="Q348" s="186">
        <f>IF('prijem - EUR'!$I$87=TRUE,IF($C$11&gt;0,0.00025*M347,0),IF('prijem - EUR'!$I$88=TRUE,IF('prijem - EUR'!$F$88&gt;0,0.00025*M347*-1,0),0))</f>
        <v>0</v>
      </c>
    </row>
    <row r="349" spans="1:17" x14ac:dyDescent="0.2">
      <c r="A349" s="89">
        <v>333</v>
      </c>
      <c r="B349" s="186" t="e">
        <f t="shared" si="50"/>
        <v>#NUM!</v>
      </c>
      <c r="C349" s="171" t="e">
        <f t="shared" si="52"/>
        <v>#NUM!</v>
      </c>
      <c r="D349" s="171" t="e">
        <f t="shared" si="55"/>
        <v>#NUM!</v>
      </c>
      <c r="E349" s="171" t="e">
        <f t="shared" si="56"/>
        <v>#NUM!</v>
      </c>
      <c r="F349" s="171" t="e">
        <f t="shared" si="57"/>
        <v>#NUM!</v>
      </c>
      <c r="G349" s="186">
        <f>IF('prijem - EUR'!$I$87=TRUE,IF($C$11&gt;0,0.00025*C348,0),IF('prijem - EUR'!$I$88=TRUE,IF('prijem - EUR'!$F$88&gt;0,0.00025*C348,0),0))</f>
        <v>0</v>
      </c>
      <c r="K349" s="89">
        <v>333</v>
      </c>
      <c r="L349" s="186" t="e">
        <f t="shared" si="51"/>
        <v>#DIV/0!</v>
      </c>
      <c r="M349" s="171" t="e">
        <f t="shared" si="53"/>
        <v>#DIV/0!</v>
      </c>
      <c r="N349" s="171" t="e">
        <f t="shared" si="54"/>
        <v>#DIV/0!</v>
      </c>
      <c r="O349" s="171" t="e">
        <f t="shared" si="58"/>
        <v>#DIV/0!</v>
      </c>
      <c r="P349" s="171" t="e">
        <f t="shared" si="59"/>
        <v>#DIV/0!</v>
      </c>
      <c r="Q349" s="186">
        <f>IF('prijem - EUR'!$I$87=TRUE,IF($C$11&gt;0,0.00025*M348,0),IF('prijem - EUR'!$I$88=TRUE,IF('prijem - EUR'!$F$88&gt;0,0.00025*M348*-1,0),0))</f>
        <v>0</v>
      </c>
    </row>
    <row r="350" spans="1:17" x14ac:dyDescent="0.2">
      <c r="A350" s="89">
        <v>334</v>
      </c>
      <c r="B350" s="186" t="e">
        <f t="shared" si="50"/>
        <v>#NUM!</v>
      </c>
      <c r="C350" s="171" t="e">
        <f t="shared" si="52"/>
        <v>#NUM!</v>
      </c>
      <c r="D350" s="171" t="e">
        <f t="shared" si="55"/>
        <v>#NUM!</v>
      </c>
      <c r="E350" s="171" t="e">
        <f t="shared" si="56"/>
        <v>#NUM!</v>
      </c>
      <c r="F350" s="171" t="e">
        <f t="shared" si="57"/>
        <v>#NUM!</v>
      </c>
      <c r="G350" s="186">
        <f>IF('prijem - EUR'!$I$87=TRUE,IF($C$11&gt;0,0.00025*C349,0),IF('prijem - EUR'!$I$88=TRUE,IF('prijem - EUR'!$F$88&gt;0,0.00025*C349,0),0))</f>
        <v>0</v>
      </c>
      <c r="K350" s="89">
        <v>334</v>
      </c>
      <c r="L350" s="186" t="e">
        <f t="shared" si="51"/>
        <v>#DIV/0!</v>
      </c>
      <c r="M350" s="171" t="e">
        <f t="shared" si="53"/>
        <v>#DIV/0!</v>
      </c>
      <c r="N350" s="171" t="e">
        <f t="shared" si="54"/>
        <v>#DIV/0!</v>
      </c>
      <c r="O350" s="171" t="e">
        <f t="shared" si="58"/>
        <v>#DIV/0!</v>
      </c>
      <c r="P350" s="171" t="e">
        <f t="shared" si="59"/>
        <v>#DIV/0!</v>
      </c>
      <c r="Q350" s="186">
        <f>IF('prijem - EUR'!$I$87=TRUE,IF($C$11&gt;0,0.00025*M349,0),IF('prijem - EUR'!$I$88=TRUE,IF('prijem - EUR'!$F$88&gt;0,0.00025*M349*-1,0),0))</f>
        <v>0</v>
      </c>
    </row>
    <row r="351" spans="1:17" x14ac:dyDescent="0.2">
      <c r="A351" s="89">
        <v>335</v>
      </c>
      <c r="B351" s="186" t="e">
        <f t="shared" si="50"/>
        <v>#NUM!</v>
      </c>
      <c r="C351" s="171" t="e">
        <f t="shared" si="52"/>
        <v>#NUM!</v>
      </c>
      <c r="D351" s="171" t="e">
        <f t="shared" si="55"/>
        <v>#NUM!</v>
      </c>
      <c r="E351" s="171" t="e">
        <f t="shared" si="56"/>
        <v>#NUM!</v>
      </c>
      <c r="F351" s="171" t="e">
        <f t="shared" si="57"/>
        <v>#NUM!</v>
      </c>
      <c r="G351" s="186">
        <f>IF('prijem - EUR'!$I$87=TRUE,IF($C$11&gt;0,0.00025*C350,0),IF('prijem - EUR'!$I$88=TRUE,IF('prijem - EUR'!$F$88&gt;0,0.00025*C350,0),0))</f>
        <v>0</v>
      </c>
      <c r="K351" s="89">
        <v>335</v>
      </c>
      <c r="L351" s="186" t="e">
        <f t="shared" si="51"/>
        <v>#DIV/0!</v>
      </c>
      <c r="M351" s="171" t="e">
        <f t="shared" si="53"/>
        <v>#DIV/0!</v>
      </c>
      <c r="N351" s="171" t="e">
        <f t="shared" si="54"/>
        <v>#DIV/0!</v>
      </c>
      <c r="O351" s="171" t="e">
        <f t="shared" si="58"/>
        <v>#DIV/0!</v>
      </c>
      <c r="P351" s="171" t="e">
        <f t="shared" si="59"/>
        <v>#DIV/0!</v>
      </c>
      <c r="Q351" s="186">
        <f>IF('prijem - EUR'!$I$87=TRUE,IF($C$11&gt;0,0.00025*M350,0),IF('prijem - EUR'!$I$88=TRUE,IF('prijem - EUR'!$F$88&gt;0,0.00025*M350*-1,0),0))</f>
        <v>0</v>
      </c>
    </row>
    <row r="352" spans="1:17" x14ac:dyDescent="0.2">
      <c r="A352" s="89">
        <v>336</v>
      </c>
      <c r="B352" s="186" t="e">
        <f t="shared" si="50"/>
        <v>#NUM!</v>
      </c>
      <c r="C352" s="171" t="e">
        <f t="shared" si="52"/>
        <v>#NUM!</v>
      </c>
      <c r="D352" s="171" t="e">
        <f t="shared" si="55"/>
        <v>#NUM!</v>
      </c>
      <c r="E352" s="171" t="e">
        <f t="shared" si="56"/>
        <v>#NUM!</v>
      </c>
      <c r="F352" s="171" t="e">
        <f t="shared" si="57"/>
        <v>#NUM!</v>
      </c>
      <c r="G352" s="186">
        <f>IF('prijem - EUR'!$I$87=TRUE,IF($C$11&gt;0,0.00025*C351,0),IF('prijem - EUR'!$I$88=TRUE,IF('prijem - EUR'!$F$88&gt;0,0.00025*C351,0),0))</f>
        <v>0</v>
      </c>
      <c r="K352" s="89">
        <v>336</v>
      </c>
      <c r="L352" s="186" t="e">
        <f t="shared" si="51"/>
        <v>#DIV/0!</v>
      </c>
      <c r="M352" s="171" t="e">
        <f t="shared" si="53"/>
        <v>#DIV/0!</v>
      </c>
      <c r="N352" s="171" t="e">
        <f t="shared" si="54"/>
        <v>#DIV/0!</v>
      </c>
      <c r="O352" s="171" t="e">
        <f t="shared" si="58"/>
        <v>#DIV/0!</v>
      </c>
      <c r="P352" s="171" t="e">
        <f t="shared" si="59"/>
        <v>#DIV/0!</v>
      </c>
      <c r="Q352" s="186">
        <f>IF('prijem - EUR'!$I$87=TRUE,IF($C$11&gt;0,0.00025*M351,0),IF('prijem - EUR'!$I$88=TRUE,IF('prijem - EUR'!$F$88&gt;0,0.00025*M351*-1,0),0))</f>
        <v>0</v>
      </c>
    </row>
    <row r="353" spans="1:17" x14ac:dyDescent="0.2">
      <c r="A353" s="89">
        <v>337</v>
      </c>
      <c r="B353" s="186" t="e">
        <f t="shared" si="50"/>
        <v>#NUM!</v>
      </c>
      <c r="C353" s="171" t="e">
        <f t="shared" si="52"/>
        <v>#NUM!</v>
      </c>
      <c r="D353" s="171" t="e">
        <f t="shared" si="55"/>
        <v>#NUM!</v>
      </c>
      <c r="E353" s="171" t="e">
        <f t="shared" si="56"/>
        <v>#NUM!</v>
      </c>
      <c r="F353" s="171" t="e">
        <f t="shared" si="57"/>
        <v>#NUM!</v>
      </c>
      <c r="G353" s="186">
        <f>IF('prijem - EUR'!$I$87=TRUE,IF($C$11&gt;0,0.00025*C352,0),IF('prijem - EUR'!$I$88=TRUE,IF('prijem - EUR'!$F$88&gt;0,0.00025*C352,0),0))</f>
        <v>0</v>
      </c>
      <c r="K353" s="89">
        <v>337</v>
      </c>
      <c r="L353" s="186" t="e">
        <f t="shared" si="51"/>
        <v>#DIV/0!</v>
      </c>
      <c r="M353" s="171" t="e">
        <f t="shared" si="53"/>
        <v>#DIV/0!</v>
      </c>
      <c r="N353" s="171" t="e">
        <f t="shared" si="54"/>
        <v>#DIV/0!</v>
      </c>
      <c r="O353" s="171" t="e">
        <f t="shared" si="58"/>
        <v>#DIV/0!</v>
      </c>
      <c r="P353" s="171" t="e">
        <f t="shared" si="59"/>
        <v>#DIV/0!</v>
      </c>
      <c r="Q353" s="186">
        <f>IF('prijem - EUR'!$I$87=TRUE,IF($C$11&gt;0,0.00025*M352,0),IF('prijem - EUR'!$I$88=TRUE,IF('prijem - EUR'!$F$88&gt;0,0.00025*M352*-1,0),0))</f>
        <v>0</v>
      </c>
    </row>
    <row r="354" spans="1:17" x14ac:dyDescent="0.2">
      <c r="A354" s="89">
        <v>338</v>
      </c>
      <c r="B354" s="186" t="e">
        <f t="shared" si="50"/>
        <v>#NUM!</v>
      </c>
      <c r="C354" s="171" t="e">
        <f t="shared" si="52"/>
        <v>#NUM!</v>
      </c>
      <c r="D354" s="171" t="e">
        <f t="shared" si="55"/>
        <v>#NUM!</v>
      </c>
      <c r="E354" s="171" t="e">
        <f t="shared" si="56"/>
        <v>#NUM!</v>
      </c>
      <c r="F354" s="171" t="e">
        <f t="shared" si="57"/>
        <v>#NUM!</v>
      </c>
      <c r="G354" s="186">
        <f>IF('prijem - EUR'!$I$87=TRUE,IF($C$11&gt;0,0.00025*C353,0),IF('prijem - EUR'!$I$88=TRUE,IF('prijem - EUR'!$F$88&gt;0,0.00025*C353,0),0))</f>
        <v>0</v>
      </c>
      <c r="K354" s="89">
        <v>338</v>
      </c>
      <c r="L354" s="186" t="e">
        <f t="shared" si="51"/>
        <v>#DIV/0!</v>
      </c>
      <c r="M354" s="171" t="e">
        <f t="shared" si="53"/>
        <v>#DIV/0!</v>
      </c>
      <c r="N354" s="171" t="e">
        <f t="shared" si="54"/>
        <v>#DIV/0!</v>
      </c>
      <c r="O354" s="171" t="e">
        <f t="shared" si="58"/>
        <v>#DIV/0!</v>
      </c>
      <c r="P354" s="171" t="e">
        <f t="shared" si="59"/>
        <v>#DIV/0!</v>
      </c>
      <c r="Q354" s="186">
        <f>IF('prijem - EUR'!$I$87=TRUE,IF($C$11&gt;0,0.00025*M353,0),IF('prijem - EUR'!$I$88=TRUE,IF('prijem - EUR'!$F$88&gt;0,0.00025*M353*-1,0),0))</f>
        <v>0</v>
      </c>
    </row>
    <row r="355" spans="1:17" x14ac:dyDescent="0.2">
      <c r="A355" s="89">
        <v>339</v>
      </c>
      <c r="B355" s="186" t="e">
        <f t="shared" si="50"/>
        <v>#NUM!</v>
      </c>
      <c r="C355" s="171" t="e">
        <f t="shared" si="52"/>
        <v>#NUM!</v>
      </c>
      <c r="D355" s="171" t="e">
        <f t="shared" si="55"/>
        <v>#NUM!</v>
      </c>
      <c r="E355" s="171" t="e">
        <f t="shared" si="56"/>
        <v>#NUM!</v>
      </c>
      <c r="F355" s="171" t="e">
        <f t="shared" si="57"/>
        <v>#NUM!</v>
      </c>
      <c r="G355" s="186">
        <f>IF('prijem - EUR'!$I$87=TRUE,IF($C$11&gt;0,0.00025*C354,0),IF('prijem - EUR'!$I$88=TRUE,IF('prijem - EUR'!$F$88&gt;0,0.00025*C354,0),0))</f>
        <v>0</v>
      </c>
      <c r="K355" s="89">
        <v>339</v>
      </c>
      <c r="L355" s="186" t="e">
        <f t="shared" si="51"/>
        <v>#DIV/0!</v>
      </c>
      <c r="M355" s="171" t="e">
        <f t="shared" si="53"/>
        <v>#DIV/0!</v>
      </c>
      <c r="N355" s="171" t="e">
        <f t="shared" si="54"/>
        <v>#DIV/0!</v>
      </c>
      <c r="O355" s="171" t="e">
        <f t="shared" si="58"/>
        <v>#DIV/0!</v>
      </c>
      <c r="P355" s="171" t="e">
        <f t="shared" si="59"/>
        <v>#DIV/0!</v>
      </c>
      <c r="Q355" s="186">
        <f>IF('prijem - EUR'!$I$87=TRUE,IF($C$11&gt;0,0.00025*M354,0),IF('prijem - EUR'!$I$88=TRUE,IF('prijem - EUR'!$F$88&gt;0,0.00025*M354*-1,0),0))</f>
        <v>0</v>
      </c>
    </row>
    <row r="356" spans="1:17" x14ac:dyDescent="0.2">
      <c r="A356" s="89">
        <v>340</v>
      </c>
      <c r="B356" s="186" t="e">
        <f t="shared" si="50"/>
        <v>#NUM!</v>
      </c>
      <c r="C356" s="171" t="e">
        <f t="shared" si="52"/>
        <v>#NUM!</v>
      </c>
      <c r="D356" s="171" t="e">
        <f t="shared" si="55"/>
        <v>#NUM!</v>
      </c>
      <c r="E356" s="171" t="e">
        <f t="shared" si="56"/>
        <v>#NUM!</v>
      </c>
      <c r="F356" s="171" t="e">
        <f t="shared" si="57"/>
        <v>#NUM!</v>
      </c>
      <c r="G356" s="186">
        <f>IF('prijem - EUR'!$I$87=TRUE,IF($C$11&gt;0,0.00025*C355,0),IF('prijem - EUR'!$I$88=TRUE,IF('prijem - EUR'!$F$88&gt;0,0.00025*C355,0),0))</f>
        <v>0</v>
      </c>
      <c r="K356" s="89">
        <v>340</v>
      </c>
      <c r="L356" s="186" t="e">
        <f t="shared" si="51"/>
        <v>#DIV/0!</v>
      </c>
      <c r="M356" s="171" t="e">
        <f t="shared" si="53"/>
        <v>#DIV/0!</v>
      </c>
      <c r="N356" s="171" t="e">
        <f t="shared" si="54"/>
        <v>#DIV/0!</v>
      </c>
      <c r="O356" s="171" t="e">
        <f t="shared" si="58"/>
        <v>#DIV/0!</v>
      </c>
      <c r="P356" s="171" t="e">
        <f t="shared" si="59"/>
        <v>#DIV/0!</v>
      </c>
      <c r="Q356" s="186">
        <f>IF('prijem - EUR'!$I$87=TRUE,IF($C$11&gt;0,0.00025*M355,0),IF('prijem - EUR'!$I$88=TRUE,IF('prijem - EUR'!$F$88&gt;0,0.00025*M355*-1,0),0))</f>
        <v>0</v>
      </c>
    </row>
    <row r="357" spans="1:17" x14ac:dyDescent="0.2">
      <c r="A357" s="89">
        <v>341</v>
      </c>
      <c r="B357" s="186" t="e">
        <f t="shared" si="50"/>
        <v>#NUM!</v>
      </c>
      <c r="C357" s="171" t="e">
        <f t="shared" si="52"/>
        <v>#NUM!</v>
      </c>
      <c r="D357" s="171" t="e">
        <f t="shared" si="55"/>
        <v>#NUM!</v>
      </c>
      <c r="E357" s="171" t="e">
        <f t="shared" si="56"/>
        <v>#NUM!</v>
      </c>
      <c r="F357" s="171" t="e">
        <f t="shared" si="57"/>
        <v>#NUM!</v>
      </c>
      <c r="G357" s="186">
        <f>IF('prijem - EUR'!$I$87=TRUE,IF($C$11&gt;0,0.00025*C356,0),IF('prijem - EUR'!$I$88=TRUE,IF('prijem - EUR'!$F$88&gt;0,0.00025*C356,0),0))</f>
        <v>0</v>
      </c>
      <c r="K357" s="89">
        <v>341</v>
      </c>
      <c r="L357" s="186" t="e">
        <f t="shared" si="51"/>
        <v>#DIV/0!</v>
      </c>
      <c r="M357" s="171" t="e">
        <f t="shared" si="53"/>
        <v>#DIV/0!</v>
      </c>
      <c r="N357" s="171" t="e">
        <f t="shared" si="54"/>
        <v>#DIV/0!</v>
      </c>
      <c r="O357" s="171" t="e">
        <f t="shared" si="58"/>
        <v>#DIV/0!</v>
      </c>
      <c r="P357" s="171" t="e">
        <f t="shared" si="59"/>
        <v>#DIV/0!</v>
      </c>
      <c r="Q357" s="186">
        <f>IF('prijem - EUR'!$I$87=TRUE,IF($C$11&gt;0,0.00025*M356,0),IF('prijem - EUR'!$I$88=TRUE,IF('prijem - EUR'!$F$88&gt;0,0.00025*M356*-1,0),0))</f>
        <v>0</v>
      </c>
    </row>
    <row r="358" spans="1:17" x14ac:dyDescent="0.2">
      <c r="A358" s="89">
        <v>342</v>
      </c>
      <c r="B358" s="186" t="e">
        <f t="shared" si="50"/>
        <v>#NUM!</v>
      </c>
      <c r="C358" s="171" t="e">
        <f t="shared" si="52"/>
        <v>#NUM!</v>
      </c>
      <c r="D358" s="171" t="e">
        <f t="shared" si="55"/>
        <v>#NUM!</v>
      </c>
      <c r="E358" s="171" t="e">
        <f t="shared" si="56"/>
        <v>#NUM!</v>
      </c>
      <c r="F358" s="171" t="e">
        <f t="shared" si="57"/>
        <v>#NUM!</v>
      </c>
      <c r="G358" s="186">
        <f>IF('prijem - EUR'!$I$87=TRUE,IF($C$11&gt;0,0.00025*C357,0),IF('prijem - EUR'!$I$88=TRUE,IF('prijem - EUR'!$F$88&gt;0,0.00025*C357,0),0))</f>
        <v>0</v>
      </c>
      <c r="K358" s="89">
        <v>342</v>
      </c>
      <c r="L358" s="186" t="e">
        <f t="shared" si="51"/>
        <v>#DIV/0!</v>
      </c>
      <c r="M358" s="171" t="e">
        <f t="shared" si="53"/>
        <v>#DIV/0!</v>
      </c>
      <c r="N358" s="171" t="e">
        <f t="shared" si="54"/>
        <v>#DIV/0!</v>
      </c>
      <c r="O358" s="171" t="e">
        <f t="shared" si="58"/>
        <v>#DIV/0!</v>
      </c>
      <c r="P358" s="171" t="e">
        <f t="shared" si="59"/>
        <v>#DIV/0!</v>
      </c>
      <c r="Q358" s="186">
        <f>IF('prijem - EUR'!$I$87=TRUE,IF($C$11&gt;0,0.00025*M357,0),IF('prijem - EUR'!$I$88=TRUE,IF('prijem - EUR'!$F$88&gt;0,0.00025*M357*-1,0),0))</f>
        <v>0</v>
      </c>
    </row>
    <row r="359" spans="1:17" x14ac:dyDescent="0.2">
      <c r="A359" s="89">
        <v>343</v>
      </c>
      <c r="B359" s="186" t="e">
        <f t="shared" si="50"/>
        <v>#NUM!</v>
      </c>
      <c r="C359" s="171" t="e">
        <f t="shared" si="52"/>
        <v>#NUM!</v>
      </c>
      <c r="D359" s="171" t="e">
        <f t="shared" si="55"/>
        <v>#NUM!</v>
      </c>
      <c r="E359" s="171" t="e">
        <f t="shared" si="56"/>
        <v>#NUM!</v>
      </c>
      <c r="F359" s="171" t="e">
        <f t="shared" si="57"/>
        <v>#NUM!</v>
      </c>
      <c r="G359" s="186">
        <f>IF('prijem - EUR'!$I$87=TRUE,IF($C$11&gt;0,0.00025*C358,0),IF('prijem - EUR'!$I$88=TRUE,IF('prijem - EUR'!$F$88&gt;0,0.00025*C358,0),0))</f>
        <v>0</v>
      </c>
      <c r="K359" s="89">
        <v>343</v>
      </c>
      <c r="L359" s="186" t="e">
        <f t="shared" si="51"/>
        <v>#DIV/0!</v>
      </c>
      <c r="M359" s="171" t="e">
        <f t="shared" si="53"/>
        <v>#DIV/0!</v>
      </c>
      <c r="N359" s="171" t="e">
        <f t="shared" si="54"/>
        <v>#DIV/0!</v>
      </c>
      <c r="O359" s="171" t="e">
        <f t="shared" si="58"/>
        <v>#DIV/0!</v>
      </c>
      <c r="P359" s="171" t="e">
        <f t="shared" si="59"/>
        <v>#DIV/0!</v>
      </c>
      <c r="Q359" s="186">
        <f>IF('prijem - EUR'!$I$87=TRUE,IF($C$11&gt;0,0.00025*M358,0),IF('prijem - EUR'!$I$88=TRUE,IF('prijem - EUR'!$F$88&gt;0,0.00025*M358*-1,0),0))</f>
        <v>0</v>
      </c>
    </row>
    <row r="360" spans="1:17" x14ac:dyDescent="0.2">
      <c r="A360" s="89">
        <v>344</v>
      </c>
      <c r="B360" s="186" t="e">
        <f t="shared" si="50"/>
        <v>#NUM!</v>
      </c>
      <c r="C360" s="171" t="e">
        <f t="shared" si="52"/>
        <v>#NUM!</v>
      </c>
      <c r="D360" s="171" t="e">
        <f t="shared" si="55"/>
        <v>#NUM!</v>
      </c>
      <c r="E360" s="171" t="e">
        <f t="shared" si="56"/>
        <v>#NUM!</v>
      </c>
      <c r="F360" s="171" t="e">
        <f t="shared" si="57"/>
        <v>#NUM!</v>
      </c>
      <c r="G360" s="186">
        <f>IF('prijem - EUR'!$I$87=TRUE,IF($C$11&gt;0,0.00025*C359,0),IF('prijem - EUR'!$I$88=TRUE,IF('prijem - EUR'!$F$88&gt;0,0.00025*C359,0),0))</f>
        <v>0</v>
      </c>
      <c r="K360" s="89">
        <v>344</v>
      </c>
      <c r="L360" s="186" t="e">
        <f t="shared" si="51"/>
        <v>#DIV/0!</v>
      </c>
      <c r="M360" s="171" t="e">
        <f t="shared" si="53"/>
        <v>#DIV/0!</v>
      </c>
      <c r="N360" s="171" t="e">
        <f t="shared" si="54"/>
        <v>#DIV/0!</v>
      </c>
      <c r="O360" s="171" t="e">
        <f t="shared" si="58"/>
        <v>#DIV/0!</v>
      </c>
      <c r="P360" s="171" t="e">
        <f t="shared" si="59"/>
        <v>#DIV/0!</v>
      </c>
      <c r="Q360" s="186">
        <f>IF('prijem - EUR'!$I$87=TRUE,IF($C$11&gt;0,0.00025*M359,0),IF('prijem - EUR'!$I$88=TRUE,IF('prijem - EUR'!$F$88&gt;0,0.00025*M359*-1,0),0))</f>
        <v>0</v>
      </c>
    </row>
    <row r="361" spans="1:17" x14ac:dyDescent="0.2">
      <c r="A361" s="89">
        <v>345</v>
      </c>
      <c r="B361" s="186" t="e">
        <f t="shared" si="50"/>
        <v>#NUM!</v>
      </c>
      <c r="C361" s="171" t="e">
        <f t="shared" si="52"/>
        <v>#NUM!</v>
      </c>
      <c r="D361" s="171" t="e">
        <f t="shared" si="55"/>
        <v>#NUM!</v>
      </c>
      <c r="E361" s="171" t="e">
        <f t="shared" si="56"/>
        <v>#NUM!</v>
      </c>
      <c r="F361" s="171" t="e">
        <f t="shared" si="57"/>
        <v>#NUM!</v>
      </c>
      <c r="G361" s="186">
        <f>IF('prijem - EUR'!$I$87=TRUE,IF($C$11&gt;0,0.00025*C360,0),IF('prijem - EUR'!$I$88=TRUE,IF('prijem - EUR'!$F$88&gt;0,0.00025*C360,0),0))</f>
        <v>0</v>
      </c>
      <c r="K361" s="89">
        <v>345</v>
      </c>
      <c r="L361" s="186" t="e">
        <f t="shared" si="51"/>
        <v>#DIV/0!</v>
      </c>
      <c r="M361" s="171" t="e">
        <f t="shared" si="53"/>
        <v>#DIV/0!</v>
      </c>
      <c r="N361" s="171" t="e">
        <f t="shared" si="54"/>
        <v>#DIV/0!</v>
      </c>
      <c r="O361" s="171" t="e">
        <f t="shared" si="58"/>
        <v>#DIV/0!</v>
      </c>
      <c r="P361" s="171" t="e">
        <f t="shared" si="59"/>
        <v>#DIV/0!</v>
      </c>
      <c r="Q361" s="186">
        <f>IF('prijem - EUR'!$I$87=TRUE,IF($C$11&gt;0,0.00025*M360,0),IF('prijem - EUR'!$I$88=TRUE,IF('prijem - EUR'!$F$88&gt;0,0.00025*M360*-1,0),0))</f>
        <v>0</v>
      </c>
    </row>
    <row r="362" spans="1:17" x14ac:dyDescent="0.2">
      <c r="A362" s="89">
        <v>346</v>
      </c>
      <c r="B362" s="186" t="e">
        <f t="shared" ref="B362:B425" si="60">IF(C361&gt;0.00001,F362-G362,0)</f>
        <v>#NUM!</v>
      </c>
      <c r="C362" s="171" t="e">
        <f t="shared" si="52"/>
        <v>#NUM!</v>
      </c>
      <c r="D362" s="171" t="e">
        <f t="shared" si="55"/>
        <v>#NUM!</v>
      </c>
      <c r="E362" s="171" t="e">
        <f t="shared" si="56"/>
        <v>#NUM!</v>
      </c>
      <c r="F362" s="171" t="e">
        <f t="shared" si="57"/>
        <v>#NUM!</v>
      </c>
      <c r="G362" s="186">
        <f>IF('prijem - EUR'!$I$87=TRUE,IF($C$11&gt;0,0.00025*C361,0),IF('prijem - EUR'!$I$88=TRUE,IF('prijem - EUR'!$F$88&gt;0,0.00025*C361,0),0))</f>
        <v>0</v>
      </c>
      <c r="K362" s="89">
        <v>346</v>
      </c>
      <c r="L362" s="186" t="e">
        <f t="shared" ref="L362:L425" si="61">IF(M361&gt;0.00001,P362-Q362,0)*-1</f>
        <v>#DIV/0!</v>
      </c>
      <c r="M362" s="171" t="e">
        <f t="shared" si="53"/>
        <v>#DIV/0!</v>
      </c>
      <c r="N362" s="171" t="e">
        <f t="shared" si="54"/>
        <v>#DIV/0!</v>
      </c>
      <c r="O362" s="171" t="e">
        <f t="shared" si="58"/>
        <v>#DIV/0!</v>
      </c>
      <c r="P362" s="171" t="e">
        <f t="shared" si="59"/>
        <v>#DIV/0!</v>
      </c>
      <c r="Q362" s="186">
        <f>IF('prijem - EUR'!$I$87=TRUE,IF($C$11&gt;0,0.00025*M361,0),IF('prijem - EUR'!$I$88=TRUE,IF('prijem - EUR'!$F$88&gt;0,0.00025*M361*-1,0),0))</f>
        <v>0</v>
      </c>
    </row>
    <row r="363" spans="1:17" x14ac:dyDescent="0.2">
      <c r="A363" s="89">
        <v>347</v>
      </c>
      <c r="B363" s="186" t="e">
        <f t="shared" si="60"/>
        <v>#NUM!</v>
      </c>
      <c r="C363" s="171" t="e">
        <f t="shared" si="52"/>
        <v>#NUM!</v>
      </c>
      <c r="D363" s="171" t="e">
        <f t="shared" si="55"/>
        <v>#NUM!</v>
      </c>
      <c r="E363" s="171" t="e">
        <f t="shared" si="56"/>
        <v>#NUM!</v>
      </c>
      <c r="F363" s="171" t="e">
        <f t="shared" si="57"/>
        <v>#NUM!</v>
      </c>
      <c r="G363" s="186">
        <f>IF('prijem - EUR'!$I$87=TRUE,IF($C$11&gt;0,0.00025*C362,0),IF('prijem - EUR'!$I$88=TRUE,IF('prijem - EUR'!$F$88&gt;0,0.00025*C362,0),0))</f>
        <v>0</v>
      </c>
      <c r="K363" s="89">
        <v>347</v>
      </c>
      <c r="L363" s="186" t="e">
        <f t="shared" si="61"/>
        <v>#DIV/0!</v>
      </c>
      <c r="M363" s="171" t="e">
        <f t="shared" si="53"/>
        <v>#DIV/0!</v>
      </c>
      <c r="N363" s="171" t="e">
        <f t="shared" si="54"/>
        <v>#DIV/0!</v>
      </c>
      <c r="O363" s="171" t="e">
        <f t="shared" si="58"/>
        <v>#DIV/0!</v>
      </c>
      <c r="P363" s="171" t="e">
        <f t="shared" si="59"/>
        <v>#DIV/0!</v>
      </c>
      <c r="Q363" s="186">
        <f>IF('prijem - EUR'!$I$87=TRUE,IF($C$11&gt;0,0.00025*M362,0),IF('prijem - EUR'!$I$88=TRUE,IF('prijem - EUR'!$F$88&gt;0,0.00025*M362*-1,0),0))</f>
        <v>0</v>
      </c>
    </row>
    <row r="364" spans="1:17" x14ac:dyDescent="0.2">
      <c r="A364" s="89">
        <v>348</v>
      </c>
      <c r="B364" s="186" t="e">
        <f t="shared" si="60"/>
        <v>#NUM!</v>
      </c>
      <c r="C364" s="171" t="e">
        <f t="shared" si="52"/>
        <v>#NUM!</v>
      </c>
      <c r="D364" s="171" t="e">
        <f t="shared" si="55"/>
        <v>#NUM!</v>
      </c>
      <c r="E364" s="171" t="e">
        <f t="shared" si="56"/>
        <v>#NUM!</v>
      </c>
      <c r="F364" s="171" t="e">
        <f t="shared" si="57"/>
        <v>#NUM!</v>
      </c>
      <c r="G364" s="186">
        <f>IF('prijem - EUR'!$I$87=TRUE,IF($C$11&gt;0,0.00025*C363,0),IF('prijem - EUR'!$I$88=TRUE,IF('prijem - EUR'!$F$88&gt;0,0.00025*C363,0),0))</f>
        <v>0</v>
      </c>
      <c r="K364" s="89">
        <v>348</v>
      </c>
      <c r="L364" s="186" t="e">
        <f t="shared" si="61"/>
        <v>#DIV/0!</v>
      </c>
      <c r="M364" s="171" t="e">
        <f t="shared" si="53"/>
        <v>#DIV/0!</v>
      </c>
      <c r="N364" s="171" t="e">
        <f t="shared" si="54"/>
        <v>#DIV/0!</v>
      </c>
      <c r="O364" s="171" t="e">
        <f t="shared" si="58"/>
        <v>#DIV/0!</v>
      </c>
      <c r="P364" s="171" t="e">
        <f t="shared" si="59"/>
        <v>#DIV/0!</v>
      </c>
      <c r="Q364" s="186">
        <f>IF('prijem - EUR'!$I$87=TRUE,IF($C$11&gt;0,0.00025*M363,0),IF('prijem - EUR'!$I$88=TRUE,IF('prijem - EUR'!$F$88&gt;0,0.00025*M363*-1,0),0))</f>
        <v>0</v>
      </c>
    </row>
    <row r="365" spans="1:17" x14ac:dyDescent="0.2">
      <c r="A365" s="89">
        <v>349</v>
      </c>
      <c r="B365" s="186" t="e">
        <f t="shared" si="60"/>
        <v>#NUM!</v>
      </c>
      <c r="C365" s="171" t="e">
        <f t="shared" si="52"/>
        <v>#NUM!</v>
      </c>
      <c r="D365" s="171" t="e">
        <f t="shared" si="55"/>
        <v>#NUM!</v>
      </c>
      <c r="E365" s="171" t="e">
        <f t="shared" si="56"/>
        <v>#NUM!</v>
      </c>
      <c r="F365" s="171" t="e">
        <f t="shared" si="57"/>
        <v>#NUM!</v>
      </c>
      <c r="G365" s="186">
        <f>IF('prijem - EUR'!$I$87=TRUE,IF($C$11&gt;0,0.00025*C364,0),IF('prijem - EUR'!$I$88=TRUE,IF('prijem - EUR'!$F$88&gt;0,0.00025*C364,0),0))</f>
        <v>0</v>
      </c>
      <c r="K365" s="89">
        <v>349</v>
      </c>
      <c r="L365" s="186" t="e">
        <f t="shared" si="61"/>
        <v>#DIV/0!</v>
      </c>
      <c r="M365" s="171" t="e">
        <f t="shared" si="53"/>
        <v>#DIV/0!</v>
      </c>
      <c r="N365" s="171" t="e">
        <f t="shared" si="54"/>
        <v>#DIV/0!</v>
      </c>
      <c r="O365" s="171" t="e">
        <f t="shared" si="58"/>
        <v>#DIV/0!</v>
      </c>
      <c r="P365" s="171" t="e">
        <f t="shared" si="59"/>
        <v>#DIV/0!</v>
      </c>
      <c r="Q365" s="186">
        <f>IF('prijem - EUR'!$I$87=TRUE,IF($C$11&gt;0,0.00025*M364,0),IF('prijem - EUR'!$I$88=TRUE,IF('prijem - EUR'!$F$88&gt;0,0.00025*M364*-1,0),0))</f>
        <v>0</v>
      </c>
    </row>
    <row r="366" spans="1:17" x14ac:dyDescent="0.2">
      <c r="A366" s="89">
        <v>350</v>
      </c>
      <c r="B366" s="186" t="e">
        <f t="shared" si="60"/>
        <v>#NUM!</v>
      </c>
      <c r="C366" s="171" t="e">
        <f t="shared" si="52"/>
        <v>#NUM!</v>
      </c>
      <c r="D366" s="171" t="e">
        <f t="shared" si="55"/>
        <v>#NUM!</v>
      </c>
      <c r="E366" s="171" t="e">
        <f t="shared" si="56"/>
        <v>#NUM!</v>
      </c>
      <c r="F366" s="171" t="e">
        <f t="shared" si="57"/>
        <v>#NUM!</v>
      </c>
      <c r="G366" s="186">
        <f>IF('prijem - EUR'!$I$87=TRUE,IF($C$11&gt;0,0.00025*C365,0),IF('prijem - EUR'!$I$88=TRUE,IF('prijem - EUR'!$F$88&gt;0,0.00025*C365,0),0))</f>
        <v>0</v>
      </c>
      <c r="K366" s="89">
        <v>350</v>
      </c>
      <c r="L366" s="186" t="e">
        <f t="shared" si="61"/>
        <v>#DIV/0!</v>
      </c>
      <c r="M366" s="171" t="e">
        <f t="shared" si="53"/>
        <v>#DIV/0!</v>
      </c>
      <c r="N366" s="171" t="e">
        <f t="shared" si="54"/>
        <v>#DIV/0!</v>
      </c>
      <c r="O366" s="171" t="e">
        <f t="shared" si="58"/>
        <v>#DIV/0!</v>
      </c>
      <c r="P366" s="171" t="e">
        <f t="shared" si="59"/>
        <v>#DIV/0!</v>
      </c>
      <c r="Q366" s="186">
        <f>IF('prijem - EUR'!$I$87=TRUE,IF($C$11&gt;0,0.00025*M365,0),IF('prijem - EUR'!$I$88=TRUE,IF('prijem - EUR'!$F$88&gt;0,0.00025*M365*-1,0),0))</f>
        <v>0</v>
      </c>
    </row>
    <row r="367" spans="1:17" x14ac:dyDescent="0.2">
      <c r="A367" s="89">
        <v>351</v>
      </c>
      <c r="B367" s="186" t="e">
        <f t="shared" si="60"/>
        <v>#NUM!</v>
      </c>
      <c r="C367" s="171" t="e">
        <f t="shared" si="52"/>
        <v>#NUM!</v>
      </c>
      <c r="D367" s="171" t="e">
        <f t="shared" si="55"/>
        <v>#NUM!</v>
      </c>
      <c r="E367" s="171" t="e">
        <f t="shared" si="56"/>
        <v>#NUM!</v>
      </c>
      <c r="F367" s="171" t="e">
        <f t="shared" si="57"/>
        <v>#NUM!</v>
      </c>
      <c r="G367" s="186">
        <f>IF('prijem - EUR'!$I$87=TRUE,IF($C$11&gt;0,0.00025*C366,0),IF('prijem - EUR'!$I$88=TRUE,IF('prijem - EUR'!$F$88&gt;0,0.00025*C366,0),0))</f>
        <v>0</v>
      </c>
      <c r="K367" s="89">
        <v>351</v>
      </c>
      <c r="L367" s="186" t="e">
        <f t="shared" si="61"/>
        <v>#DIV/0!</v>
      </c>
      <c r="M367" s="171" t="e">
        <f t="shared" si="53"/>
        <v>#DIV/0!</v>
      </c>
      <c r="N367" s="171" t="e">
        <f t="shared" si="54"/>
        <v>#DIV/0!</v>
      </c>
      <c r="O367" s="171" t="e">
        <f t="shared" si="58"/>
        <v>#DIV/0!</v>
      </c>
      <c r="P367" s="171" t="e">
        <f t="shared" si="59"/>
        <v>#DIV/0!</v>
      </c>
      <c r="Q367" s="186">
        <f>IF('prijem - EUR'!$I$87=TRUE,IF($C$11&gt;0,0.00025*M366,0),IF('prijem - EUR'!$I$88=TRUE,IF('prijem - EUR'!$F$88&gt;0,0.00025*M366*-1,0),0))</f>
        <v>0</v>
      </c>
    </row>
    <row r="368" spans="1:17" x14ac:dyDescent="0.2">
      <c r="A368" s="89">
        <v>352</v>
      </c>
      <c r="B368" s="186" t="e">
        <f t="shared" si="60"/>
        <v>#NUM!</v>
      </c>
      <c r="C368" s="171" t="e">
        <f t="shared" si="52"/>
        <v>#NUM!</v>
      </c>
      <c r="D368" s="171" t="e">
        <f t="shared" si="55"/>
        <v>#NUM!</v>
      </c>
      <c r="E368" s="171" t="e">
        <f t="shared" si="56"/>
        <v>#NUM!</v>
      </c>
      <c r="F368" s="171" t="e">
        <f t="shared" si="57"/>
        <v>#NUM!</v>
      </c>
      <c r="G368" s="186">
        <f>IF('prijem - EUR'!$I$87=TRUE,IF($C$11&gt;0,0.00025*C367,0),IF('prijem - EUR'!$I$88=TRUE,IF('prijem - EUR'!$F$88&gt;0,0.00025*C367,0),0))</f>
        <v>0</v>
      </c>
      <c r="K368" s="89">
        <v>352</v>
      </c>
      <c r="L368" s="186" t="e">
        <f t="shared" si="61"/>
        <v>#DIV/0!</v>
      </c>
      <c r="M368" s="171" t="e">
        <f t="shared" si="53"/>
        <v>#DIV/0!</v>
      </c>
      <c r="N368" s="171" t="e">
        <f t="shared" si="54"/>
        <v>#DIV/0!</v>
      </c>
      <c r="O368" s="171" t="e">
        <f t="shared" si="58"/>
        <v>#DIV/0!</v>
      </c>
      <c r="P368" s="171" t="e">
        <f t="shared" si="59"/>
        <v>#DIV/0!</v>
      </c>
      <c r="Q368" s="186">
        <f>IF('prijem - EUR'!$I$87=TRUE,IF($C$11&gt;0,0.00025*M367,0),IF('prijem - EUR'!$I$88=TRUE,IF('prijem - EUR'!$F$88&gt;0,0.00025*M367*-1,0),0))</f>
        <v>0</v>
      </c>
    </row>
    <row r="369" spans="1:17" x14ac:dyDescent="0.2">
      <c r="A369" s="89">
        <v>353</v>
      </c>
      <c r="B369" s="186" t="e">
        <f t="shared" si="60"/>
        <v>#NUM!</v>
      </c>
      <c r="C369" s="171" t="e">
        <f t="shared" si="52"/>
        <v>#NUM!</v>
      </c>
      <c r="D369" s="171" t="e">
        <f t="shared" si="55"/>
        <v>#NUM!</v>
      </c>
      <c r="E369" s="171" t="e">
        <f t="shared" si="56"/>
        <v>#NUM!</v>
      </c>
      <c r="F369" s="171" t="e">
        <f t="shared" si="57"/>
        <v>#NUM!</v>
      </c>
      <c r="G369" s="186">
        <f>IF('prijem - EUR'!$I$87=TRUE,IF($C$11&gt;0,0.00025*C368,0),IF('prijem - EUR'!$I$88=TRUE,IF('prijem - EUR'!$F$88&gt;0,0.00025*C368,0),0))</f>
        <v>0</v>
      </c>
      <c r="K369" s="89">
        <v>353</v>
      </c>
      <c r="L369" s="186" t="e">
        <f t="shared" si="61"/>
        <v>#DIV/0!</v>
      </c>
      <c r="M369" s="171" t="e">
        <f t="shared" si="53"/>
        <v>#DIV/0!</v>
      </c>
      <c r="N369" s="171" t="e">
        <f t="shared" si="54"/>
        <v>#DIV/0!</v>
      </c>
      <c r="O369" s="171" t="e">
        <f t="shared" si="58"/>
        <v>#DIV/0!</v>
      </c>
      <c r="P369" s="171" t="e">
        <f t="shared" si="59"/>
        <v>#DIV/0!</v>
      </c>
      <c r="Q369" s="186">
        <f>IF('prijem - EUR'!$I$87=TRUE,IF($C$11&gt;0,0.00025*M368,0),IF('prijem - EUR'!$I$88=TRUE,IF('prijem - EUR'!$F$88&gt;0,0.00025*M368*-1,0),0))</f>
        <v>0</v>
      </c>
    </row>
    <row r="370" spans="1:17" x14ac:dyDescent="0.2">
      <c r="A370" s="89">
        <v>354</v>
      </c>
      <c r="B370" s="186" t="e">
        <f t="shared" si="60"/>
        <v>#NUM!</v>
      </c>
      <c r="C370" s="171" t="e">
        <f t="shared" si="52"/>
        <v>#NUM!</v>
      </c>
      <c r="D370" s="171" t="e">
        <f t="shared" si="55"/>
        <v>#NUM!</v>
      </c>
      <c r="E370" s="171" t="e">
        <f t="shared" si="56"/>
        <v>#NUM!</v>
      </c>
      <c r="F370" s="171" t="e">
        <f t="shared" si="57"/>
        <v>#NUM!</v>
      </c>
      <c r="G370" s="186">
        <f>IF('prijem - EUR'!$I$87=TRUE,IF($C$11&gt;0,0.00025*C369,0),IF('prijem - EUR'!$I$88=TRUE,IF('prijem - EUR'!$F$88&gt;0,0.00025*C369,0),0))</f>
        <v>0</v>
      </c>
      <c r="K370" s="89">
        <v>354</v>
      </c>
      <c r="L370" s="186" t="e">
        <f t="shared" si="61"/>
        <v>#DIV/0!</v>
      </c>
      <c r="M370" s="171" t="e">
        <f t="shared" si="53"/>
        <v>#DIV/0!</v>
      </c>
      <c r="N370" s="171" t="e">
        <f t="shared" si="54"/>
        <v>#DIV/0!</v>
      </c>
      <c r="O370" s="171" t="e">
        <f t="shared" si="58"/>
        <v>#DIV/0!</v>
      </c>
      <c r="P370" s="171" t="e">
        <f t="shared" si="59"/>
        <v>#DIV/0!</v>
      </c>
      <c r="Q370" s="186">
        <f>IF('prijem - EUR'!$I$87=TRUE,IF($C$11&gt;0,0.00025*M369,0),IF('prijem - EUR'!$I$88=TRUE,IF('prijem - EUR'!$F$88&gt;0,0.00025*M369*-1,0),0))</f>
        <v>0</v>
      </c>
    </row>
    <row r="371" spans="1:17" x14ac:dyDescent="0.2">
      <c r="A371" s="89">
        <v>355</v>
      </c>
      <c r="B371" s="186" t="e">
        <f t="shared" si="60"/>
        <v>#NUM!</v>
      </c>
      <c r="C371" s="171" t="e">
        <f t="shared" si="52"/>
        <v>#NUM!</v>
      </c>
      <c r="D371" s="171" t="e">
        <f t="shared" si="55"/>
        <v>#NUM!</v>
      </c>
      <c r="E371" s="171" t="e">
        <f t="shared" si="56"/>
        <v>#NUM!</v>
      </c>
      <c r="F371" s="171" t="e">
        <f t="shared" si="57"/>
        <v>#NUM!</v>
      </c>
      <c r="G371" s="186">
        <f>IF('prijem - EUR'!$I$87=TRUE,IF($C$11&gt;0,0.00025*C370,0),IF('prijem - EUR'!$I$88=TRUE,IF('prijem - EUR'!$F$88&gt;0,0.00025*C370,0),0))</f>
        <v>0</v>
      </c>
      <c r="K371" s="89">
        <v>355</v>
      </c>
      <c r="L371" s="186" t="e">
        <f t="shared" si="61"/>
        <v>#DIV/0!</v>
      </c>
      <c r="M371" s="171" t="e">
        <f t="shared" si="53"/>
        <v>#DIV/0!</v>
      </c>
      <c r="N371" s="171" t="e">
        <f t="shared" si="54"/>
        <v>#DIV/0!</v>
      </c>
      <c r="O371" s="171" t="e">
        <f t="shared" si="58"/>
        <v>#DIV/0!</v>
      </c>
      <c r="P371" s="171" t="e">
        <f t="shared" si="59"/>
        <v>#DIV/0!</v>
      </c>
      <c r="Q371" s="186">
        <f>IF('prijem - EUR'!$I$87=TRUE,IF($C$11&gt;0,0.00025*M370,0),IF('prijem - EUR'!$I$88=TRUE,IF('prijem - EUR'!$F$88&gt;0,0.00025*M370*-1,0),0))</f>
        <v>0</v>
      </c>
    </row>
    <row r="372" spans="1:17" x14ac:dyDescent="0.2">
      <c r="A372" s="89">
        <v>356</v>
      </c>
      <c r="B372" s="186" t="e">
        <f t="shared" si="60"/>
        <v>#NUM!</v>
      </c>
      <c r="C372" s="171" t="e">
        <f t="shared" si="52"/>
        <v>#NUM!</v>
      </c>
      <c r="D372" s="171" t="e">
        <f t="shared" si="55"/>
        <v>#NUM!</v>
      </c>
      <c r="E372" s="171" t="e">
        <f t="shared" si="56"/>
        <v>#NUM!</v>
      </c>
      <c r="F372" s="171" t="e">
        <f t="shared" si="57"/>
        <v>#NUM!</v>
      </c>
      <c r="G372" s="186">
        <f>IF('prijem - EUR'!$I$87=TRUE,IF($C$11&gt;0,0.00025*C371,0),IF('prijem - EUR'!$I$88=TRUE,IF('prijem - EUR'!$F$88&gt;0,0.00025*C371,0),0))</f>
        <v>0</v>
      </c>
      <c r="K372" s="89">
        <v>356</v>
      </c>
      <c r="L372" s="186" t="e">
        <f t="shared" si="61"/>
        <v>#DIV/0!</v>
      </c>
      <c r="M372" s="171" t="e">
        <f t="shared" si="53"/>
        <v>#DIV/0!</v>
      </c>
      <c r="N372" s="171" t="e">
        <f t="shared" si="54"/>
        <v>#DIV/0!</v>
      </c>
      <c r="O372" s="171" t="e">
        <f t="shared" si="58"/>
        <v>#DIV/0!</v>
      </c>
      <c r="P372" s="171" t="e">
        <f t="shared" si="59"/>
        <v>#DIV/0!</v>
      </c>
      <c r="Q372" s="186">
        <f>IF('prijem - EUR'!$I$87=TRUE,IF($C$11&gt;0,0.00025*M371,0),IF('prijem - EUR'!$I$88=TRUE,IF('prijem - EUR'!$F$88&gt;0,0.00025*M371*-1,0),0))</f>
        <v>0</v>
      </c>
    </row>
    <row r="373" spans="1:17" x14ac:dyDescent="0.2">
      <c r="A373" s="89">
        <v>357</v>
      </c>
      <c r="B373" s="186" t="e">
        <f t="shared" si="60"/>
        <v>#NUM!</v>
      </c>
      <c r="C373" s="171" t="e">
        <f t="shared" si="52"/>
        <v>#NUM!</v>
      </c>
      <c r="D373" s="171" t="e">
        <f t="shared" si="55"/>
        <v>#NUM!</v>
      </c>
      <c r="E373" s="171" t="e">
        <f t="shared" si="56"/>
        <v>#NUM!</v>
      </c>
      <c r="F373" s="171" t="e">
        <f t="shared" si="57"/>
        <v>#NUM!</v>
      </c>
      <c r="G373" s="186">
        <f>IF('prijem - EUR'!$I$87=TRUE,IF($C$11&gt;0,0.00025*C372,0),IF('prijem - EUR'!$I$88=TRUE,IF('prijem - EUR'!$F$88&gt;0,0.00025*C372,0),0))</f>
        <v>0</v>
      </c>
      <c r="K373" s="89">
        <v>357</v>
      </c>
      <c r="L373" s="186" t="e">
        <f t="shared" si="61"/>
        <v>#DIV/0!</v>
      </c>
      <c r="M373" s="171" t="e">
        <f t="shared" si="53"/>
        <v>#DIV/0!</v>
      </c>
      <c r="N373" s="171" t="e">
        <f t="shared" si="54"/>
        <v>#DIV/0!</v>
      </c>
      <c r="O373" s="171" t="e">
        <f t="shared" si="58"/>
        <v>#DIV/0!</v>
      </c>
      <c r="P373" s="171" t="e">
        <f t="shared" si="59"/>
        <v>#DIV/0!</v>
      </c>
      <c r="Q373" s="186">
        <f>IF('prijem - EUR'!$I$87=TRUE,IF($C$11&gt;0,0.00025*M372,0),IF('prijem - EUR'!$I$88=TRUE,IF('prijem - EUR'!$F$88&gt;0,0.00025*M372*-1,0),0))</f>
        <v>0</v>
      </c>
    </row>
    <row r="374" spans="1:17" x14ac:dyDescent="0.2">
      <c r="A374" s="89">
        <v>358</v>
      </c>
      <c r="B374" s="186" t="e">
        <f t="shared" si="60"/>
        <v>#NUM!</v>
      </c>
      <c r="C374" s="171" t="e">
        <f t="shared" si="52"/>
        <v>#NUM!</v>
      </c>
      <c r="D374" s="171" t="e">
        <f t="shared" si="55"/>
        <v>#NUM!</v>
      </c>
      <c r="E374" s="171" t="e">
        <f t="shared" si="56"/>
        <v>#NUM!</v>
      </c>
      <c r="F374" s="171" t="e">
        <f t="shared" si="57"/>
        <v>#NUM!</v>
      </c>
      <c r="G374" s="186">
        <f>IF('prijem - EUR'!$I$87=TRUE,IF($C$11&gt;0,0.00025*C373,0),IF('prijem - EUR'!$I$88=TRUE,IF('prijem - EUR'!$F$88&gt;0,0.00025*C373,0),0))</f>
        <v>0</v>
      </c>
      <c r="K374" s="89">
        <v>358</v>
      </c>
      <c r="L374" s="186" t="e">
        <f t="shared" si="61"/>
        <v>#DIV/0!</v>
      </c>
      <c r="M374" s="171" t="e">
        <f t="shared" si="53"/>
        <v>#DIV/0!</v>
      </c>
      <c r="N374" s="171" t="e">
        <f t="shared" si="54"/>
        <v>#DIV/0!</v>
      </c>
      <c r="O374" s="171" t="e">
        <f t="shared" si="58"/>
        <v>#DIV/0!</v>
      </c>
      <c r="P374" s="171" t="e">
        <f t="shared" si="59"/>
        <v>#DIV/0!</v>
      </c>
      <c r="Q374" s="186">
        <f>IF('prijem - EUR'!$I$87=TRUE,IF($C$11&gt;0,0.00025*M373,0),IF('prijem - EUR'!$I$88=TRUE,IF('prijem - EUR'!$F$88&gt;0,0.00025*M373*-1,0),0))</f>
        <v>0</v>
      </c>
    </row>
    <row r="375" spans="1:17" x14ac:dyDescent="0.2">
      <c r="A375" s="89">
        <v>359</v>
      </c>
      <c r="B375" s="186" t="e">
        <f t="shared" si="60"/>
        <v>#NUM!</v>
      </c>
      <c r="C375" s="171" t="e">
        <f t="shared" si="52"/>
        <v>#NUM!</v>
      </c>
      <c r="D375" s="171" t="e">
        <f t="shared" si="55"/>
        <v>#NUM!</v>
      </c>
      <c r="E375" s="171" t="e">
        <f t="shared" si="56"/>
        <v>#NUM!</v>
      </c>
      <c r="F375" s="171" t="e">
        <f t="shared" si="57"/>
        <v>#NUM!</v>
      </c>
      <c r="G375" s="186">
        <f>IF('prijem - EUR'!$I$87=TRUE,IF($C$11&gt;0,0.00025*C374,0),IF('prijem - EUR'!$I$88=TRUE,IF('prijem - EUR'!$F$88&gt;0,0.00025*C374,0),0))</f>
        <v>0</v>
      </c>
      <c r="K375" s="89">
        <v>359</v>
      </c>
      <c r="L375" s="186" t="e">
        <f t="shared" si="61"/>
        <v>#DIV/0!</v>
      </c>
      <c r="M375" s="171" t="e">
        <f t="shared" si="53"/>
        <v>#DIV/0!</v>
      </c>
      <c r="N375" s="171" t="e">
        <f t="shared" si="54"/>
        <v>#DIV/0!</v>
      </c>
      <c r="O375" s="171" t="e">
        <f t="shared" si="58"/>
        <v>#DIV/0!</v>
      </c>
      <c r="P375" s="171" t="e">
        <f t="shared" si="59"/>
        <v>#DIV/0!</v>
      </c>
      <c r="Q375" s="186">
        <f>IF('prijem - EUR'!$I$87=TRUE,IF($C$11&gt;0,0.00025*M374,0),IF('prijem - EUR'!$I$88=TRUE,IF('prijem - EUR'!$F$88&gt;0,0.00025*M374*-1,0),0))</f>
        <v>0</v>
      </c>
    </row>
    <row r="376" spans="1:17" x14ac:dyDescent="0.2">
      <c r="A376" s="89">
        <v>360</v>
      </c>
      <c r="B376" s="186" t="e">
        <f t="shared" si="60"/>
        <v>#NUM!</v>
      </c>
      <c r="C376" s="171" t="e">
        <f t="shared" si="52"/>
        <v>#NUM!</v>
      </c>
      <c r="D376" s="171" t="e">
        <f t="shared" si="55"/>
        <v>#NUM!</v>
      </c>
      <c r="E376" s="171" t="e">
        <f t="shared" si="56"/>
        <v>#NUM!</v>
      </c>
      <c r="F376" s="171" t="e">
        <f t="shared" si="57"/>
        <v>#NUM!</v>
      </c>
      <c r="G376" s="186">
        <f>IF('prijem - EUR'!$I$87=TRUE,IF($C$11&gt;0,0.00025*C375,0),IF('prijem - EUR'!$I$88=TRUE,IF('prijem - EUR'!$F$88&gt;0,0.00025*C375,0),0))</f>
        <v>0</v>
      </c>
      <c r="K376" s="89">
        <v>360</v>
      </c>
      <c r="L376" s="186" t="e">
        <f t="shared" si="61"/>
        <v>#DIV/0!</v>
      </c>
      <c r="M376" s="171" t="e">
        <f t="shared" si="53"/>
        <v>#DIV/0!</v>
      </c>
      <c r="N376" s="171" t="e">
        <f t="shared" si="54"/>
        <v>#DIV/0!</v>
      </c>
      <c r="O376" s="171" t="e">
        <f t="shared" si="58"/>
        <v>#DIV/0!</v>
      </c>
      <c r="P376" s="171" t="e">
        <f t="shared" si="59"/>
        <v>#DIV/0!</v>
      </c>
      <c r="Q376" s="186">
        <f>IF('prijem - EUR'!$I$87=TRUE,IF($C$11&gt;0,0.00025*M375,0),IF('prijem - EUR'!$I$88=TRUE,IF('prijem - EUR'!$F$88&gt;0,0.00025*M375*-1,0),0))</f>
        <v>0</v>
      </c>
    </row>
    <row r="377" spans="1:17" x14ac:dyDescent="0.2">
      <c r="A377" s="89">
        <v>361</v>
      </c>
      <c r="B377" s="186" t="e">
        <f t="shared" si="60"/>
        <v>#NUM!</v>
      </c>
      <c r="C377" s="171" t="e">
        <f t="shared" si="52"/>
        <v>#NUM!</v>
      </c>
      <c r="D377" s="171" t="e">
        <f t="shared" si="55"/>
        <v>#NUM!</v>
      </c>
      <c r="E377" s="171" t="e">
        <f t="shared" si="56"/>
        <v>#NUM!</v>
      </c>
      <c r="F377" s="171" t="e">
        <f t="shared" si="57"/>
        <v>#NUM!</v>
      </c>
      <c r="G377" s="186">
        <f>IF('prijem - EUR'!$I$87=TRUE,IF($C$11&gt;0,0.00025*C376,0),IF('prijem - EUR'!$I$88=TRUE,IF('prijem - EUR'!$F$88&gt;0,0.00025*C376,0),0))</f>
        <v>0</v>
      </c>
      <c r="K377" s="89">
        <v>361</v>
      </c>
      <c r="L377" s="186" t="e">
        <f t="shared" si="61"/>
        <v>#DIV/0!</v>
      </c>
      <c r="M377" s="171" t="e">
        <f t="shared" si="53"/>
        <v>#DIV/0!</v>
      </c>
      <c r="N377" s="171" t="e">
        <f t="shared" si="54"/>
        <v>#DIV/0!</v>
      </c>
      <c r="O377" s="171" t="e">
        <f t="shared" si="58"/>
        <v>#DIV/0!</v>
      </c>
      <c r="P377" s="171" t="e">
        <f t="shared" si="59"/>
        <v>#DIV/0!</v>
      </c>
      <c r="Q377" s="186">
        <f>IF('prijem - EUR'!$I$87=TRUE,IF($C$11&gt;0,0.00025*M376,0),IF('prijem - EUR'!$I$88=TRUE,IF('prijem - EUR'!$F$88&gt;0,0.00025*M376*-1,0),0))</f>
        <v>0</v>
      </c>
    </row>
    <row r="378" spans="1:17" x14ac:dyDescent="0.2">
      <c r="A378" s="89">
        <v>362</v>
      </c>
      <c r="B378" s="186" t="e">
        <f t="shared" si="60"/>
        <v>#NUM!</v>
      </c>
      <c r="C378" s="171" t="e">
        <f t="shared" si="52"/>
        <v>#NUM!</v>
      </c>
      <c r="D378" s="171" t="e">
        <f t="shared" si="55"/>
        <v>#NUM!</v>
      </c>
      <c r="E378" s="171" t="e">
        <f t="shared" si="56"/>
        <v>#NUM!</v>
      </c>
      <c r="F378" s="171" t="e">
        <f t="shared" si="57"/>
        <v>#NUM!</v>
      </c>
      <c r="G378" s="186">
        <f>IF('prijem - EUR'!$I$87=TRUE,IF($C$11&gt;0,0.00025*C377,0),IF('prijem - EUR'!$I$88=TRUE,IF('prijem - EUR'!$F$88&gt;0,0.00025*C377,0),0))</f>
        <v>0</v>
      </c>
      <c r="K378" s="89">
        <v>362</v>
      </c>
      <c r="L378" s="186" t="e">
        <f t="shared" si="61"/>
        <v>#DIV/0!</v>
      </c>
      <c r="M378" s="171" t="e">
        <f t="shared" si="53"/>
        <v>#DIV/0!</v>
      </c>
      <c r="N378" s="171" t="e">
        <f t="shared" si="54"/>
        <v>#DIV/0!</v>
      </c>
      <c r="O378" s="171" t="e">
        <f t="shared" si="58"/>
        <v>#DIV/0!</v>
      </c>
      <c r="P378" s="171" t="e">
        <f t="shared" si="59"/>
        <v>#DIV/0!</v>
      </c>
      <c r="Q378" s="186">
        <f>IF('prijem - EUR'!$I$87=TRUE,IF($C$11&gt;0,0.00025*M377,0),IF('prijem - EUR'!$I$88=TRUE,IF('prijem - EUR'!$F$88&gt;0,0.00025*M377*-1,0),0))</f>
        <v>0</v>
      </c>
    </row>
    <row r="379" spans="1:17" x14ac:dyDescent="0.2">
      <c r="A379" s="89">
        <v>363</v>
      </c>
      <c r="B379" s="186" t="e">
        <f t="shared" si="60"/>
        <v>#NUM!</v>
      </c>
      <c r="C379" s="171" t="e">
        <f t="shared" si="52"/>
        <v>#NUM!</v>
      </c>
      <c r="D379" s="171" t="e">
        <f t="shared" si="55"/>
        <v>#NUM!</v>
      </c>
      <c r="E379" s="171" t="e">
        <f t="shared" si="56"/>
        <v>#NUM!</v>
      </c>
      <c r="F379" s="171" t="e">
        <f t="shared" si="57"/>
        <v>#NUM!</v>
      </c>
      <c r="G379" s="186">
        <f>IF('prijem - EUR'!$I$87=TRUE,IF($C$11&gt;0,0.00025*C378,0),IF('prijem - EUR'!$I$88=TRUE,IF('prijem - EUR'!$F$88&gt;0,0.00025*C378,0),0))</f>
        <v>0</v>
      </c>
      <c r="K379" s="89">
        <v>363</v>
      </c>
      <c r="L379" s="186" t="e">
        <f t="shared" si="61"/>
        <v>#DIV/0!</v>
      </c>
      <c r="M379" s="171" t="e">
        <f t="shared" si="53"/>
        <v>#DIV/0!</v>
      </c>
      <c r="N379" s="171" t="e">
        <f t="shared" si="54"/>
        <v>#DIV/0!</v>
      </c>
      <c r="O379" s="171" t="e">
        <f t="shared" si="58"/>
        <v>#DIV/0!</v>
      </c>
      <c r="P379" s="171" t="e">
        <f t="shared" si="59"/>
        <v>#DIV/0!</v>
      </c>
      <c r="Q379" s="186">
        <f>IF('prijem - EUR'!$I$87=TRUE,IF($C$11&gt;0,0.00025*M378,0),IF('prijem - EUR'!$I$88=TRUE,IF('prijem - EUR'!$F$88&gt;0,0.00025*M378*-1,0),0))</f>
        <v>0</v>
      </c>
    </row>
    <row r="380" spans="1:17" x14ac:dyDescent="0.2">
      <c r="A380" s="89">
        <v>364</v>
      </c>
      <c r="B380" s="186" t="e">
        <f t="shared" si="60"/>
        <v>#NUM!</v>
      </c>
      <c r="C380" s="171" t="e">
        <f t="shared" si="52"/>
        <v>#NUM!</v>
      </c>
      <c r="D380" s="171" t="e">
        <f t="shared" si="55"/>
        <v>#NUM!</v>
      </c>
      <c r="E380" s="171" t="e">
        <f t="shared" si="56"/>
        <v>#NUM!</v>
      </c>
      <c r="F380" s="171" t="e">
        <f t="shared" si="57"/>
        <v>#NUM!</v>
      </c>
      <c r="G380" s="186">
        <f>IF('prijem - EUR'!$I$87=TRUE,IF($C$11&gt;0,0.00025*C379,0),IF('prijem - EUR'!$I$88=TRUE,IF('prijem - EUR'!$F$88&gt;0,0.00025*C379,0),0))</f>
        <v>0</v>
      </c>
      <c r="K380" s="89">
        <v>364</v>
      </c>
      <c r="L380" s="186" t="e">
        <f t="shared" si="61"/>
        <v>#DIV/0!</v>
      </c>
      <c r="M380" s="171" t="e">
        <f t="shared" si="53"/>
        <v>#DIV/0!</v>
      </c>
      <c r="N380" s="171" t="e">
        <f t="shared" si="54"/>
        <v>#DIV/0!</v>
      </c>
      <c r="O380" s="171" t="e">
        <f t="shared" si="58"/>
        <v>#DIV/0!</v>
      </c>
      <c r="P380" s="171" t="e">
        <f t="shared" si="59"/>
        <v>#DIV/0!</v>
      </c>
      <c r="Q380" s="186">
        <f>IF('prijem - EUR'!$I$87=TRUE,IF($C$11&gt;0,0.00025*M379,0),IF('prijem - EUR'!$I$88=TRUE,IF('prijem - EUR'!$F$88&gt;0,0.00025*M379*-1,0),0))</f>
        <v>0</v>
      </c>
    </row>
    <row r="381" spans="1:17" x14ac:dyDescent="0.2">
      <c r="A381" s="89">
        <v>365</v>
      </c>
      <c r="B381" s="186" t="e">
        <f t="shared" si="60"/>
        <v>#NUM!</v>
      </c>
      <c r="C381" s="171" t="e">
        <f t="shared" si="52"/>
        <v>#NUM!</v>
      </c>
      <c r="D381" s="171" t="e">
        <f t="shared" si="55"/>
        <v>#NUM!</v>
      </c>
      <c r="E381" s="171" t="e">
        <f t="shared" si="56"/>
        <v>#NUM!</v>
      </c>
      <c r="F381" s="171" t="e">
        <f t="shared" si="57"/>
        <v>#NUM!</v>
      </c>
      <c r="G381" s="186">
        <f>IF('prijem - EUR'!$I$87=TRUE,IF($C$11&gt;0,0.00025*C380,0),IF('prijem - EUR'!$I$88=TRUE,IF('prijem - EUR'!$F$88&gt;0,0.00025*C380,0),0))</f>
        <v>0</v>
      </c>
      <c r="K381" s="89">
        <v>365</v>
      </c>
      <c r="L381" s="186" t="e">
        <f t="shared" si="61"/>
        <v>#DIV/0!</v>
      </c>
      <c r="M381" s="171" t="e">
        <f t="shared" si="53"/>
        <v>#DIV/0!</v>
      </c>
      <c r="N381" s="171" t="e">
        <f t="shared" si="54"/>
        <v>#DIV/0!</v>
      </c>
      <c r="O381" s="171" t="e">
        <f t="shared" si="58"/>
        <v>#DIV/0!</v>
      </c>
      <c r="P381" s="171" t="e">
        <f t="shared" si="59"/>
        <v>#DIV/0!</v>
      </c>
      <c r="Q381" s="186">
        <f>IF('prijem - EUR'!$I$87=TRUE,IF($C$11&gt;0,0.00025*M380,0),IF('prijem - EUR'!$I$88=TRUE,IF('prijem - EUR'!$F$88&gt;0,0.00025*M380*-1,0),0))</f>
        <v>0</v>
      </c>
    </row>
    <row r="382" spans="1:17" x14ac:dyDescent="0.2">
      <c r="A382" s="89">
        <v>366</v>
      </c>
      <c r="B382" s="186" t="e">
        <f t="shared" si="60"/>
        <v>#NUM!</v>
      </c>
      <c r="C382" s="171" t="e">
        <f t="shared" si="52"/>
        <v>#NUM!</v>
      </c>
      <c r="D382" s="171" t="e">
        <f t="shared" si="55"/>
        <v>#NUM!</v>
      </c>
      <c r="E382" s="171" t="e">
        <f t="shared" si="56"/>
        <v>#NUM!</v>
      </c>
      <c r="F382" s="171" t="e">
        <f t="shared" si="57"/>
        <v>#NUM!</v>
      </c>
      <c r="G382" s="186">
        <f>IF('prijem - EUR'!$I$87=TRUE,IF($C$11&gt;0,0.00025*C381,0),IF('prijem - EUR'!$I$88=TRUE,IF('prijem - EUR'!$F$88&gt;0,0.00025*C381,0),0))</f>
        <v>0</v>
      </c>
      <c r="K382" s="89">
        <v>366</v>
      </c>
      <c r="L382" s="186" t="e">
        <f t="shared" si="61"/>
        <v>#DIV/0!</v>
      </c>
      <c r="M382" s="171" t="e">
        <f t="shared" si="53"/>
        <v>#DIV/0!</v>
      </c>
      <c r="N382" s="171" t="e">
        <f t="shared" si="54"/>
        <v>#DIV/0!</v>
      </c>
      <c r="O382" s="171" t="e">
        <f t="shared" si="58"/>
        <v>#DIV/0!</v>
      </c>
      <c r="P382" s="171" t="e">
        <f t="shared" si="59"/>
        <v>#DIV/0!</v>
      </c>
      <c r="Q382" s="186">
        <f>IF('prijem - EUR'!$I$87=TRUE,IF($C$11&gt;0,0.00025*M381,0),IF('prijem - EUR'!$I$88=TRUE,IF('prijem - EUR'!$F$88&gt;0,0.00025*M381*-1,0),0))</f>
        <v>0</v>
      </c>
    </row>
    <row r="383" spans="1:17" x14ac:dyDescent="0.2">
      <c r="A383" s="89">
        <v>367</v>
      </c>
      <c r="B383" s="186" t="e">
        <f t="shared" si="60"/>
        <v>#NUM!</v>
      </c>
      <c r="C383" s="171" t="e">
        <f t="shared" si="52"/>
        <v>#NUM!</v>
      </c>
      <c r="D383" s="171" t="e">
        <f t="shared" si="55"/>
        <v>#NUM!</v>
      </c>
      <c r="E383" s="171" t="e">
        <f t="shared" si="56"/>
        <v>#NUM!</v>
      </c>
      <c r="F383" s="171" t="e">
        <f t="shared" si="57"/>
        <v>#NUM!</v>
      </c>
      <c r="G383" s="186">
        <f>IF('prijem - EUR'!$I$87=TRUE,IF($C$11&gt;0,0.00025*C382,0),IF('prijem - EUR'!$I$88=TRUE,IF('prijem - EUR'!$F$88&gt;0,0.00025*C382,0),0))</f>
        <v>0</v>
      </c>
      <c r="K383" s="89">
        <v>367</v>
      </c>
      <c r="L383" s="186" t="e">
        <f t="shared" si="61"/>
        <v>#DIV/0!</v>
      </c>
      <c r="M383" s="171" t="e">
        <f t="shared" si="53"/>
        <v>#DIV/0!</v>
      </c>
      <c r="N383" s="171" t="e">
        <f t="shared" si="54"/>
        <v>#DIV/0!</v>
      </c>
      <c r="O383" s="171" t="e">
        <f t="shared" si="58"/>
        <v>#DIV/0!</v>
      </c>
      <c r="P383" s="171" t="e">
        <f t="shared" si="59"/>
        <v>#DIV/0!</v>
      </c>
      <c r="Q383" s="186">
        <f>IF('prijem - EUR'!$I$87=TRUE,IF($C$11&gt;0,0.00025*M382,0),IF('prijem - EUR'!$I$88=TRUE,IF('prijem - EUR'!$F$88&gt;0,0.00025*M382*-1,0),0))</f>
        <v>0</v>
      </c>
    </row>
    <row r="384" spans="1:17" x14ac:dyDescent="0.2">
      <c r="A384" s="89">
        <v>368</v>
      </c>
      <c r="B384" s="186" t="e">
        <f t="shared" si="60"/>
        <v>#NUM!</v>
      </c>
      <c r="C384" s="171" t="e">
        <f t="shared" si="52"/>
        <v>#NUM!</v>
      </c>
      <c r="D384" s="171" t="e">
        <f t="shared" si="55"/>
        <v>#NUM!</v>
      </c>
      <c r="E384" s="171" t="e">
        <f t="shared" si="56"/>
        <v>#NUM!</v>
      </c>
      <c r="F384" s="171" t="e">
        <f t="shared" si="57"/>
        <v>#NUM!</v>
      </c>
      <c r="G384" s="186">
        <f>IF('prijem - EUR'!$I$87=TRUE,IF($C$11&gt;0,0.00025*C383,0),IF('prijem - EUR'!$I$88=TRUE,IF('prijem - EUR'!$F$88&gt;0,0.00025*C383,0),0))</f>
        <v>0</v>
      </c>
      <c r="K384" s="89">
        <v>368</v>
      </c>
      <c r="L384" s="186" t="e">
        <f t="shared" si="61"/>
        <v>#DIV/0!</v>
      </c>
      <c r="M384" s="171" t="e">
        <f t="shared" si="53"/>
        <v>#DIV/0!</v>
      </c>
      <c r="N384" s="171" t="e">
        <f t="shared" si="54"/>
        <v>#DIV/0!</v>
      </c>
      <c r="O384" s="171" t="e">
        <f t="shared" si="58"/>
        <v>#DIV/0!</v>
      </c>
      <c r="P384" s="171" t="e">
        <f t="shared" si="59"/>
        <v>#DIV/0!</v>
      </c>
      <c r="Q384" s="186">
        <f>IF('prijem - EUR'!$I$87=TRUE,IF($C$11&gt;0,0.00025*M383,0),IF('prijem - EUR'!$I$88=TRUE,IF('prijem - EUR'!$F$88&gt;0,0.00025*M383*-1,0),0))</f>
        <v>0</v>
      </c>
    </row>
    <row r="385" spans="1:17" x14ac:dyDescent="0.2">
      <c r="A385" s="89">
        <v>369</v>
      </c>
      <c r="B385" s="186" t="e">
        <f t="shared" si="60"/>
        <v>#NUM!</v>
      </c>
      <c r="C385" s="171" t="e">
        <f t="shared" si="52"/>
        <v>#NUM!</v>
      </c>
      <c r="D385" s="171" t="e">
        <f t="shared" si="55"/>
        <v>#NUM!</v>
      </c>
      <c r="E385" s="171" t="e">
        <f t="shared" si="56"/>
        <v>#NUM!</v>
      </c>
      <c r="F385" s="171" t="e">
        <f t="shared" si="57"/>
        <v>#NUM!</v>
      </c>
      <c r="G385" s="186">
        <f>IF('prijem - EUR'!$I$87=TRUE,IF($C$11&gt;0,0.00025*C384,0),IF('prijem - EUR'!$I$88=TRUE,IF('prijem - EUR'!$F$88&gt;0,0.00025*C384,0),0))</f>
        <v>0</v>
      </c>
      <c r="K385" s="89">
        <v>369</v>
      </c>
      <c r="L385" s="186" t="e">
        <f t="shared" si="61"/>
        <v>#DIV/0!</v>
      </c>
      <c r="M385" s="171" t="e">
        <f t="shared" si="53"/>
        <v>#DIV/0!</v>
      </c>
      <c r="N385" s="171" t="e">
        <f t="shared" si="54"/>
        <v>#DIV/0!</v>
      </c>
      <c r="O385" s="171" t="e">
        <f t="shared" si="58"/>
        <v>#DIV/0!</v>
      </c>
      <c r="P385" s="171" t="e">
        <f t="shared" si="59"/>
        <v>#DIV/0!</v>
      </c>
      <c r="Q385" s="186">
        <f>IF('prijem - EUR'!$I$87=TRUE,IF($C$11&gt;0,0.00025*M384,0),IF('prijem - EUR'!$I$88=TRUE,IF('prijem - EUR'!$F$88&gt;0,0.00025*M384*-1,0),0))</f>
        <v>0</v>
      </c>
    </row>
    <row r="386" spans="1:17" x14ac:dyDescent="0.2">
      <c r="A386" s="89">
        <v>370</v>
      </c>
      <c r="B386" s="186" t="e">
        <f t="shared" si="60"/>
        <v>#NUM!</v>
      </c>
      <c r="C386" s="171" t="e">
        <f t="shared" si="52"/>
        <v>#NUM!</v>
      </c>
      <c r="D386" s="171" t="e">
        <f t="shared" si="55"/>
        <v>#NUM!</v>
      </c>
      <c r="E386" s="171" t="e">
        <f t="shared" si="56"/>
        <v>#NUM!</v>
      </c>
      <c r="F386" s="171" t="e">
        <f t="shared" si="57"/>
        <v>#NUM!</v>
      </c>
      <c r="G386" s="186">
        <f>IF('prijem - EUR'!$I$87=TRUE,IF($C$11&gt;0,0.00025*C385,0),IF('prijem - EUR'!$I$88=TRUE,IF('prijem - EUR'!$F$88&gt;0,0.00025*C385,0),0))</f>
        <v>0</v>
      </c>
      <c r="K386" s="89">
        <v>370</v>
      </c>
      <c r="L386" s="186" t="e">
        <f t="shared" si="61"/>
        <v>#DIV/0!</v>
      </c>
      <c r="M386" s="171" t="e">
        <f t="shared" si="53"/>
        <v>#DIV/0!</v>
      </c>
      <c r="N386" s="171" t="e">
        <f t="shared" si="54"/>
        <v>#DIV/0!</v>
      </c>
      <c r="O386" s="171" t="e">
        <f t="shared" si="58"/>
        <v>#DIV/0!</v>
      </c>
      <c r="P386" s="171" t="e">
        <f t="shared" si="59"/>
        <v>#DIV/0!</v>
      </c>
      <c r="Q386" s="186">
        <f>IF('prijem - EUR'!$I$87=TRUE,IF($C$11&gt;0,0.00025*M385,0),IF('prijem - EUR'!$I$88=TRUE,IF('prijem - EUR'!$F$88&gt;0,0.00025*M385*-1,0),0))</f>
        <v>0</v>
      </c>
    </row>
    <row r="387" spans="1:17" x14ac:dyDescent="0.2">
      <c r="A387" s="89">
        <v>371</v>
      </c>
      <c r="B387" s="186" t="e">
        <f t="shared" si="60"/>
        <v>#NUM!</v>
      </c>
      <c r="C387" s="171" t="e">
        <f t="shared" si="52"/>
        <v>#NUM!</v>
      </c>
      <c r="D387" s="171" t="e">
        <f t="shared" si="55"/>
        <v>#NUM!</v>
      </c>
      <c r="E387" s="171" t="e">
        <f t="shared" si="56"/>
        <v>#NUM!</v>
      </c>
      <c r="F387" s="171" t="e">
        <f t="shared" si="57"/>
        <v>#NUM!</v>
      </c>
      <c r="G387" s="186">
        <f>IF('prijem - EUR'!$I$87=TRUE,IF($C$11&gt;0,0.00025*C386,0),IF('prijem - EUR'!$I$88=TRUE,IF('prijem - EUR'!$F$88&gt;0,0.00025*C386,0),0))</f>
        <v>0</v>
      </c>
      <c r="K387" s="89">
        <v>371</v>
      </c>
      <c r="L387" s="186" t="e">
        <f t="shared" si="61"/>
        <v>#DIV/0!</v>
      </c>
      <c r="M387" s="171" t="e">
        <f t="shared" si="53"/>
        <v>#DIV/0!</v>
      </c>
      <c r="N387" s="171" t="e">
        <f t="shared" si="54"/>
        <v>#DIV/0!</v>
      </c>
      <c r="O387" s="171" t="e">
        <f t="shared" si="58"/>
        <v>#DIV/0!</v>
      </c>
      <c r="P387" s="171" t="e">
        <f t="shared" si="59"/>
        <v>#DIV/0!</v>
      </c>
      <c r="Q387" s="186">
        <f>IF('prijem - EUR'!$I$87=TRUE,IF($C$11&gt;0,0.00025*M386,0),IF('prijem - EUR'!$I$88=TRUE,IF('prijem - EUR'!$F$88&gt;0,0.00025*M386*-1,0),0))</f>
        <v>0</v>
      </c>
    </row>
    <row r="388" spans="1:17" x14ac:dyDescent="0.2">
      <c r="A388" s="89">
        <v>372</v>
      </c>
      <c r="B388" s="186" t="e">
        <f t="shared" si="60"/>
        <v>#NUM!</v>
      </c>
      <c r="C388" s="171" t="e">
        <f t="shared" si="52"/>
        <v>#NUM!</v>
      </c>
      <c r="D388" s="171" t="e">
        <f t="shared" si="55"/>
        <v>#NUM!</v>
      </c>
      <c r="E388" s="171" t="e">
        <f t="shared" si="56"/>
        <v>#NUM!</v>
      </c>
      <c r="F388" s="171" t="e">
        <f t="shared" si="57"/>
        <v>#NUM!</v>
      </c>
      <c r="G388" s="186">
        <f>IF('prijem - EUR'!$I$87=TRUE,IF($C$11&gt;0,0.00025*C387,0),IF('prijem - EUR'!$I$88=TRUE,IF('prijem - EUR'!$F$88&gt;0,0.00025*C387,0),0))</f>
        <v>0</v>
      </c>
      <c r="K388" s="89">
        <v>372</v>
      </c>
      <c r="L388" s="186" t="e">
        <f t="shared" si="61"/>
        <v>#DIV/0!</v>
      </c>
      <c r="M388" s="171" t="e">
        <f t="shared" si="53"/>
        <v>#DIV/0!</v>
      </c>
      <c r="N388" s="171" t="e">
        <f t="shared" si="54"/>
        <v>#DIV/0!</v>
      </c>
      <c r="O388" s="171" t="e">
        <f t="shared" si="58"/>
        <v>#DIV/0!</v>
      </c>
      <c r="P388" s="171" t="e">
        <f t="shared" si="59"/>
        <v>#DIV/0!</v>
      </c>
      <c r="Q388" s="186">
        <f>IF('prijem - EUR'!$I$87=TRUE,IF($C$11&gt;0,0.00025*M387,0),IF('prijem - EUR'!$I$88=TRUE,IF('prijem - EUR'!$F$88&gt;0,0.00025*M387*-1,0),0))</f>
        <v>0</v>
      </c>
    </row>
    <row r="389" spans="1:17" x14ac:dyDescent="0.2">
      <c r="A389" s="89">
        <v>373</v>
      </c>
      <c r="B389" s="186" t="e">
        <f t="shared" si="60"/>
        <v>#NUM!</v>
      </c>
      <c r="C389" s="171" t="e">
        <f t="shared" si="52"/>
        <v>#NUM!</v>
      </c>
      <c r="D389" s="171" t="e">
        <f t="shared" si="55"/>
        <v>#NUM!</v>
      </c>
      <c r="E389" s="171" t="e">
        <f t="shared" si="56"/>
        <v>#NUM!</v>
      </c>
      <c r="F389" s="171" t="e">
        <f t="shared" si="57"/>
        <v>#NUM!</v>
      </c>
      <c r="G389" s="186">
        <f>IF('prijem - EUR'!$I$87=TRUE,IF($C$11&gt;0,0.00025*C388,0),IF('prijem - EUR'!$I$88=TRUE,IF('prijem - EUR'!$F$88&gt;0,0.00025*C388,0),0))</f>
        <v>0</v>
      </c>
      <c r="K389" s="89">
        <v>373</v>
      </c>
      <c r="L389" s="186" t="e">
        <f t="shared" si="61"/>
        <v>#DIV/0!</v>
      </c>
      <c r="M389" s="171" t="e">
        <f t="shared" si="53"/>
        <v>#DIV/0!</v>
      </c>
      <c r="N389" s="171" t="e">
        <f t="shared" si="54"/>
        <v>#DIV/0!</v>
      </c>
      <c r="O389" s="171" t="e">
        <f t="shared" si="58"/>
        <v>#DIV/0!</v>
      </c>
      <c r="P389" s="171" t="e">
        <f t="shared" si="59"/>
        <v>#DIV/0!</v>
      </c>
      <c r="Q389" s="186">
        <f>IF('prijem - EUR'!$I$87=TRUE,IF($C$11&gt;0,0.00025*M388,0),IF('prijem - EUR'!$I$88=TRUE,IF('prijem - EUR'!$F$88&gt;0,0.00025*M388*-1,0),0))</f>
        <v>0</v>
      </c>
    </row>
    <row r="390" spans="1:17" x14ac:dyDescent="0.2">
      <c r="A390" s="89">
        <v>374</v>
      </c>
      <c r="B390" s="186" t="e">
        <f t="shared" si="60"/>
        <v>#NUM!</v>
      </c>
      <c r="C390" s="171" t="e">
        <f t="shared" si="52"/>
        <v>#NUM!</v>
      </c>
      <c r="D390" s="171" t="e">
        <f t="shared" si="55"/>
        <v>#NUM!</v>
      </c>
      <c r="E390" s="171" t="e">
        <f t="shared" si="56"/>
        <v>#NUM!</v>
      </c>
      <c r="F390" s="171" t="e">
        <f t="shared" si="57"/>
        <v>#NUM!</v>
      </c>
      <c r="G390" s="186">
        <f>IF('prijem - EUR'!$I$87=TRUE,IF($C$11&gt;0,0.00025*C389,0),IF('prijem - EUR'!$I$88=TRUE,IF('prijem - EUR'!$F$88&gt;0,0.00025*C389,0),0))</f>
        <v>0</v>
      </c>
      <c r="K390" s="89">
        <v>374</v>
      </c>
      <c r="L390" s="186" t="e">
        <f t="shared" si="61"/>
        <v>#DIV/0!</v>
      </c>
      <c r="M390" s="171" t="e">
        <f t="shared" si="53"/>
        <v>#DIV/0!</v>
      </c>
      <c r="N390" s="171" t="e">
        <f t="shared" si="54"/>
        <v>#DIV/0!</v>
      </c>
      <c r="O390" s="171" t="e">
        <f t="shared" si="58"/>
        <v>#DIV/0!</v>
      </c>
      <c r="P390" s="171" t="e">
        <f t="shared" si="59"/>
        <v>#DIV/0!</v>
      </c>
      <c r="Q390" s="186">
        <f>IF('prijem - EUR'!$I$87=TRUE,IF($C$11&gt;0,0.00025*M389,0),IF('prijem - EUR'!$I$88=TRUE,IF('prijem - EUR'!$F$88&gt;0,0.00025*M389*-1,0),0))</f>
        <v>0</v>
      </c>
    </row>
    <row r="391" spans="1:17" x14ac:dyDescent="0.2">
      <c r="A391" s="89">
        <v>375</v>
      </c>
      <c r="B391" s="186" t="e">
        <f t="shared" si="60"/>
        <v>#NUM!</v>
      </c>
      <c r="C391" s="171" t="e">
        <f t="shared" si="52"/>
        <v>#NUM!</v>
      </c>
      <c r="D391" s="171" t="e">
        <f t="shared" si="55"/>
        <v>#NUM!</v>
      </c>
      <c r="E391" s="171" t="e">
        <f t="shared" si="56"/>
        <v>#NUM!</v>
      </c>
      <c r="F391" s="171" t="e">
        <f t="shared" si="57"/>
        <v>#NUM!</v>
      </c>
      <c r="G391" s="186">
        <f>IF('prijem - EUR'!$I$87=TRUE,IF($C$11&gt;0,0.00025*C390,0),IF('prijem - EUR'!$I$88=TRUE,IF('prijem - EUR'!$F$88&gt;0,0.00025*C390,0),0))</f>
        <v>0</v>
      </c>
      <c r="K391" s="89">
        <v>375</v>
      </c>
      <c r="L391" s="186" t="e">
        <f t="shared" si="61"/>
        <v>#DIV/0!</v>
      </c>
      <c r="M391" s="171" t="e">
        <f t="shared" si="53"/>
        <v>#DIV/0!</v>
      </c>
      <c r="N391" s="171" t="e">
        <f t="shared" si="54"/>
        <v>#DIV/0!</v>
      </c>
      <c r="O391" s="171" t="e">
        <f t="shared" si="58"/>
        <v>#DIV/0!</v>
      </c>
      <c r="P391" s="171" t="e">
        <f t="shared" si="59"/>
        <v>#DIV/0!</v>
      </c>
      <c r="Q391" s="186">
        <f>IF('prijem - EUR'!$I$87=TRUE,IF($C$11&gt;0,0.00025*M390,0),IF('prijem - EUR'!$I$88=TRUE,IF('prijem - EUR'!$F$88&gt;0,0.00025*M390*-1,0),0))</f>
        <v>0</v>
      </c>
    </row>
    <row r="392" spans="1:17" x14ac:dyDescent="0.2">
      <c r="A392" s="89">
        <v>376</v>
      </c>
      <c r="B392" s="186" t="e">
        <f t="shared" si="60"/>
        <v>#NUM!</v>
      </c>
      <c r="C392" s="171" t="e">
        <f t="shared" si="52"/>
        <v>#NUM!</v>
      </c>
      <c r="D392" s="171" t="e">
        <f t="shared" si="55"/>
        <v>#NUM!</v>
      </c>
      <c r="E392" s="171" t="e">
        <f t="shared" si="56"/>
        <v>#NUM!</v>
      </c>
      <c r="F392" s="171" t="e">
        <f t="shared" si="57"/>
        <v>#NUM!</v>
      </c>
      <c r="G392" s="186">
        <f>IF('prijem - EUR'!$I$87=TRUE,IF($C$11&gt;0,0.00025*C391,0),IF('prijem - EUR'!$I$88=TRUE,IF('prijem - EUR'!$F$88&gt;0,0.00025*C391,0),0))</f>
        <v>0</v>
      </c>
      <c r="K392" s="89">
        <v>376</v>
      </c>
      <c r="L392" s="186" t="e">
        <f t="shared" si="61"/>
        <v>#DIV/0!</v>
      </c>
      <c r="M392" s="171" t="e">
        <f t="shared" si="53"/>
        <v>#DIV/0!</v>
      </c>
      <c r="N392" s="171" t="e">
        <f t="shared" si="54"/>
        <v>#DIV/0!</v>
      </c>
      <c r="O392" s="171" t="e">
        <f t="shared" si="58"/>
        <v>#DIV/0!</v>
      </c>
      <c r="P392" s="171" t="e">
        <f t="shared" si="59"/>
        <v>#DIV/0!</v>
      </c>
      <c r="Q392" s="186">
        <f>IF('prijem - EUR'!$I$87=TRUE,IF($C$11&gt;0,0.00025*M391,0),IF('prijem - EUR'!$I$88=TRUE,IF('prijem - EUR'!$F$88&gt;0,0.00025*M391*-1,0),0))</f>
        <v>0</v>
      </c>
    </row>
    <row r="393" spans="1:17" x14ac:dyDescent="0.2">
      <c r="A393" s="89">
        <v>377</v>
      </c>
      <c r="B393" s="186" t="e">
        <f t="shared" si="60"/>
        <v>#NUM!</v>
      </c>
      <c r="C393" s="171" t="e">
        <f t="shared" si="52"/>
        <v>#NUM!</v>
      </c>
      <c r="D393" s="171" t="e">
        <f t="shared" si="55"/>
        <v>#NUM!</v>
      </c>
      <c r="E393" s="171" t="e">
        <f t="shared" si="56"/>
        <v>#NUM!</v>
      </c>
      <c r="F393" s="171" t="e">
        <f t="shared" si="57"/>
        <v>#NUM!</v>
      </c>
      <c r="G393" s="186">
        <f>IF('prijem - EUR'!$I$87=TRUE,IF($C$11&gt;0,0.00025*C392,0),IF('prijem - EUR'!$I$88=TRUE,IF('prijem - EUR'!$F$88&gt;0,0.00025*C392,0),0))</f>
        <v>0</v>
      </c>
      <c r="K393" s="89">
        <v>377</v>
      </c>
      <c r="L393" s="186" t="e">
        <f t="shared" si="61"/>
        <v>#DIV/0!</v>
      </c>
      <c r="M393" s="171" t="e">
        <f t="shared" si="53"/>
        <v>#DIV/0!</v>
      </c>
      <c r="N393" s="171" t="e">
        <f t="shared" si="54"/>
        <v>#DIV/0!</v>
      </c>
      <c r="O393" s="171" t="e">
        <f t="shared" si="58"/>
        <v>#DIV/0!</v>
      </c>
      <c r="P393" s="171" t="e">
        <f t="shared" si="59"/>
        <v>#DIV/0!</v>
      </c>
      <c r="Q393" s="186">
        <f>IF('prijem - EUR'!$I$87=TRUE,IF($C$11&gt;0,0.00025*M392,0),IF('prijem - EUR'!$I$88=TRUE,IF('prijem - EUR'!$F$88&gt;0,0.00025*M392*-1,0),0))</f>
        <v>0</v>
      </c>
    </row>
    <row r="394" spans="1:17" x14ac:dyDescent="0.2">
      <c r="A394" s="89">
        <v>378</v>
      </c>
      <c r="B394" s="186" t="e">
        <f t="shared" si="60"/>
        <v>#NUM!</v>
      </c>
      <c r="C394" s="171" t="e">
        <f t="shared" si="52"/>
        <v>#NUM!</v>
      </c>
      <c r="D394" s="171" t="e">
        <f t="shared" si="55"/>
        <v>#NUM!</v>
      </c>
      <c r="E394" s="171" t="e">
        <f t="shared" si="56"/>
        <v>#NUM!</v>
      </c>
      <c r="F394" s="171" t="e">
        <f t="shared" si="57"/>
        <v>#NUM!</v>
      </c>
      <c r="G394" s="186">
        <f>IF('prijem - EUR'!$I$87=TRUE,IF($C$11&gt;0,0.00025*C393,0),IF('prijem - EUR'!$I$88=TRUE,IF('prijem - EUR'!$F$88&gt;0,0.00025*C393,0),0))</f>
        <v>0</v>
      </c>
      <c r="K394" s="89">
        <v>378</v>
      </c>
      <c r="L394" s="186" t="e">
        <f t="shared" si="61"/>
        <v>#DIV/0!</v>
      </c>
      <c r="M394" s="171" t="e">
        <f t="shared" si="53"/>
        <v>#DIV/0!</v>
      </c>
      <c r="N394" s="171" t="e">
        <f t="shared" si="54"/>
        <v>#DIV/0!</v>
      </c>
      <c r="O394" s="171" t="e">
        <f t="shared" si="58"/>
        <v>#DIV/0!</v>
      </c>
      <c r="P394" s="171" t="e">
        <f t="shared" si="59"/>
        <v>#DIV/0!</v>
      </c>
      <c r="Q394" s="186">
        <f>IF('prijem - EUR'!$I$87=TRUE,IF($C$11&gt;0,0.00025*M393,0),IF('prijem - EUR'!$I$88=TRUE,IF('prijem - EUR'!$F$88&gt;0,0.00025*M393*-1,0),0))</f>
        <v>0</v>
      </c>
    </row>
    <row r="395" spans="1:17" x14ac:dyDescent="0.2">
      <c r="A395" s="89">
        <v>379</v>
      </c>
      <c r="B395" s="186" t="e">
        <f t="shared" si="60"/>
        <v>#NUM!</v>
      </c>
      <c r="C395" s="171" t="e">
        <f t="shared" si="52"/>
        <v>#NUM!</v>
      </c>
      <c r="D395" s="171" t="e">
        <f t="shared" si="55"/>
        <v>#NUM!</v>
      </c>
      <c r="E395" s="171" t="e">
        <f t="shared" si="56"/>
        <v>#NUM!</v>
      </c>
      <c r="F395" s="171" t="e">
        <f t="shared" si="57"/>
        <v>#NUM!</v>
      </c>
      <c r="G395" s="186">
        <f>IF('prijem - EUR'!$I$87=TRUE,IF($C$11&gt;0,0.00025*C394,0),IF('prijem - EUR'!$I$88=TRUE,IF('prijem - EUR'!$F$88&gt;0,0.00025*C394,0),0))</f>
        <v>0</v>
      </c>
      <c r="K395" s="89">
        <v>379</v>
      </c>
      <c r="L395" s="186" t="e">
        <f t="shared" si="61"/>
        <v>#DIV/0!</v>
      </c>
      <c r="M395" s="171" t="e">
        <f t="shared" si="53"/>
        <v>#DIV/0!</v>
      </c>
      <c r="N395" s="171" t="e">
        <f t="shared" si="54"/>
        <v>#DIV/0!</v>
      </c>
      <c r="O395" s="171" t="e">
        <f t="shared" si="58"/>
        <v>#DIV/0!</v>
      </c>
      <c r="P395" s="171" t="e">
        <f t="shared" si="59"/>
        <v>#DIV/0!</v>
      </c>
      <c r="Q395" s="186">
        <f>IF('prijem - EUR'!$I$87=TRUE,IF($C$11&gt;0,0.00025*M394,0),IF('prijem - EUR'!$I$88=TRUE,IF('prijem - EUR'!$F$88&gt;0,0.00025*M394*-1,0),0))</f>
        <v>0</v>
      </c>
    </row>
    <row r="396" spans="1:17" x14ac:dyDescent="0.2">
      <c r="A396" s="89">
        <v>380</v>
      </c>
      <c r="B396" s="186" t="e">
        <f t="shared" si="60"/>
        <v>#NUM!</v>
      </c>
      <c r="C396" s="171" t="e">
        <f t="shared" si="52"/>
        <v>#NUM!</v>
      </c>
      <c r="D396" s="171" t="e">
        <f t="shared" si="55"/>
        <v>#NUM!</v>
      </c>
      <c r="E396" s="171" t="e">
        <f t="shared" si="56"/>
        <v>#NUM!</v>
      </c>
      <c r="F396" s="171" t="e">
        <f t="shared" si="57"/>
        <v>#NUM!</v>
      </c>
      <c r="G396" s="186">
        <f>IF('prijem - EUR'!$I$87=TRUE,IF($C$11&gt;0,0.00025*C395,0),IF('prijem - EUR'!$I$88=TRUE,IF('prijem - EUR'!$F$88&gt;0,0.00025*C395,0),0))</f>
        <v>0</v>
      </c>
      <c r="K396" s="89">
        <v>380</v>
      </c>
      <c r="L396" s="186" t="e">
        <f t="shared" si="61"/>
        <v>#DIV/0!</v>
      </c>
      <c r="M396" s="171" t="e">
        <f t="shared" si="53"/>
        <v>#DIV/0!</v>
      </c>
      <c r="N396" s="171" t="e">
        <f t="shared" si="54"/>
        <v>#DIV/0!</v>
      </c>
      <c r="O396" s="171" t="e">
        <f t="shared" si="58"/>
        <v>#DIV/0!</v>
      </c>
      <c r="P396" s="171" t="e">
        <f t="shared" si="59"/>
        <v>#DIV/0!</v>
      </c>
      <c r="Q396" s="186">
        <f>IF('prijem - EUR'!$I$87=TRUE,IF($C$11&gt;0,0.00025*M395,0),IF('prijem - EUR'!$I$88=TRUE,IF('prijem - EUR'!$F$88&gt;0,0.00025*M395*-1,0),0))</f>
        <v>0</v>
      </c>
    </row>
    <row r="397" spans="1:17" x14ac:dyDescent="0.2">
      <c r="A397" s="89">
        <v>381</v>
      </c>
      <c r="B397" s="186" t="e">
        <f t="shared" si="60"/>
        <v>#NUM!</v>
      </c>
      <c r="C397" s="171" t="e">
        <f t="shared" si="52"/>
        <v>#NUM!</v>
      </c>
      <c r="D397" s="171" t="e">
        <f t="shared" si="55"/>
        <v>#NUM!</v>
      </c>
      <c r="E397" s="171" t="e">
        <f t="shared" si="56"/>
        <v>#NUM!</v>
      </c>
      <c r="F397" s="171" t="e">
        <f t="shared" si="57"/>
        <v>#NUM!</v>
      </c>
      <c r="G397" s="186">
        <f>IF('prijem - EUR'!$I$87=TRUE,IF($C$11&gt;0,0.00025*C396,0),IF('prijem - EUR'!$I$88=TRUE,IF('prijem - EUR'!$F$88&gt;0,0.00025*C396,0),0))</f>
        <v>0</v>
      </c>
      <c r="K397" s="89">
        <v>381</v>
      </c>
      <c r="L397" s="186" t="e">
        <f t="shared" si="61"/>
        <v>#DIV/0!</v>
      </c>
      <c r="M397" s="171" t="e">
        <f t="shared" si="53"/>
        <v>#DIV/0!</v>
      </c>
      <c r="N397" s="171" t="e">
        <f t="shared" si="54"/>
        <v>#DIV/0!</v>
      </c>
      <c r="O397" s="171" t="e">
        <f t="shared" si="58"/>
        <v>#DIV/0!</v>
      </c>
      <c r="P397" s="171" t="e">
        <f t="shared" si="59"/>
        <v>#DIV/0!</v>
      </c>
      <c r="Q397" s="186">
        <f>IF('prijem - EUR'!$I$87=TRUE,IF($C$11&gt;0,0.00025*M396,0),IF('prijem - EUR'!$I$88=TRUE,IF('prijem - EUR'!$F$88&gt;0,0.00025*M396*-1,0),0))</f>
        <v>0</v>
      </c>
    </row>
    <row r="398" spans="1:17" x14ac:dyDescent="0.2">
      <c r="A398" s="89">
        <v>382</v>
      </c>
      <c r="B398" s="186" t="e">
        <f t="shared" si="60"/>
        <v>#NUM!</v>
      </c>
      <c r="C398" s="171" t="e">
        <f t="shared" si="52"/>
        <v>#NUM!</v>
      </c>
      <c r="D398" s="171" t="e">
        <f t="shared" si="55"/>
        <v>#NUM!</v>
      </c>
      <c r="E398" s="171" t="e">
        <f t="shared" si="56"/>
        <v>#NUM!</v>
      </c>
      <c r="F398" s="171" t="e">
        <f t="shared" si="57"/>
        <v>#NUM!</v>
      </c>
      <c r="G398" s="186">
        <f>IF('prijem - EUR'!$I$87=TRUE,IF($C$11&gt;0,0.00025*C397,0),IF('prijem - EUR'!$I$88=TRUE,IF('prijem - EUR'!$F$88&gt;0,0.00025*C397,0),0))</f>
        <v>0</v>
      </c>
      <c r="K398" s="89">
        <v>382</v>
      </c>
      <c r="L398" s="186" t="e">
        <f t="shared" si="61"/>
        <v>#DIV/0!</v>
      </c>
      <c r="M398" s="171" t="e">
        <f t="shared" si="53"/>
        <v>#DIV/0!</v>
      </c>
      <c r="N398" s="171" t="e">
        <f t="shared" si="54"/>
        <v>#DIV/0!</v>
      </c>
      <c r="O398" s="171" t="e">
        <f t="shared" si="58"/>
        <v>#DIV/0!</v>
      </c>
      <c r="P398" s="171" t="e">
        <f t="shared" si="59"/>
        <v>#DIV/0!</v>
      </c>
      <c r="Q398" s="186">
        <f>IF('prijem - EUR'!$I$87=TRUE,IF($C$11&gt;0,0.00025*M397,0),IF('prijem - EUR'!$I$88=TRUE,IF('prijem - EUR'!$F$88&gt;0,0.00025*M397*-1,0),0))</f>
        <v>0</v>
      </c>
    </row>
    <row r="399" spans="1:17" x14ac:dyDescent="0.2">
      <c r="A399" s="89">
        <v>383</v>
      </c>
      <c r="B399" s="186" t="e">
        <f t="shared" si="60"/>
        <v>#NUM!</v>
      </c>
      <c r="C399" s="171" t="e">
        <f t="shared" si="52"/>
        <v>#NUM!</v>
      </c>
      <c r="D399" s="171" t="e">
        <f t="shared" si="55"/>
        <v>#NUM!</v>
      </c>
      <c r="E399" s="171" t="e">
        <f t="shared" si="56"/>
        <v>#NUM!</v>
      </c>
      <c r="F399" s="171" t="e">
        <f t="shared" si="57"/>
        <v>#NUM!</v>
      </c>
      <c r="G399" s="186">
        <f>IF('prijem - EUR'!$I$87=TRUE,IF($C$11&gt;0,0.00025*C398,0),IF('prijem - EUR'!$I$88=TRUE,IF('prijem - EUR'!$F$88&gt;0,0.00025*C398,0),0))</f>
        <v>0</v>
      </c>
      <c r="K399" s="89">
        <v>383</v>
      </c>
      <c r="L399" s="186" t="e">
        <f t="shared" si="61"/>
        <v>#DIV/0!</v>
      </c>
      <c r="M399" s="171" t="e">
        <f t="shared" si="53"/>
        <v>#DIV/0!</v>
      </c>
      <c r="N399" s="171" t="e">
        <f t="shared" si="54"/>
        <v>#DIV/0!</v>
      </c>
      <c r="O399" s="171" t="e">
        <f t="shared" si="58"/>
        <v>#DIV/0!</v>
      </c>
      <c r="P399" s="171" t="e">
        <f t="shared" si="59"/>
        <v>#DIV/0!</v>
      </c>
      <c r="Q399" s="186">
        <f>IF('prijem - EUR'!$I$87=TRUE,IF($C$11&gt;0,0.00025*M398,0),IF('prijem - EUR'!$I$88=TRUE,IF('prijem - EUR'!$F$88&gt;0,0.00025*M398*-1,0),0))</f>
        <v>0</v>
      </c>
    </row>
    <row r="400" spans="1:17" x14ac:dyDescent="0.2">
      <c r="A400" s="89">
        <v>384</v>
      </c>
      <c r="B400" s="186" t="e">
        <f t="shared" si="60"/>
        <v>#NUM!</v>
      </c>
      <c r="C400" s="171" t="e">
        <f t="shared" si="52"/>
        <v>#NUM!</v>
      </c>
      <c r="D400" s="171" t="e">
        <f t="shared" si="55"/>
        <v>#NUM!</v>
      </c>
      <c r="E400" s="171" t="e">
        <f t="shared" si="56"/>
        <v>#NUM!</v>
      </c>
      <c r="F400" s="171" t="e">
        <f t="shared" si="57"/>
        <v>#NUM!</v>
      </c>
      <c r="G400" s="186">
        <f>IF('prijem - EUR'!$I$87=TRUE,IF($C$11&gt;0,0.00025*C399,0),IF('prijem - EUR'!$I$88=TRUE,IF('prijem - EUR'!$F$88&gt;0,0.00025*C399,0),0))</f>
        <v>0</v>
      </c>
      <c r="K400" s="89">
        <v>384</v>
      </c>
      <c r="L400" s="186" t="e">
        <f t="shared" si="61"/>
        <v>#DIV/0!</v>
      </c>
      <c r="M400" s="171" t="e">
        <f t="shared" si="53"/>
        <v>#DIV/0!</v>
      </c>
      <c r="N400" s="171" t="e">
        <f t="shared" si="54"/>
        <v>#DIV/0!</v>
      </c>
      <c r="O400" s="171" t="e">
        <f t="shared" si="58"/>
        <v>#DIV/0!</v>
      </c>
      <c r="P400" s="171" t="e">
        <f t="shared" si="59"/>
        <v>#DIV/0!</v>
      </c>
      <c r="Q400" s="186">
        <f>IF('prijem - EUR'!$I$87=TRUE,IF($C$11&gt;0,0.00025*M399,0),IF('prijem - EUR'!$I$88=TRUE,IF('prijem - EUR'!$F$88&gt;0,0.00025*M399*-1,0),0))</f>
        <v>0</v>
      </c>
    </row>
    <row r="401" spans="1:17" x14ac:dyDescent="0.2">
      <c r="A401" s="89">
        <v>385</v>
      </c>
      <c r="B401" s="186" t="e">
        <f t="shared" si="60"/>
        <v>#NUM!</v>
      </c>
      <c r="C401" s="171" t="e">
        <f t="shared" ref="C401:C464" si="62">MAX(C400-D401,0)</f>
        <v>#NUM!</v>
      </c>
      <c r="D401" s="171" t="e">
        <f t="shared" si="55"/>
        <v>#NUM!</v>
      </c>
      <c r="E401" s="171" t="e">
        <f t="shared" si="56"/>
        <v>#NUM!</v>
      </c>
      <c r="F401" s="171" t="e">
        <f t="shared" si="57"/>
        <v>#NUM!</v>
      </c>
      <c r="G401" s="186">
        <f>IF('prijem - EUR'!$I$87=TRUE,IF($C$11&gt;0,0.00025*C400,0),IF('prijem - EUR'!$I$88=TRUE,IF('prijem - EUR'!$F$88&gt;0,0.00025*C400,0),0))</f>
        <v>0</v>
      </c>
      <c r="K401" s="89">
        <v>385</v>
      </c>
      <c r="L401" s="186" t="e">
        <f t="shared" si="61"/>
        <v>#DIV/0!</v>
      </c>
      <c r="M401" s="171" t="e">
        <f t="shared" ref="M401:M464" si="63">MAX(M400-N401,0)</f>
        <v>#DIV/0!</v>
      </c>
      <c r="N401" s="171" t="e">
        <f t="shared" ref="N401:N464" si="64">$M$16/$M$5</f>
        <v>#DIV/0!</v>
      </c>
      <c r="O401" s="171" t="e">
        <f t="shared" si="58"/>
        <v>#DIV/0!</v>
      </c>
      <c r="P401" s="171" t="e">
        <f t="shared" si="59"/>
        <v>#DIV/0!</v>
      </c>
      <c r="Q401" s="186">
        <f>IF('prijem - EUR'!$I$87=TRUE,IF($C$11&gt;0,0.00025*M400,0),IF('prijem - EUR'!$I$88=TRUE,IF('prijem - EUR'!$F$88&gt;0,0.00025*M400*-1,0),0))</f>
        <v>0</v>
      </c>
    </row>
    <row r="402" spans="1:17" x14ac:dyDescent="0.2">
      <c r="A402" s="89">
        <v>386</v>
      </c>
      <c r="B402" s="186" t="e">
        <f t="shared" si="60"/>
        <v>#NUM!</v>
      </c>
      <c r="C402" s="171" t="e">
        <f t="shared" si="62"/>
        <v>#NUM!</v>
      </c>
      <c r="D402" s="171" t="e">
        <f t="shared" ref="D402:D465" si="65">(F402-E402)*-1</f>
        <v>#NUM!</v>
      </c>
      <c r="E402" s="171" t="e">
        <f t="shared" ref="E402:E465" si="66">IPMT($C$4/12,1,$C$5,C401)</f>
        <v>#NUM!</v>
      </c>
      <c r="F402" s="171" t="e">
        <f t="shared" ref="F402:F465" si="67">PMT($C$4/12,$C$5,$C$3)</f>
        <v>#NUM!</v>
      </c>
      <c r="G402" s="186">
        <f>IF('prijem - EUR'!$I$87=TRUE,IF($C$11&gt;0,0.00025*C401,0),IF('prijem - EUR'!$I$88=TRUE,IF('prijem - EUR'!$F$88&gt;0,0.00025*C401,0),0))</f>
        <v>0</v>
      </c>
      <c r="K402" s="89">
        <v>386</v>
      </c>
      <c r="L402" s="186" t="e">
        <f t="shared" si="61"/>
        <v>#DIV/0!</v>
      </c>
      <c r="M402" s="171" t="e">
        <f t="shared" si="63"/>
        <v>#DIV/0!</v>
      </c>
      <c r="N402" s="171" t="e">
        <f t="shared" si="64"/>
        <v>#DIV/0!</v>
      </c>
      <c r="O402" s="171" t="e">
        <f t="shared" ref="O402:O465" si="68">M401*$M$4/12</f>
        <v>#DIV/0!</v>
      </c>
      <c r="P402" s="171" t="e">
        <f t="shared" ref="P402:P465" si="69">O402+N402</f>
        <v>#DIV/0!</v>
      </c>
      <c r="Q402" s="186">
        <f>IF('prijem - EUR'!$I$87=TRUE,IF($C$11&gt;0,0.00025*M401,0),IF('prijem - EUR'!$I$88=TRUE,IF('prijem - EUR'!$F$88&gt;0,0.00025*M401*-1,0),0))</f>
        <v>0</v>
      </c>
    </row>
    <row r="403" spans="1:17" x14ac:dyDescent="0.2">
      <c r="A403" s="89">
        <v>387</v>
      </c>
      <c r="B403" s="186" t="e">
        <f t="shared" si="60"/>
        <v>#NUM!</v>
      </c>
      <c r="C403" s="171" t="e">
        <f t="shared" si="62"/>
        <v>#NUM!</v>
      </c>
      <c r="D403" s="171" t="e">
        <f t="shared" si="65"/>
        <v>#NUM!</v>
      </c>
      <c r="E403" s="171" t="e">
        <f t="shared" si="66"/>
        <v>#NUM!</v>
      </c>
      <c r="F403" s="171" t="e">
        <f t="shared" si="67"/>
        <v>#NUM!</v>
      </c>
      <c r="G403" s="186">
        <f>IF('prijem - EUR'!$I$87=TRUE,IF($C$11&gt;0,0.00025*C402,0),IF('prijem - EUR'!$I$88=TRUE,IF('prijem - EUR'!$F$88&gt;0,0.00025*C402,0),0))</f>
        <v>0</v>
      </c>
      <c r="K403" s="89">
        <v>387</v>
      </c>
      <c r="L403" s="186" t="e">
        <f t="shared" si="61"/>
        <v>#DIV/0!</v>
      </c>
      <c r="M403" s="171" t="e">
        <f t="shared" si="63"/>
        <v>#DIV/0!</v>
      </c>
      <c r="N403" s="171" t="e">
        <f t="shared" si="64"/>
        <v>#DIV/0!</v>
      </c>
      <c r="O403" s="171" t="e">
        <f t="shared" si="68"/>
        <v>#DIV/0!</v>
      </c>
      <c r="P403" s="171" t="e">
        <f t="shared" si="69"/>
        <v>#DIV/0!</v>
      </c>
      <c r="Q403" s="186">
        <f>IF('prijem - EUR'!$I$87=TRUE,IF($C$11&gt;0,0.00025*M402,0),IF('prijem - EUR'!$I$88=TRUE,IF('prijem - EUR'!$F$88&gt;0,0.00025*M402*-1,0),0))</f>
        <v>0</v>
      </c>
    </row>
    <row r="404" spans="1:17" x14ac:dyDescent="0.2">
      <c r="A404" s="89">
        <v>388</v>
      </c>
      <c r="B404" s="186" t="e">
        <f t="shared" si="60"/>
        <v>#NUM!</v>
      </c>
      <c r="C404" s="171" t="e">
        <f t="shared" si="62"/>
        <v>#NUM!</v>
      </c>
      <c r="D404" s="171" t="e">
        <f t="shared" si="65"/>
        <v>#NUM!</v>
      </c>
      <c r="E404" s="171" t="e">
        <f t="shared" si="66"/>
        <v>#NUM!</v>
      </c>
      <c r="F404" s="171" t="e">
        <f t="shared" si="67"/>
        <v>#NUM!</v>
      </c>
      <c r="G404" s="186">
        <f>IF('prijem - EUR'!$I$87=TRUE,IF($C$11&gt;0,0.00025*C403,0),IF('prijem - EUR'!$I$88=TRUE,IF('prijem - EUR'!$F$88&gt;0,0.00025*C403,0),0))</f>
        <v>0</v>
      </c>
      <c r="K404" s="89">
        <v>388</v>
      </c>
      <c r="L404" s="186" t="e">
        <f t="shared" si="61"/>
        <v>#DIV/0!</v>
      </c>
      <c r="M404" s="171" t="e">
        <f t="shared" si="63"/>
        <v>#DIV/0!</v>
      </c>
      <c r="N404" s="171" t="e">
        <f t="shared" si="64"/>
        <v>#DIV/0!</v>
      </c>
      <c r="O404" s="171" t="e">
        <f t="shared" si="68"/>
        <v>#DIV/0!</v>
      </c>
      <c r="P404" s="171" t="e">
        <f t="shared" si="69"/>
        <v>#DIV/0!</v>
      </c>
      <c r="Q404" s="186">
        <f>IF('prijem - EUR'!$I$87=TRUE,IF($C$11&gt;0,0.00025*M403,0),IF('prijem - EUR'!$I$88=TRUE,IF('prijem - EUR'!$F$88&gt;0,0.00025*M403*-1,0),0))</f>
        <v>0</v>
      </c>
    </row>
    <row r="405" spans="1:17" x14ac:dyDescent="0.2">
      <c r="A405" s="89">
        <v>389</v>
      </c>
      <c r="B405" s="186" t="e">
        <f t="shared" si="60"/>
        <v>#NUM!</v>
      </c>
      <c r="C405" s="171" t="e">
        <f t="shared" si="62"/>
        <v>#NUM!</v>
      </c>
      <c r="D405" s="171" t="e">
        <f t="shared" si="65"/>
        <v>#NUM!</v>
      </c>
      <c r="E405" s="171" t="e">
        <f t="shared" si="66"/>
        <v>#NUM!</v>
      </c>
      <c r="F405" s="171" t="e">
        <f t="shared" si="67"/>
        <v>#NUM!</v>
      </c>
      <c r="G405" s="186">
        <f>IF('prijem - EUR'!$I$87=TRUE,IF($C$11&gt;0,0.00025*C404,0),IF('prijem - EUR'!$I$88=TRUE,IF('prijem - EUR'!$F$88&gt;0,0.00025*C404,0),0))</f>
        <v>0</v>
      </c>
      <c r="K405" s="89">
        <v>389</v>
      </c>
      <c r="L405" s="186" t="e">
        <f t="shared" si="61"/>
        <v>#DIV/0!</v>
      </c>
      <c r="M405" s="171" t="e">
        <f t="shared" si="63"/>
        <v>#DIV/0!</v>
      </c>
      <c r="N405" s="171" t="e">
        <f t="shared" si="64"/>
        <v>#DIV/0!</v>
      </c>
      <c r="O405" s="171" t="e">
        <f t="shared" si="68"/>
        <v>#DIV/0!</v>
      </c>
      <c r="P405" s="171" t="e">
        <f t="shared" si="69"/>
        <v>#DIV/0!</v>
      </c>
      <c r="Q405" s="186">
        <f>IF('prijem - EUR'!$I$87=TRUE,IF($C$11&gt;0,0.00025*M404,0),IF('prijem - EUR'!$I$88=TRUE,IF('prijem - EUR'!$F$88&gt;0,0.00025*M404*-1,0),0))</f>
        <v>0</v>
      </c>
    </row>
    <row r="406" spans="1:17" x14ac:dyDescent="0.2">
      <c r="A406" s="89">
        <v>390</v>
      </c>
      <c r="B406" s="186" t="e">
        <f t="shared" si="60"/>
        <v>#NUM!</v>
      </c>
      <c r="C406" s="171" t="e">
        <f t="shared" si="62"/>
        <v>#NUM!</v>
      </c>
      <c r="D406" s="171" t="e">
        <f t="shared" si="65"/>
        <v>#NUM!</v>
      </c>
      <c r="E406" s="171" t="e">
        <f t="shared" si="66"/>
        <v>#NUM!</v>
      </c>
      <c r="F406" s="171" t="e">
        <f t="shared" si="67"/>
        <v>#NUM!</v>
      </c>
      <c r="G406" s="186">
        <f>IF('prijem - EUR'!$I$87=TRUE,IF($C$11&gt;0,0.00025*C405,0),IF('prijem - EUR'!$I$88=TRUE,IF('prijem - EUR'!$F$88&gt;0,0.00025*C405,0),0))</f>
        <v>0</v>
      </c>
      <c r="K406" s="89">
        <v>390</v>
      </c>
      <c r="L406" s="186" t="e">
        <f t="shared" si="61"/>
        <v>#DIV/0!</v>
      </c>
      <c r="M406" s="171" t="e">
        <f t="shared" si="63"/>
        <v>#DIV/0!</v>
      </c>
      <c r="N406" s="171" t="e">
        <f t="shared" si="64"/>
        <v>#DIV/0!</v>
      </c>
      <c r="O406" s="171" t="e">
        <f t="shared" si="68"/>
        <v>#DIV/0!</v>
      </c>
      <c r="P406" s="171" t="e">
        <f t="shared" si="69"/>
        <v>#DIV/0!</v>
      </c>
      <c r="Q406" s="186">
        <f>IF('prijem - EUR'!$I$87=TRUE,IF($C$11&gt;0,0.00025*M405,0),IF('prijem - EUR'!$I$88=TRUE,IF('prijem - EUR'!$F$88&gt;0,0.00025*M405*-1,0),0))</f>
        <v>0</v>
      </c>
    </row>
    <row r="407" spans="1:17" x14ac:dyDescent="0.2">
      <c r="A407" s="89">
        <v>391</v>
      </c>
      <c r="B407" s="186" t="e">
        <f t="shared" si="60"/>
        <v>#NUM!</v>
      </c>
      <c r="C407" s="171" t="e">
        <f t="shared" si="62"/>
        <v>#NUM!</v>
      </c>
      <c r="D407" s="171" t="e">
        <f t="shared" si="65"/>
        <v>#NUM!</v>
      </c>
      <c r="E407" s="171" t="e">
        <f t="shared" si="66"/>
        <v>#NUM!</v>
      </c>
      <c r="F407" s="171" t="e">
        <f t="shared" si="67"/>
        <v>#NUM!</v>
      </c>
      <c r="G407" s="186">
        <f>IF('prijem - EUR'!$I$87=TRUE,IF($C$11&gt;0,0.00025*C406,0),IF('prijem - EUR'!$I$88=TRUE,IF('prijem - EUR'!$F$88&gt;0,0.00025*C406,0),0))</f>
        <v>0</v>
      </c>
      <c r="K407" s="89">
        <v>391</v>
      </c>
      <c r="L407" s="186" t="e">
        <f t="shared" si="61"/>
        <v>#DIV/0!</v>
      </c>
      <c r="M407" s="171" t="e">
        <f t="shared" si="63"/>
        <v>#DIV/0!</v>
      </c>
      <c r="N407" s="171" t="e">
        <f t="shared" si="64"/>
        <v>#DIV/0!</v>
      </c>
      <c r="O407" s="171" t="e">
        <f t="shared" si="68"/>
        <v>#DIV/0!</v>
      </c>
      <c r="P407" s="171" t="e">
        <f t="shared" si="69"/>
        <v>#DIV/0!</v>
      </c>
      <c r="Q407" s="186">
        <f>IF('prijem - EUR'!$I$87=TRUE,IF($C$11&gt;0,0.00025*M406,0),IF('prijem - EUR'!$I$88=TRUE,IF('prijem - EUR'!$F$88&gt;0,0.00025*M406*-1,0),0))</f>
        <v>0</v>
      </c>
    </row>
    <row r="408" spans="1:17" x14ac:dyDescent="0.2">
      <c r="A408" s="89">
        <v>392</v>
      </c>
      <c r="B408" s="186" t="e">
        <f t="shared" si="60"/>
        <v>#NUM!</v>
      </c>
      <c r="C408" s="171" t="e">
        <f t="shared" si="62"/>
        <v>#NUM!</v>
      </c>
      <c r="D408" s="171" t="e">
        <f t="shared" si="65"/>
        <v>#NUM!</v>
      </c>
      <c r="E408" s="171" t="e">
        <f t="shared" si="66"/>
        <v>#NUM!</v>
      </c>
      <c r="F408" s="171" t="e">
        <f t="shared" si="67"/>
        <v>#NUM!</v>
      </c>
      <c r="G408" s="186">
        <f>IF('prijem - EUR'!$I$87=TRUE,IF($C$11&gt;0,0.00025*C407,0),IF('prijem - EUR'!$I$88=TRUE,IF('prijem - EUR'!$F$88&gt;0,0.00025*C407,0),0))</f>
        <v>0</v>
      </c>
      <c r="K408" s="89">
        <v>392</v>
      </c>
      <c r="L408" s="186" t="e">
        <f t="shared" si="61"/>
        <v>#DIV/0!</v>
      </c>
      <c r="M408" s="171" t="e">
        <f t="shared" si="63"/>
        <v>#DIV/0!</v>
      </c>
      <c r="N408" s="171" t="e">
        <f t="shared" si="64"/>
        <v>#DIV/0!</v>
      </c>
      <c r="O408" s="171" t="e">
        <f t="shared" si="68"/>
        <v>#DIV/0!</v>
      </c>
      <c r="P408" s="171" t="e">
        <f t="shared" si="69"/>
        <v>#DIV/0!</v>
      </c>
      <c r="Q408" s="186">
        <f>IF('prijem - EUR'!$I$87=TRUE,IF($C$11&gt;0,0.00025*M407,0),IF('prijem - EUR'!$I$88=TRUE,IF('prijem - EUR'!$F$88&gt;0,0.00025*M407*-1,0),0))</f>
        <v>0</v>
      </c>
    </row>
    <row r="409" spans="1:17" x14ac:dyDescent="0.2">
      <c r="A409" s="89">
        <v>393</v>
      </c>
      <c r="B409" s="186" t="e">
        <f t="shared" si="60"/>
        <v>#NUM!</v>
      </c>
      <c r="C409" s="171" t="e">
        <f t="shared" si="62"/>
        <v>#NUM!</v>
      </c>
      <c r="D409" s="171" t="e">
        <f t="shared" si="65"/>
        <v>#NUM!</v>
      </c>
      <c r="E409" s="171" t="e">
        <f t="shared" si="66"/>
        <v>#NUM!</v>
      </c>
      <c r="F409" s="171" t="e">
        <f t="shared" si="67"/>
        <v>#NUM!</v>
      </c>
      <c r="G409" s="186">
        <f>IF('prijem - EUR'!$I$87=TRUE,IF($C$11&gt;0,0.00025*C408,0),IF('prijem - EUR'!$I$88=TRUE,IF('prijem - EUR'!$F$88&gt;0,0.00025*C408,0),0))</f>
        <v>0</v>
      </c>
      <c r="K409" s="89">
        <v>393</v>
      </c>
      <c r="L409" s="186" t="e">
        <f t="shared" si="61"/>
        <v>#DIV/0!</v>
      </c>
      <c r="M409" s="171" t="e">
        <f t="shared" si="63"/>
        <v>#DIV/0!</v>
      </c>
      <c r="N409" s="171" t="e">
        <f t="shared" si="64"/>
        <v>#DIV/0!</v>
      </c>
      <c r="O409" s="171" t="e">
        <f t="shared" si="68"/>
        <v>#DIV/0!</v>
      </c>
      <c r="P409" s="171" t="e">
        <f t="shared" si="69"/>
        <v>#DIV/0!</v>
      </c>
      <c r="Q409" s="186">
        <f>IF('prijem - EUR'!$I$87=TRUE,IF($C$11&gt;0,0.00025*M408,0),IF('prijem - EUR'!$I$88=TRUE,IF('prijem - EUR'!$F$88&gt;0,0.00025*M408*-1,0),0))</f>
        <v>0</v>
      </c>
    </row>
    <row r="410" spans="1:17" x14ac:dyDescent="0.2">
      <c r="A410" s="89">
        <v>394</v>
      </c>
      <c r="B410" s="186" t="e">
        <f t="shared" si="60"/>
        <v>#NUM!</v>
      </c>
      <c r="C410" s="171" t="e">
        <f t="shared" si="62"/>
        <v>#NUM!</v>
      </c>
      <c r="D410" s="171" t="e">
        <f t="shared" si="65"/>
        <v>#NUM!</v>
      </c>
      <c r="E410" s="171" t="e">
        <f t="shared" si="66"/>
        <v>#NUM!</v>
      </c>
      <c r="F410" s="171" t="e">
        <f t="shared" si="67"/>
        <v>#NUM!</v>
      </c>
      <c r="G410" s="186">
        <f>IF('prijem - EUR'!$I$87=TRUE,IF($C$11&gt;0,0.00025*C409,0),IF('prijem - EUR'!$I$88=TRUE,IF('prijem - EUR'!$F$88&gt;0,0.00025*C409,0),0))</f>
        <v>0</v>
      </c>
      <c r="K410" s="89">
        <v>394</v>
      </c>
      <c r="L410" s="186" t="e">
        <f t="shared" si="61"/>
        <v>#DIV/0!</v>
      </c>
      <c r="M410" s="171" t="e">
        <f t="shared" si="63"/>
        <v>#DIV/0!</v>
      </c>
      <c r="N410" s="171" t="e">
        <f t="shared" si="64"/>
        <v>#DIV/0!</v>
      </c>
      <c r="O410" s="171" t="e">
        <f t="shared" si="68"/>
        <v>#DIV/0!</v>
      </c>
      <c r="P410" s="171" t="e">
        <f t="shared" si="69"/>
        <v>#DIV/0!</v>
      </c>
      <c r="Q410" s="186">
        <f>IF('prijem - EUR'!$I$87=TRUE,IF($C$11&gt;0,0.00025*M409,0),IF('prijem - EUR'!$I$88=TRUE,IF('prijem - EUR'!$F$88&gt;0,0.00025*M409*-1,0),0))</f>
        <v>0</v>
      </c>
    </row>
    <row r="411" spans="1:17" x14ac:dyDescent="0.2">
      <c r="A411" s="89">
        <v>395</v>
      </c>
      <c r="B411" s="186" t="e">
        <f t="shared" si="60"/>
        <v>#NUM!</v>
      </c>
      <c r="C411" s="171" t="e">
        <f t="shared" si="62"/>
        <v>#NUM!</v>
      </c>
      <c r="D411" s="171" t="e">
        <f t="shared" si="65"/>
        <v>#NUM!</v>
      </c>
      <c r="E411" s="171" t="e">
        <f t="shared" si="66"/>
        <v>#NUM!</v>
      </c>
      <c r="F411" s="171" t="e">
        <f t="shared" si="67"/>
        <v>#NUM!</v>
      </c>
      <c r="G411" s="186">
        <f>IF('prijem - EUR'!$I$87=TRUE,IF($C$11&gt;0,0.00025*C410,0),IF('prijem - EUR'!$I$88=TRUE,IF('prijem - EUR'!$F$88&gt;0,0.00025*C410,0),0))</f>
        <v>0</v>
      </c>
      <c r="K411" s="89">
        <v>395</v>
      </c>
      <c r="L411" s="186" t="e">
        <f t="shared" si="61"/>
        <v>#DIV/0!</v>
      </c>
      <c r="M411" s="171" t="e">
        <f t="shared" si="63"/>
        <v>#DIV/0!</v>
      </c>
      <c r="N411" s="171" t="e">
        <f t="shared" si="64"/>
        <v>#DIV/0!</v>
      </c>
      <c r="O411" s="171" t="e">
        <f t="shared" si="68"/>
        <v>#DIV/0!</v>
      </c>
      <c r="P411" s="171" t="e">
        <f t="shared" si="69"/>
        <v>#DIV/0!</v>
      </c>
      <c r="Q411" s="186">
        <f>IF('prijem - EUR'!$I$87=TRUE,IF($C$11&gt;0,0.00025*M410,0),IF('prijem - EUR'!$I$88=TRUE,IF('prijem - EUR'!$F$88&gt;0,0.00025*M410*-1,0),0))</f>
        <v>0</v>
      </c>
    </row>
    <row r="412" spans="1:17" x14ac:dyDescent="0.2">
      <c r="A412" s="89">
        <v>396</v>
      </c>
      <c r="B412" s="186" t="e">
        <f t="shared" si="60"/>
        <v>#NUM!</v>
      </c>
      <c r="C412" s="171" t="e">
        <f t="shared" si="62"/>
        <v>#NUM!</v>
      </c>
      <c r="D412" s="171" t="e">
        <f t="shared" si="65"/>
        <v>#NUM!</v>
      </c>
      <c r="E412" s="171" t="e">
        <f t="shared" si="66"/>
        <v>#NUM!</v>
      </c>
      <c r="F412" s="171" t="e">
        <f t="shared" si="67"/>
        <v>#NUM!</v>
      </c>
      <c r="G412" s="186">
        <f>IF('prijem - EUR'!$I$87=TRUE,IF($C$11&gt;0,0.00025*C411,0),IF('prijem - EUR'!$I$88=TRUE,IF('prijem - EUR'!$F$88&gt;0,0.00025*C411,0),0))</f>
        <v>0</v>
      </c>
      <c r="K412" s="89">
        <v>396</v>
      </c>
      <c r="L412" s="186" t="e">
        <f t="shared" si="61"/>
        <v>#DIV/0!</v>
      </c>
      <c r="M412" s="171" t="e">
        <f t="shared" si="63"/>
        <v>#DIV/0!</v>
      </c>
      <c r="N412" s="171" t="e">
        <f t="shared" si="64"/>
        <v>#DIV/0!</v>
      </c>
      <c r="O412" s="171" t="e">
        <f t="shared" si="68"/>
        <v>#DIV/0!</v>
      </c>
      <c r="P412" s="171" t="e">
        <f t="shared" si="69"/>
        <v>#DIV/0!</v>
      </c>
      <c r="Q412" s="186">
        <f>IF('prijem - EUR'!$I$87=TRUE,IF($C$11&gt;0,0.00025*M411,0),IF('prijem - EUR'!$I$88=TRUE,IF('prijem - EUR'!$F$88&gt;0,0.00025*M411*-1,0),0))</f>
        <v>0</v>
      </c>
    </row>
    <row r="413" spans="1:17" x14ac:dyDescent="0.2">
      <c r="A413" s="89">
        <v>397</v>
      </c>
      <c r="B413" s="186" t="e">
        <f t="shared" si="60"/>
        <v>#NUM!</v>
      </c>
      <c r="C413" s="171" t="e">
        <f t="shared" si="62"/>
        <v>#NUM!</v>
      </c>
      <c r="D413" s="171" t="e">
        <f t="shared" si="65"/>
        <v>#NUM!</v>
      </c>
      <c r="E413" s="171" t="e">
        <f t="shared" si="66"/>
        <v>#NUM!</v>
      </c>
      <c r="F413" s="171" t="e">
        <f t="shared" si="67"/>
        <v>#NUM!</v>
      </c>
      <c r="G413" s="186">
        <f>IF('prijem - EUR'!$I$87=TRUE,IF($C$11&gt;0,0.00025*C412,0),IF('prijem - EUR'!$I$88=TRUE,IF('prijem - EUR'!$F$88&gt;0,0.00025*C412,0),0))</f>
        <v>0</v>
      </c>
      <c r="K413" s="89">
        <v>397</v>
      </c>
      <c r="L413" s="186" t="e">
        <f t="shared" si="61"/>
        <v>#DIV/0!</v>
      </c>
      <c r="M413" s="171" t="e">
        <f t="shared" si="63"/>
        <v>#DIV/0!</v>
      </c>
      <c r="N413" s="171" t="e">
        <f t="shared" si="64"/>
        <v>#DIV/0!</v>
      </c>
      <c r="O413" s="171" t="e">
        <f t="shared" si="68"/>
        <v>#DIV/0!</v>
      </c>
      <c r="P413" s="171" t="e">
        <f t="shared" si="69"/>
        <v>#DIV/0!</v>
      </c>
      <c r="Q413" s="186">
        <f>IF('prijem - EUR'!$I$87=TRUE,IF($C$11&gt;0,0.00025*M412,0),IF('prijem - EUR'!$I$88=TRUE,IF('prijem - EUR'!$F$88&gt;0,0.00025*M412*-1,0),0))</f>
        <v>0</v>
      </c>
    </row>
    <row r="414" spans="1:17" x14ac:dyDescent="0.2">
      <c r="A414" s="89">
        <v>398</v>
      </c>
      <c r="B414" s="186" t="e">
        <f t="shared" si="60"/>
        <v>#NUM!</v>
      </c>
      <c r="C414" s="171" t="e">
        <f t="shared" si="62"/>
        <v>#NUM!</v>
      </c>
      <c r="D414" s="171" t="e">
        <f t="shared" si="65"/>
        <v>#NUM!</v>
      </c>
      <c r="E414" s="171" t="e">
        <f t="shared" si="66"/>
        <v>#NUM!</v>
      </c>
      <c r="F414" s="171" t="e">
        <f t="shared" si="67"/>
        <v>#NUM!</v>
      </c>
      <c r="G414" s="186">
        <f>IF('prijem - EUR'!$I$87=TRUE,IF($C$11&gt;0,0.00025*C413,0),IF('prijem - EUR'!$I$88=TRUE,IF('prijem - EUR'!$F$88&gt;0,0.00025*C413,0),0))</f>
        <v>0</v>
      </c>
      <c r="K414" s="89">
        <v>398</v>
      </c>
      <c r="L414" s="186" t="e">
        <f t="shared" si="61"/>
        <v>#DIV/0!</v>
      </c>
      <c r="M414" s="171" t="e">
        <f t="shared" si="63"/>
        <v>#DIV/0!</v>
      </c>
      <c r="N414" s="171" t="e">
        <f t="shared" si="64"/>
        <v>#DIV/0!</v>
      </c>
      <c r="O414" s="171" t="e">
        <f t="shared" si="68"/>
        <v>#DIV/0!</v>
      </c>
      <c r="P414" s="171" t="e">
        <f t="shared" si="69"/>
        <v>#DIV/0!</v>
      </c>
      <c r="Q414" s="186">
        <f>IF('prijem - EUR'!$I$87=TRUE,IF($C$11&gt;0,0.00025*M413,0),IF('prijem - EUR'!$I$88=TRUE,IF('prijem - EUR'!$F$88&gt;0,0.00025*M413*-1,0),0))</f>
        <v>0</v>
      </c>
    </row>
    <row r="415" spans="1:17" x14ac:dyDescent="0.2">
      <c r="A415" s="89">
        <v>399</v>
      </c>
      <c r="B415" s="186" t="e">
        <f t="shared" si="60"/>
        <v>#NUM!</v>
      </c>
      <c r="C415" s="171" t="e">
        <f t="shared" si="62"/>
        <v>#NUM!</v>
      </c>
      <c r="D415" s="171" t="e">
        <f t="shared" si="65"/>
        <v>#NUM!</v>
      </c>
      <c r="E415" s="171" t="e">
        <f t="shared" si="66"/>
        <v>#NUM!</v>
      </c>
      <c r="F415" s="171" t="e">
        <f t="shared" si="67"/>
        <v>#NUM!</v>
      </c>
      <c r="G415" s="186">
        <f>IF('prijem - EUR'!$I$87=TRUE,IF($C$11&gt;0,0.00025*C414,0),IF('prijem - EUR'!$I$88=TRUE,IF('prijem - EUR'!$F$88&gt;0,0.00025*C414,0),0))</f>
        <v>0</v>
      </c>
      <c r="K415" s="89">
        <v>399</v>
      </c>
      <c r="L415" s="186" t="e">
        <f t="shared" si="61"/>
        <v>#DIV/0!</v>
      </c>
      <c r="M415" s="171" t="e">
        <f t="shared" si="63"/>
        <v>#DIV/0!</v>
      </c>
      <c r="N415" s="171" t="e">
        <f t="shared" si="64"/>
        <v>#DIV/0!</v>
      </c>
      <c r="O415" s="171" t="e">
        <f t="shared" si="68"/>
        <v>#DIV/0!</v>
      </c>
      <c r="P415" s="171" t="e">
        <f t="shared" si="69"/>
        <v>#DIV/0!</v>
      </c>
      <c r="Q415" s="186">
        <f>IF('prijem - EUR'!$I$87=TRUE,IF($C$11&gt;0,0.00025*M414,0),IF('prijem - EUR'!$I$88=TRUE,IF('prijem - EUR'!$F$88&gt;0,0.00025*M414*-1,0),0))</f>
        <v>0</v>
      </c>
    </row>
    <row r="416" spans="1:17" x14ac:dyDescent="0.2">
      <c r="A416" s="89">
        <v>400</v>
      </c>
      <c r="B416" s="186" t="e">
        <f t="shared" si="60"/>
        <v>#NUM!</v>
      </c>
      <c r="C416" s="171" t="e">
        <f t="shared" si="62"/>
        <v>#NUM!</v>
      </c>
      <c r="D416" s="171" t="e">
        <f t="shared" si="65"/>
        <v>#NUM!</v>
      </c>
      <c r="E416" s="171" t="e">
        <f t="shared" si="66"/>
        <v>#NUM!</v>
      </c>
      <c r="F416" s="171" t="e">
        <f t="shared" si="67"/>
        <v>#NUM!</v>
      </c>
      <c r="G416" s="186">
        <f>IF('prijem - EUR'!$I$87=TRUE,IF($C$11&gt;0,0.00025*C415,0),IF('prijem - EUR'!$I$88=TRUE,IF('prijem - EUR'!$F$88&gt;0,0.00025*C415,0),0))</f>
        <v>0</v>
      </c>
      <c r="K416" s="89">
        <v>400</v>
      </c>
      <c r="L416" s="186" t="e">
        <f t="shared" si="61"/>
        <v>#DIV/0!</v>
      </c>
      <c r="M416" s="171" t="e">
        <f t="shared" si="63"/>
        <v>#DIV/0!</v>
      </c>
      <c r="N416" s="171" t="e">
        <f t="shared" si="64"/>
        <v>#DIV/0!</v>
      </c>
      <c r="O416" s="171" t="e">
        <f t="shared" si="68"/>
        <v>#DIV/0!</v>
      </c>
      <c r="P416" s="171" t="e">
        <f t="shared" si="69"/>
        <v>#DIV/0!</v>
      </c>
      <c r="Q416" s="186">
        <f>IF('prijem - EUR'!$I$87=TRUE,IF($C$11&gt;0,0.00025*M415,0),IF('prijem - EUR'!$I$88=TRUE,IF('prijem - EUR'!$F$88&gt;0,0.00025*M415*-1,0),0))</f>
        <v>0</v>
      </c>
    </row>
    <row r="417" spans="1:17" x14ac:dyDescent="0.2">
      <c r="A417" s="89">
        <v>401</v>
      </c>
      <c r="B417" s="186" t="e">
        <f t="shared" si="60"/>
        <v>#NUM!</v>
      </c>
      <c r="C417" s="171" t="e">
        <f t="shared" si="62"/>
        <v>#NUM!</v>
      </c>
      <c r="D417" s="171" t="e">
        <f t="shared" si="65"/>
        <v>#NUM!</v>
      </c>
      <c r="E417" s="171" t="e">
        <f t="shared" si="66"/>
        <v>#NUM!</v>
      </c>
      <c r="F417" s="171" t="e">
        <f t="shared" si="67"/>
        <v>#NUM!</v>
      </c>
      <c r="G417" s="186">
        <f>IF('prijem - EUR'!$I$87=TRUE,IF($C$11&gt;0,0.00025*C416,0),IF('prijem - EUR'!$I$88=TRUE,IF('prijem - EUR'!$F$88&gt;0,0.00025*C416,0),0))</f>
        <v>0</v>
      </c>
      <c r="K417" s="89">
        <v>401</v>
      </c>
      <c r="L417" s="186" t="e">
        <f t="shared" si="61"/>
        <v>#DIV/0!</v>
      </c>
      <c r="M417" s="171" t="e">
        <f t="shared" si="63"/>
        <v>#DIV/0!</v>
      </c>
      <c r="N417" s="171" t="e">
        <f t="shared" si="64"/>
        <v>#DIV/0!</v>
      </c>
      <c r="O417" s="171" t="e">
        <f t="shared" si="68"/>
        <v>#DIV/0!</v>
      </c>
      <c r="P417" s="171" t="e">
        <f t="shared" si="69"/>
        <v>#DIV/0!</v>
      </c>
      <c r="Q417" s="186">
        <f>IF('prijem - EUR'!$I$87=TRUE,IF($C$11&gt;0,0.00025*M416,0),IF('prijem - EUR'!$I$88=TRUE,IF('prijem - EUR'!$F$88&gt;0,0.00025*M416*-1,0),0))</f>
        <v>0</v>
      </c>
    </row>
    <row r="418" spans="1:17" x14ac:dyDescent="0.2">
      <c r="A418" s="89">
        <v>402</v>
      </c>
      <c r="B418" s="186" t="e">
        <f t="shared" si="60"/>
        <v>#NUM!</v>
      </c>
      <c r="C418" s="171" t="e">
        <f t="shared" si="62"/>
        <v>#NUM!</v>
      </c>
      <c r="D418" s="171" t="e">
        <f t="shared" si="65"/>
        <v>#NUM!</v>
      </c>
      <c r="E418" s="171" t="e">
        <f t="shared" si="66"/>
        <v>#NUM!</v>
      </c>
      <c r="F418" s="171" t="e">
        <f t="shared" si="67"/>
        <v>#NUM!</v>
      </c>
      <c r="G418" s="186">
        <f>IF('prijem - EUR'!$I$87=TRUE,IF($C$11&gt;0,0.00025*C417,0),IF('prijem - EUR'!$I$88=TRUE,IF('prijem - EUR'!$F$88&gt;0,0.00025*C417,0),0))</f>
        <v>0</v>
      </c>
      <c r="K418" s="89">
        <v>402</v>
      </c>
      <c r="L418" s="186" t="e">
        <f t="shared" si="61"/>
        <v>#DIV/0!</v>
      </c>
      <c r="M418" s="171" t="e">
        <f t="shared" si="63"/>
        <v>#DIV/0!</v>
      </c>
      <c r="N418" s="171" t="e">
        <f t="shared" si="64"/>
        <v>#DIV/0!</v>
      </c>
      <c r="O418" s="171" t="e">
        <f t="shared" si="68"/>
        <v>#DIV/0!</v>
      </c>
      <c r="P418" s="171" t="e">
        <f t="shared" si="69"/>
        <v>#DIV/0!</v>
      </c>
      <c r="Q418" s="186">
        <f>IF('prijem - EUR'!$I$87=TRUE,IF($C$11&gt;0,0.00025*M417,0),IF('prijem - EUR'!$I$88=TRUE,IF('prijem - EUR'!$F$88&gt;0,0.00025*M417*-1,0),0))</f>
        <v>0</v>
      </c>
    </row>
    <row r="419" spans="1:17" x14ac:dyDescent="0.2">
      <c r="A419" s="89">
        <v>403</v>
      </c>
      <c r="B419" s="186" t="e">
        <f t="shared" si="60"/>
        <v>#NUM!</v>
      </c>
      <c r="C419" s="171" t="e">
        <f t="shared" si="62"/>
        <v>#NUM!</v>
      </c>
      <c r="D419" s="171" t="e">
        <f t="shared" si="65"/>
        <v>#NUM!</v>
      </c>
      <c r="E419" s="171" t="e">
        <f t="shared" si="66"/>
        <v>#NUM!</v>
      </c>
      <c r="F419" s="171" t="e">
        <f t="shared" si="67"/>
        <v>#NUM!</v>
      </c>
      <c r="G419" s="186">
        <f>IF('prijem - EUR'!$I$87=TRUE,IF($C$11&gt;0,0.00025*C418,0),IF('prijem - EUR'!$I$88=TRUE,IF('prijem - EUR'!$F$88&gt;0,0.00025*C418,0),0))</f>
        <v>0</v>
      </c>
      <c r="K419" s="89">
        <v>403</v>
      </c>
      <c r="L419" s="186" t="e">
        <f t="shared" si="61"/>
        <v>#DIV/0!</v>
      </c>
      <c r="M419" s="171" t="e">
        <f t="shared" si="63"/>
        <v>#DIV/0!</v>
      </c>
      <c r="N419" s="171" t="e">
        <f t="shared" si="64"/>
        <v>#DIV/0!</v>
      </c>
      <c r="O419" s="171" t="e">
        <f t="shared" si="68"/>
        <v>#DIV/0!</v>
      </c>
      <c r="P419" s="171" t="e">
        <f t="shared" si="69"/>
        <v>#DIV/0!</v>
      </c>
      <c r="Q419" s="186">
        <f>IF('prijem - EUR'!$I$87=TRUE,IF($C$11&gt;0,0.00025*M418,0),IF('prijem - EUR'!$I$88=TRUE,IF('prijem - EUR'!$F$88&gt;0,0.00025*M418*-1,0),0))</f>
        <v>0</v>
      </c>
    </row>
    <row r="420" spans="1:17" x14ac:dyDescent="0.2">
      <c r="A420" s="89">
        <v>404</v>
      </c>
      <c r="B420" s="186" t="e">
        <f t="shared" si="60"/>
        <v>#NUM!</v>
      </c>
      <c r="C420" s="171" t="e">
        <f t="shared" si="62"/>
        <v>#NUM!</v>
      </c>
      <c r="D420" s="171" t="e">
        <f t="shared" si="65"/>
        <v>#NUM!</v>
      </c>
      <c r="E420" s="171" t="e">
        <f t="shared" si="66"/>
        <v>#NUM!</v>
      </c>
      <c r="F420" s="171" t="e">
        <f t="shared" si="67"/>
        <v>#NUM!</v>
      </c>
      <c r="G420" s="186">
        <f>IF('prijem - EUR'!$I$87=TRUE,IF($C$11&gt;0,0.00025*C419,0),IF('prijem - EUR'!$I$88=TRUE,IF('prijem - EUR'!$F$88&gt;0,0.00025*C419,0),0))</f>
        <v>0</v>
      </c>
      <c r="K420" s="89">
        <v>404</v>
      </c>
      <c r="L420" s="186" t="e">
        <f t="shared" si="61"/>
        <v>#DIV/0!</v>
      </c>
      <c r="M420" s="171" t="e">
        <f t="shared" si="63"/>
        <v>#DIV/0!</v>
      </c>
      <c r="N420" s="171" t="e">
        <f t="shared" si="64"/>
        <v>#DIV/0!</v>
      </c>
      <c r="O420" s="171" t="e">
        <f t="shared" si="68"/>
        <v>#DIV/0!</v>
      </c>
      <c r="P420" s="171" t="e">
        <f t="shared" si="69"/>
        <v>#DIV/0!</v>
      </c>
      <c r="Q420" s="186">
        <f>IF('prijem - EUR'!$I$87=TRUE,IF($C$11&gt;0,0.00025*M419,0),IF('prijem - EUR'!$I$88=TRUE,IF('prijem - EUR'!$F$88&gt;0,0.00025*M419*-1,0),0))</f>
        <v>0</v>
      </c>
    </row>
    <row r="421" spans="1:17" x14ac:dyDescent="0.2">
      <c r="A421" s="89">
        <v>405</v>
      </c>
      <c r="B421" s="186" t="e">
        <f t="shared" si="60"/>
        <v>#NUM!</v>
      </c>
      <c r="C421" s="171" t="e">
        <f t="shared" si="62"/>
        <v>#NUM!</v>
      </c>
      <c r="D421" s="171" t="e">
        <f t="shared" si="65"/>
        <v>#NUM!</v>
      </c>
      <c r="E421" s="171" t="e">
        <f t="shared" si="66"/>
        <v>#NUM!</v>
      </c>
      <c r="F421" s="171" t="e">
        <f t="shared" si="67"/>
        <v>#NUM!</v>
      </c>
      <c r="G421" s="186">
        <f>IF('prijem - EUR'!$I$87=TRUE,IF($C$11&gt;0,0.00025*C420,0),IF('prijem - EUR'!$I$88=TRUE,IF('prijem - EUR'!$F$88&gt;0,0.00025*C420,0),0))</f>
        <v>0</v>
      </c>
      <c r="K421" s="89">
        <v>405</v>
      </c>
      <c r="L421" s="186" t="e">
        <f t="shared" si="61"/>
        <v>#DIV/0!</v>
      </c>
      <c r="M421" s="171" t="e">
        <f t="shared" si="63"/>
        <v>#DIV/0!</v>
      </c>
      <c r="N421" s="171" t="e">
        <f t="shared" si="64"/>
        <v>#DIV/0!</v>
      </c>
      <c r="O421" s="171" t="e">
        <f t="shared" si="68"/>
        <v>#DIV/0!</v>
      </c>
      <c r="P421" s="171" t="e">
        <f t="shared" si="69"/>
        <v>#DIV/0!</v>
      </c>
      <c r="Q421" s="186">
        <f>IF('prijem - EUR'!$I$87=TRUE,IF($C$11&gt;0,0.00025*M420,0),IF('prijem - EUR'!$I$88=TRUE,IF('prijem - EUR'!$F$88&gt;0,0.00025*M420*-1,0),0))</f>
        <v>0</v>
      </c>
    </row>
    <row r="422" spans="1:17" x14ac:dyDescent="0.2">
      <c r="A422" s="89">
        <v>406</v>
      </c>
      <c r="B422" s="186" t="e">
        <f t="shared" si="60"/>
        <v>#NUM!</v>
      </c>
      <c r="C422" s="171" t="e">
        <f t="shared" si="62"/>
        <v>#NUM!</v>
      </c>
      <c r="D422" s="171" t="e">
        <f t="shared" si="65"/>
        <v>#NUM!</v>
      </c>
      <c r="E422" s="171" t="e">
        <f t="shared" si="66"/>
        <v>#NUM!</v>
      </c>
      <c r="F422" s="171" t="e">
        <f t="shared" si="67"/>
        <v>#NUM!</v>
      </c>
      <c r="G422" s="186">
        <f>IF('prijem - EUR'!$I$87=TRUE,IF($C$11&gt;0,0.00025*C421,0),IF('prijem - EUR'!$I$88=TRUE,IF('prijem - EUR'!$F$88&gt;0,0.00025*C421,0),0))</f>
        <v>0</v>
      </c>
      <c r="K422" s="89">
        <v>406</v>
      </c>
      <c r="L422" s="186" t="e">
        <f t="shared" si="61"/>
        <v>#DIV/0!</v>
      </c>
      <c r="M422" s="171" t="e">
        <f t="shared" si="63"/>
        <v>#DIV/0!</v>
      </c>
      <c r="N422" s="171" t="e">
        <f t="shared" si="64"/>
        <v>#DIV/0!</v>
      </c>
      <c r="O422" s="171" t="e">
        <f t="shared" si="68"/>
        <v>#DIV/0!</v>
      </c>
      <c r="P422" s="171" t="e">
        <f t="shared" si="69"/>
        <v>#DIV/0!</v>
      </c>
      <c r="Q422" s="186">
        <f>IF('prijem - EUR'!$I$87=TRUE,IF($C$11&gt;0,0.00025*M421,0),IF('prijem - EUR'!$I$88=TRUE,IF('prijem - EUR'!$F$88&gt;0,0.00025*M421*-1,0),0))</f>
        <v>0</v>
      </c>
    </row>
    <row r="423" spans="1:17" x14ac:dyDescent="0.2">
      <c r="A423" s="89">
        <v>407</v>
      </c>
      <c r="B423" s="186" t="e">
        <f t="shared" si="60"/>
        <v>#NUM!</v>
      </c>
      <c r="C423" s="171" t="e">
        <f t="shared" si="62"/>
        <v>#NUM!</v>
      </c>
      <c r="D423" s="171" t="e">
        <f t="shared" si="65"/>
        <v>#NUM!</v>
      </c>
      <c r="E423" s="171" t="e">
        <f t="shared" si="66"/>
        <v>#NUM!</v>
      </c>
      <c r="F423" s="171" t="e">
        <f t="shared" si="67"/>
        <v>#NUM!</v>
      </c>
      <c r="G423" s="186">
        <f>IF('prijem - EUR'!$I$87=TRUE,IF($C$11&gt;0,0.00025*C422,0),IF('prijem - EUR'!$I$88=TRUE,IF('prijem - EUR'!$F$88&gt;0,0.00025*C422,0),0))</f>
        <v>0</v>
      </c>
      <c r="K423" s="89">
        <v>407</v>
      </c>
      <c r="L423" s="186" t="e">
        <f t="shared" si="61"/>
        <v>#DIV/0!</v>
      </c>
      <c r="M423" s="171" t="e">
        <f t="shared" si="63"/>
        <v>#DIV/0!</v>
      </c>
      <c r="N423" s="171" t="e">
        <f t="shared" si="64"/>
        <v>#DIV/0!</v>
      </c>
      <c r="O423" s="171" t="e">
        <f t="shared" si="68"/>
        <v>#DIV/0!</v>
      </c>
      <c r="P423" s="171" t="e">
        <f t="shared" si="69"/>
        <v>#DIV/0!</v>
      </c>
      <c r="Q423" s="186">
        <f>IF('prijem - EUR'!$I$87=TRUE,IF($C$11&gt;0,0.00025*M422,0),IF('prijem - EUR'!$I$88=TRUE,IF('prijem - EUR'!$F$88&gt;0,0.00025*M422*-1,0),0))</f>
        <v>0</v>
      </c>
    </row>
    <row r="424" spans="1:17" x14ac:dyDescent="0.2">
      <c r="A424" s="89">
        <v>408</v>
      </c>
      <c r="B424" s="186" t="e">
        <f t="shared" si="60"/>
        <v>#NUM!</v>
      </c>
      <c r="C424" s="171" t="e">
        <f t="shared" si="62"/>
        <v>#NUM!</v>
      </c>
      <c r="D424" s="171" t="e">
        <f t="shared" si="65"/>
        <v>#NUM!</v>
      </c>
      <c r="E424" s="171" t="e">
        <f t="shared" si="66"/>
        <v>#NUM!</v>
      </c>
      <c r="F424" s="171" t="e">
        <f t="shared" si="67"/>
        <v>#NUM!</v>
      </c>
      <c r="G424" s="186">
        <f>IF('prijem - EUR'!$I$87=TRUE,IF($C$11&gt;0,0.00025*C423,0),IF('prijem - EUR'!$I$88=TRUE,IF('prijem - EUR'!$F$88&gt;0,0.00025*C423,0),0))</f>
        <v>0</v>
      </c>
      <c r="K424" s="89">
        <v>408</v>
      </c>
      <c r="L424" s="186" t="e">
        <f t="shared" si="61"/>
        <v>#DIV/0!</v>
      </c>
      <c r="M424" s="171" t="e">
        <f t="shared" si="63"/>
        <v>#DIV/0!</v>
      </c>
      <c r="N424" s="171" t="e">
        <f t="shared" si="64"/>
        <v>#DIV/0!</v>
      </c>
      <c r="O424" s="171" t="e">
        <f t="shared" si="68"/>
        <v>#DIV/0!</v>
      </c>
      <c r="P424" s="171" t="e">
        <f t="shared" si="69"/>
        <v>#DIV/0!</v>
      </c>
      <c r="Q424" s="186">
        <f>IF('prijem - EUR'!$I$87=TRUE,IF($C$11&gt;0,0.00025*M423,0),IF('prijem - EUR'!$I$88=TRUE,IF('prijem - EUR'!$F$88&gt;0,0.00025*M423*-1,0),0))</f>
        <v>0</v>
      </c>
    </row>
    <row r="425" spans="1:17" x14ac:dyDescent="0.2">
      <c r="A425" s="89">
        <v>409</v>
      </c>
      <c r="B425" s="186" t="e">
        <f t="shared" si="60"/>
        <v>#NUM!</v>
      </c>
      <c r="C425" s="171" t="e">
        <f t="shared" si="62"/>
        <v>#NUM!</v>
      </c>
      <c r="D425" s="171" t="e">
        <f t="shared" si="65"/>
        <v>#NUM!</v>
      </c>
      <c r="E425" s="171" t="e">
        <f t="shared" si="66"/>
        <v>#NUM!</v>
      </c>
      <c r="F425" s="171" t="e">
        <f t="shared" si="67"/>
        <v>#NUM!</v>
      </c>
      <c r="G425" s="186">
        <f>IF('prijem - EUR'!$I$87=TRUE,IF($C$11&gt;0,0.00025*C424,0),IF('prijem - EUR'!$I$88=TRUE,IF('prijem - EUR'!$F$88&gt;0,0.00025*C424,0),0))</f>
        <v>0</v>
      </c>
      <c r="K425" s="89">
        <v>409</v>
      </c>
      <c r="L425" s="186" t="e">
        <f t="shared" si="61"/>
        <v>#DIV/0!</v>
      </c>
      <c r="M425" s="171" t="e">
        <f t="shared" si="63"/>
        <v>#DIV/0!</v>
      </c>
      <c r="N425" s="171" t="e">
        <f t="shared" si="64"/>
        <v>#DIV/0!</v>
      </c>
      <c r="O425" s="171" t="e">
        <f t="shared" si="68"/>
        <v>#DIV/0!</v>
      </c>
      <c r="P425" s="171" t="e">
        <f t="shared" si="69"/>
        <v>#DIV/0!</v>
      </c>
      <c r="Q425" s="186">
        <f>IF('prijem - EUR'!$I$87=TRUE,IF($C$11&gt;0,0.00025*M424,0),IF('prijem - EUR'!$I$88=TRUE,IF('prijem - EUR'!$F$88&gt;0,0.00025*M424*-1,0),0))</f>
        <v>0</v>
      </c>
    </row>
    <row r="426" spans="1:17" x14ac:dyDescent="0.2">
      <c r="A426" s="89">
        <v>410</v>
      </c>
      <c r="B426" s="186" t="e">
        <f t="shared" ref="B426:B489" si="70">IF(C425&gt;0.00001,F426-G426,0)</f>
        <v>#NUM!</v>
      </c>
      <c r="C426" s="171" t="e">
        <f t="shared" si="62"/>
        <v>#NUM!</v>
      </c>
      <c r="D426" s="171" t="e">
        <f t="shared" si="65"/>
        <v>#NUM!</v>
      </c>
      <c r="E426" s="171" t="e">
        <f t="shared" si="66"/>
        <v>#NUM!</v>
      </c>
      <c r="F426" s="171" t="e">
        <f t="shared" si="67"/>
        <v>#NUM!</v>
      </c>
      <c r="G426" s="186">
        <f>IF('prijem - EUR'!$I$87=TRUE,IF($C$11&gt;0,0.00025*C425,0),IF('prijem - EUR'!$I$88=TRUE,IF('prijem - EUR'!$F$88&gt;0,0.00025*C425,0),0))</f>
        <v>0</v>
      </c>
      <c r="K426" s="89">
        <v>410</v>
      </c>
      <c r="L426" s="186" t="e">
        <f t="shared" ref="L426:L489" si="71">IF(M425&gt;0.00001,P426-Q426,0)*-1</f>
        <v>#DIV/0!</v>
      </c>
      <c r="M426" s="171" t="e">
        <f t="shared" si="63"/>
        <v>#DIV/0!</v>
      </c>
      <c r="N426" s="171" t="e">
        <f t="shared" si="64"/>
        <v>#DIV/0!</v>
      </c>
      <c r="O426" s="171" t="e">
        <f t="shared" si="68"/>
        <v>#DIV/0!</v>
      </c>
      <c r="P426" s="171" t="e">
        <f t="shared" si="69"/>
        <v>#DIV/0!</v>
      </c>
      <c r="Q426" s="186">
        <f>IF('prijem - EUR'!$I$87=TRUE,IF($C$11&gt;0,0.00025*M425,0),IF('prijem - EUR'!$I$88=TRUE,IF('prijem - EUR'!$F$88&gt;0,0.00025*M425*-1,0),0))</f>
        <v>0</v>
      </c>
    </row>
    <row r="427" spans="1:17" x14ac:dyDescent="0.2">
      <c r="A427" s="89">
        <v>411</v>
      </c>
      <c r="B427" s="186" t="e">
        <f t="shared" si="70"/>
        <v>#NUM!</v>
      </c>
      <c r="C427" s="171" t="e">
        <f t="shared" si="62"/>
        <v>#NUM!</v>
      </c>
      <c r="D427" s="171" t="e">
        <f t="shared" si="65"/>
        <v>#NUM!</v>
      </c>
      <c r="E427" s="171" t="e">
        <f t="shared" si="66"/>
        <v>#NUM!</v>
      </c>
      <c r="F427" s="171" t="e">
        <f t="shared" si="67"/>
        <v>#NUM!</v>
      </c>
      <c r="G427" s="186">
        <f>IF('prijem - EUR'!$I$87=TRUE,IF($C$11&gt;0,0.00025*C426,0),IF('prijem - EUR'!$I$88=TRUE,IF('prijem - EUR'!$F$88&gt;0,0.00025*C426,0),0))</f>
        <v>0</v>
      </c>
      <c r="K427" s="89">
        <v>411</v>
      </c>
      <c r="L427" s="186" t="e">
        <f t="shared" si="71"/>
        <v>#DIV/0!</v>
      </c>
      <c r="M427" s="171" t="e">
        <f t="shared" si="63"/>
        <v>#DIV/0!</v>
      </c>
      <c r="N427" s="171" t="e">
        <f t="shared" si="64"/>
        <v>#DIV/0!</v>
      </c>
      <c r="O427" s="171" t="e">
        <f t="shared" si="68"/>
        <v>#DIV/0!</v>
      </c>
      <c r="P427" s="171" t="e">
        <f t="shared" si="69"/>
        <v>#DIV/0!</v>
      </c>
      <c r="Q427" s="186">
        <f>IF('prijem - EUR'!$I$87=TRUE,IF($C$11&gt;0,0.00025*M426,0),IF('prijem - EUR'!$I$88=TRUE,IF('prijem - EUR'!$F$88&gt;0,0.00025*M426*-1,0),0))</f>
        <v>0</v>
      </c>
    </row>
    <row r="428" spans="1:17" x14ac:dyDescent="0.2">
      <c r="A428" s="89">
        <v>412</v>
      </c>
      <c r="B428" s="186" t="e">
        <f t="shared" si="70"/>
        <v>#NUM!</v>
      </c>
      <c r="C428" s="171" t="e">
        <f t="shared" si="62"/>
        <v>#NUM!</v>
      </c>
      <c r="D428" s="171" t="e">
        <f t="shared" si="65"/>
        <v>#NUM!</v>
      </c>
      <c r="E428" s="171" t="e">
        <f t="shared" si="66"/>
        <v>#NUM!</v>
      </c>
      <c r="F428" s="171" t="e">
        <f t="shared" si="67"/>
        <v>#NUM!</v>
      </c>
      <c r="G428" s="186">
        <f>IF('prijem - EUR'!$I$87=TRUE,IF($C$11&gt;0,0.00025*C427,0),IF('prijem - EUR'!$I$88=TRUE,IF('prijem - EUR'!$F$88&gt;0,0.00025*C427,0),0))</f>
        <v>0</v>
      </c>
      <c r="K428" s="89">
        <v>412</v>
      </c>
      <c r="L428" s="186" t="e">
        <f t="shared" si="71"/>
        <v>#DIV/0!</v>
      </c>
      <c r="M428" s="171" t="e">
        <f t="shared" si="63"/>
        <v>#DIV/0!</v>
      </c>
      <c r="N428" s="171" t="e">
        <f t="shared" si="64"/>
        <v>#DIV/0!</v>
      </c>
      <c r="O428" s="171" t="e">
        <f t="shared" si="68"/>
        <v>#DIV/0!</v>
      </c>
      <c r="P428" s="171" t="e">
        <f t="shared" si="69"/>
        <v>#DIV/0!</v>
      </c>
      <c r="Q428" s="186">
        <f>IF('prijem - EUR'!$I$87=TRUE,IF($C$11&gt;0,0.00025*M427,0),IF('prijem - EUR'!$I$88=TRUE,IF('prijem - EUR'!$F$88&gt;0,0.00025*M427*-1,0),0))</f>
        <v>0</v>
      </c>
    </row>
    <row r="429" spans="1:17" x14ac:dyDescent="0.2">
      <c r="A429" s="89">
        <v>413</v>
      </c>
      <c r="B429" s="186" t="e">
        <f t="shared" si="70"/>
        <v>#NUM!</v>
      </c>
      <c r="C429" s="171" t="e">
        <f t="shared" si="62"/>
        <v>#NUM!</v>
      </c>
      <c r="D429" s="171" t="e">
        <f t="shared" si="65"/>
        <v>#NUM!</v>
      </c>
      <c r="E429" s="171" t="e">
        <f t="shared" si="66"/>
        <v>#NUM!</v>
      </c>
      <c r="F429" s="171" t="e">
        <f t="shared" si="67"/>
        <v>#NUM!</v>
      </c>
      <c r="G429" s="186">
        <f>IF('prijem - EUR'!$I$87=TRUE,IF($C$11&gt;0,0.00025*C428,0),IF('prijem - EUR'!$I$88=TRUE,IF('prijem - EUR'!$F$88&gt;0,0.00025*C428,0),0))</f>
        <v>0</v>
      </c>
      <c r="K429" s="89">
        <v>413</v>
      </c>
      <c r="L429" s="186" t="e">
        <f t="shared" si="71"/>
        <v>#DIV/0!</v>
      </c>
      <c r="M429" s="171" t="e">
        <f t="shared" si="63"/>
        <v>#DIV/0!</v>
      </c>
      <c r="N429" s="171" t="e">
        <f t="shared" si="64"/>
        <v>#DIV/0!</v>
      </c>
      <c r="O429" s="171" t="e">
        <f t="shared" si="68"/>
        <v>#DIV/0!</v>
      </c>
      <c r="P429" s="171" t="e">
        <f t="shared" si="69"/>
        <v>#DIV/0!</v>
      </c>
      <c r="Q429" s="186">
        <f>IF('prijem - EUR'!$I$87=TRUE,IF($C$11&gt;0,0.00025*M428,0),IF('prijem - EUR'!$I$88=TRUE,IF('prijem - EUR'!$F$88&gt;0,0.00025*M428*-1,0),0))</f>
        <v>0</v>
      </c>
    </row>
    <row r="430" spans="1:17" x14ac:dyDescent="0.2">
      <c r="A430" s="89">
        <v>414</v>
      </c>
      <c r="B430" s="186" t="e">
        <f t="shared" si="70"/>
        <v>#NUM!</v>
      </c>
      <c r="C430" s="171" t="e">
        <f t="shared" si="62"/>
        <v>#NUM!</v>
      </c>
      <c r="D430" s="171" t="e">
        <f t="shared" si="65"/>
        <v>#NUM!</v>
      </c>
      <c r="E430" s="171" t="e">
        <f t="shared" si="66"/>
        <v>#NUM!</v>
      </c>
      <c r="F430" s="171" t="e">
        <f t="shared" si="67"/>
        <v>#NUM!</v>
      </c>
      <c r="G430" s="186">
        <f>IF('prijem - EUR'!$I$87=TRUE,IF($C$11&gt;0,0.00025*C429,0),IF('prijem - EUR'!$I$88=TRUE,IF('prijem - EUR'!$F$88&gt;0,0.00025*C429,0),0))</f>
        <v>0</v>
      </c>
      <c r="K430" s="89">
        <v>414</v>
      </c>
      <c r="L430" s="186" t="e">
        <f t="shared" si="71"/>
        <v>#DIV/0!</v>
      </c>
      <c r="M430" s="171" t="e">
        <f t="shared" si="63"/>
        <v>#DIV/0!</v>
      </c>
      <c r="N430" s="171" t="e">
        <f t="shared" si="64"/>
        <v>#DIV/0!</v>
      </c>
      <c r="O430" s="171" t="e">
        <f t="shared" si="68"/>
        <v>#DIV/0!</v>
      </c>
      <c r="P430" s="171" t="e">
        <f t="shared" si="69"/>
        <v>#DIV/0!</v>
      </c>
      <c r="Q430" s="186">
        <f>IF('prijem - EUR'!$I$87=TRUE,IF($C$11&gt;0,0.00025*M429,0),IF('prijem - EUR'!$I$88=TRUE,IF('prijem - EUR'!$F$88&gt;0,0.00025*M429*-1,0),0))</f>
        <v>0</v>
      </c>
    </row>
    <row r="431" spans="1:17" x14ac:dyDescent="0.2">
      <c r="A431" s="89">
        <v>415</v>
      </c>
      <c r="B431" s="186" t="e">
        <f t="shared" si="70"/>
        <v>#NUM!</v>
      </c>
      <c r="C431" s="171" t="e">
        <f t="shared" si="62"/>
        <v>#NUM!</v>
      </c>
      <c r="D431" s="171" t="e">
        <f t="shared" si="65"/>
        <v>#NUM!</v>
      </c>
      <c r="E431" s="171" t="e">
        <f t="shared" si="66"/>
        <v>#NUM!</v>
      </c>
      <c r="F431" s="171" t="e">
        <f t="shared" si="67"/>
        <v>#NUM!</v>
      </c>
      <c r="G431" s="186">
        <f>IF('prijem - EUR'!$I$87=TRUE,IF($C$11&gt;0,0.00025*C430,0),IF('prijem - EUR'!$I$88=TRUE,IF('prijem - EUR'!$F$88&gt;0,0.00025*C430,0),0))</f>
        <v>0</v>
      </c>
      <c r="K431" s="89">
        <v>415</v>
      </c>
      <c r="L431" s="186" t="e">
        <f t="shared" si="71"/>
        <v>#DIV/0!</v>
      </c>
      <c r="M431" s="171" t="e">
        <f t="shared" si="63"/>
        <v>#DIV/0!</v>
      </c>
      <c r="N431" s="171" t="e">
        <f t="shared" si="64"/>
        <v>#DIV/0!</v>
      </c>
      <c r="O431" s="171" t="e">
        <f t="shared" si="68"/>
        <v>#DIV/0!</v>
      </c>
      <c r="P431" s="171" t="e">
        <f t="shared" si="69"/>
        <v>#DIV/0!</v>
      </c>
      <c r="Q431" s="186">
        <f>IF('prijem - EUR'!$I$87=TRUE,IF($C$11&gt;0,0.00025*M430,0),IF('prijem - EUR'!$I$88=TRUE,IF('prijem - EUR'!$F$88&gt;0,0.00025*M430*-1,0),0))</f>
        <v>0</v>
      </c>
    </row>
    <row r="432" spans="1:17" x14ac:dyDescent="0.2">
      <c r="A432" s="89">
        <v>416</v>
      </c>
      <c r="B432" s="186" t="e">
        <f t="shared" si="70"/>
        <v>#NUM!</v>
      </c>
      <c r="C432" s="171" t="e">
        <f t="shared" si="62"/>
        <v>#NUM!</v>
      </c>
      <c r="D432" s="171" t="e">
        <f t="shared" si="65"/>
        <v>#NUM!</v>
      </c>
      <c r="E432" s="171" t="e">
        <f t="shared" si="66"/>
        <v>#NUM!</v>
      </c>
      <c r="F432" s="171" t="e">
        <f t="shared" si="67"/>
        <v>#NUM!</v>
      </c>
      <c r="G432" s="186">
        <f>IF('prijem - EUR'!$I$87=TRUE,IF($C$11&gt;0,0.00025*C431,0),IF('prijem - EUR'!$I$88=TRUE,IF('prijem - EUR'!$F$88&gt;0,0.00025*C431,0),0))</f>
        <v>0</v>
      </c>
      <c r="K432" s="89">
        <v>416</v>
      </c>
      <c r="L432" s="186" t="e">
        <f t="shared" si="71"/>
        <v>#DIV/0!</v>
      </c>
      <c r="M432" s="171" t="e">
        <f t="shared" si="63"/>
        <v>#DIV/0!</v>
      </c>
      <c r="N432" s="171" t="e">
        <f t="shared" si="64"/>
        <v>#DIV/0!</v>
      </c>
      <c r="O432" s="171" t="e">
        <f t="shared" si="68"/>
        <v>#DIV/0!</v>
      </c>
      <c r="P432" s="171" t="e">
        <f t="shared" si="69"/>
        <v>#DIV/0!</v>
      </c>
      <c r="Q432" s="186">
        <f>IF('prijem - EUR'!$I$87=TRUE,IF($C$11&gt;0,0.00025*M431,0),IF('prijem - EUR'!$I$88=TRUE,IF('prijem - EUR'!$F$88&gt;0,0.00025*M431*-1,0),0))</f>
        <v>0</v>
      </c>
    </row>
    <row r="433" spans="1:17" x14ac:dyDescent="0.2">
      <c r="A433" s="89">
        <v>417</v>
      </c>
      <c r="B433" s="186" t="e">
        <f t="shared" si="70"/>
        <v>#NUM!</v>
      </c>
      <c r="C433" s="171" t="e">
        <f t="shared" si="62"/>
        <v>#NUM!</v>
      </c>
      <c r="D433" s="171" t="e">
        <f t="shared" si="65"/>
        <v>#NUM!</v>
      </c>
      <c r="E433" s="171" t="e">
        <f t="shared" si="66"/>
        <v>#NUM!</v>
      </c>
      <c r="F433" s="171" t="e">
        <f t="shared" si="67"/>
        <v>#NUM!</v>
      </c>
      <c r="G433" s="186">
        <f>IF('prijem - EUR'!$I$87=TRUE,IF($C$11&gt;0,0.00025*C432,0),IF('prijem - EUR'!$I$88=TRUE,IF('prijem - EUR'!$F$88&gt;0,0.00025*C432,0),0))</f>
        <v>0</v>
      </c>
      <c r="K433" s="89">
        <v>417</v>
      </c>
      <c r="L433" s="186" t="e">
        <f t="shared" si="71"/>
        <v>#DIV/0!</v>
      </c>
      <c r="M433" s="171" t="e">
        <f t="shared" si="63"/>
        <v>#DIV/0!</v>
      </c>
      <c r="N433" s="171" t="e">
        <f t="shared" si="64"/>
        <v>#DIV/0!</v>
      </c>
      <c r="O433" s="171" t="e">
        <f t="shared" si="68"/>
        <v>#DIV/0!</v>
      </c>
      <c r="P433" s="171" t="e">
        <f t="shared" si="69"/>
        <v>#DIV/0!</v>
      </c>
      <c r="Q433" s="186">
        <f>IF('prijem - EUR'!$I$87=TRUE,IF($C$11&gt;0,0.00025*M432,0),IF('prijem - EUR'!$I$88=TRUE,IF('prijem - EUR'!$F$88&gt;0,0.00025*M432*-1,0),0))</f>
        <v>0</v>
      </c>
    </row>
    <row r="434" spans="1:17" x14ac:dyDescent="0.2">
      <c r="A434" s="89">
        <v>418</v>
      </c>
      <c r="B434" s="186" t="e">
        <f t="shared" si="70"/>
        <v>#NUM!</v>
      </c>
      <c r="C434" s="171" t="e">
        <f t="shared" si="62"/>
        <v>#NUM!</v>
      </c>
      <c r="D434" s="171" t="e">
        <f t="shared" si="65"/>
        <v>#NUM!</v>
      </c>
      <c r="E434" s="171" t="e">
        <f t="shared" si="66"/>
        <v>#NUM!</v>
      </c>
      <c r="F434" s="171" t="e">
        <f t="shared" si="67"/>
        <v>#NUM!</v>
      </c>
      <c r="G434" s="186">
        <f>IF('prijem - EUR'!$I$87=TRUE,IF($C$11&gt;0,0.00025*C433,0),IF('prijem - EUR'!$I$88=TRUE,IF('prijem - EUR'!$F$88&gt;0,0.00025*C433,0),0))</f>
        <v>0</v>
      </c>
      <c r="K434" s="89">
        <v>418</v>
      </c>
      <c r="L434" s="186" t="e">
        <f t="shared" si="71"/>
        <v>#DIV/0!</v>
      </c>
      <c r="M434" s="171" t="e">
        <f t="shared" si="63"/>
        <v>#DIV/0!</v>
      </c>
      <c r="N434" s="171" t="e">
        <f t="shared" si="64"/>
        <v>#DIV/0!</v>
      </c>
      <c r="O434" s="171" t="e">
        <f t="shared" si="68"/>
        <v>#DIV/0!</v>
      </c>
      <c r="P434" s="171" t="e">
        <f t="shared" si="69"/>
        <v>#DIV/0!</v>
      </c>
      <c r="Q434" s="186">
        <f>IF('prijem - EUR'!$I$87=TRUE,IF($C$11&gt;0,0.00025*M433,0),IF('prijem - EUR'!$I$88=TRUE,IF('prijem - EUR'!$F$88&gt;0,0.00025*M433*-1,0),0))</f>
        <v>0</v>
      </c>
    </row>
    <row r="435" spans="1:17" x14ac:dyDescent="0.2">
      <c r="A435" s="89">
        <v>419</v>
      </c>
      <c r="B435" s="186" t="e">
        <f t="shared" si="70"/>
        <v>#NUM!</v>
      </c>
      <c r="C435" s="171" t="e">
        <f t="shared" si="62"/>
        <v>#NUM!</v>
      </c>
      <c r="D435" s="171" t="e">
        <f t="shared" si="65"/>
        <v>#NUM!</v>
      </c>
      <c r="E435" s="171" t="e">
        <f t="shared" si="66"/>
        <v>#NUM!</v>
      </c>
      <c r="F435" s="171" t="e">
        <f t="shared" si="67"/>
        <v>#NUM!</v>
      </c>
      <c r="G435" s="186">
        <f>IF('prijem - EUR'!$I$87=TRUE,IF($C$11&gt;0,0.00025*C434,0),IF('prijem - EUR'!$I$88=TRUE,IF('prijem - EUR'!$F$88&gt;0,0.00025*C434,0),0))</f>
        <v>0</v>
      </c>
      <c r="K435" s="89">
        <v>419</v>
      </c>
      <c r="L435" s="186" t="e">
        <f t="shared" si="71"/>
        <v>#DIV/0!</v>
      </c>
      <c r="M435" s="171" t="e">
        <f t="shared" si="63"/>
        <v>#DIV/0!</v>
      </c>
      <c r="N435" s="171" t="e">
        <f t="shared" si="64"/>
        <v>#DIV/0!</v>
      </c>
      <c r="O435" s="171" t="e">
        <f t="shared" si="68"/>
        <v>#DIV/0!</v>
      </c>
      <c r="P435" s="171" t="e">
        <f t="shared" si="69"/>
        <v>#DIV/0!</v>
      </c>
      <c r="Q435" s="186">
        <f>IF('prijem - EUR'!$I$87=TRUE,IF($C$11&gt;0,0.00025*M434,0),IF('prijem - EUR'!$I$88=TRUE,IF('prijem - EUR'!$F$88&gt;0,0.00025*M434*-1,0),0))</f>
        <v>0</v>
      </c>
    </row>
    <row r="436" spans="1:17" x14ac:dyDescent="0.2">
      <c r="A436" s="89">
        <v>420</v>
      </c>
      <c r="B436" s="186" t="e">
        <f t="shared" si="70"/>
        <v>#NUM!</v>
      </c>
      <c r="C436" s="171" t="e">
        <f t="shared" si="62"/>
        <v>#NUM!</v>
      </c>
      <c r="D436" s="171" t="e">
        <f t="shared" si="65"/>
        <v>#NUM!</v>
      </c>
      <c r="E436" s="171" t="e">
        <f t="shared" si="66"/>
        <v>#NUM!</v>
      </c>
      <c r="F436" s="171" t="e">
        <f t="shared" si="67"/>
        <v>#NUM!</v>
      </c>
      <c r="G436" s="186">
        <f>IF('prijem - EUR'!$I$87=TRUE,IF($C$11&gt;0,0.00025*C435,0),IF('prijem - EUR'!$I$88=TRUE,IF('prijem - EUR'!$F$88&gt;0,0.00025*C435,0),0))</f>
        <v>0</v>
      </c>
      <c r="K436" s="89">
        <v>420</v>
      </c>
      <c r="L436" s="186" t="e">
        <f t="shared" si="71"/>
        <v>#DIV/0!</v>
      </c>
      <c r="M436" s="171" t="e">
        <f t="shared" si="63"/>
        <v>#DIV/0!</v>
      </c>
      <c r="N436" s="171" t="e">
        <f t="shared" si="64"/>
        <v>#DIV/0!</v>
      </c>
      <c r="O436" s="171" t="e">
        <f t="shared" si="68"/>
        <v>#DIV/0!</v>
      </c>
      <c r="P436" s="171" t="e">
        <f t="shared" si="69"/>
        <v>#DIV/0!</v>
      </c>
      <c r="Q436" s="186">
        <f>IF('prijem - EUR'!$I$87=TRUE,IF($C$11&gt;0,0.00025*M435,0),IF('prijem - EUR'!$I$88=TRUE,IF('prijem - EUR'!$F$88&gt;0,0.00025*M435*-1,0),0))</f>
        <v>0</v>
      </c>
    </row>
    <row r="437" spans="1:17" x14ac:dyDescent="0.2">
      <c r="A437" s="89">
        <v>421</v>
      </c>
      <c r="B437" s="186" t="e">
        <f t="shared" si="70"/>
        <v>#NUM!</v>
      </c>
      <c r="C437" s="171" t="e">
        <f t="shared" si="62"/>
        <v>#NUM!</v>
      </c>
      <c r="D437" s="171" t="e">
        <f t="shared" si="65"/>
        <v>#NUM!</v>
      </c>
      <c r="E437" s="171" t="e">
        <f t="shared" si="66"/>
        <v>#NUM!</v>
      </c>
      <c r="F437" s="171" t="e">
        <f t="shared" si="67"/>
        <v>#NUM!</v>
      </c>
      <c r="G437" s="186">
        <f>IF('prijem - EUR'!$I$87=TRUE,IF($C$11&gt;0,0.00025*C436,0),IF('prijem - EUR'!$I$88=TRUE,IF('prijem - EUR'!$F$88&gt;0,0.00025*C436,0),0))</f>
        <v>0</v>
      </c>
      <c r="K437" s="89">
        <v>421</v>
      </c>
      <c r="L437" s="186" t="e">
        <f t="shared" si="71"/>
        <v>#DIV/0!</v>
      </c>
      <c r="M437" s="171" t="e">
        <f t="shared" si="63"/>
        <v>#DIV/0!</v>
      </c>
      <c r="N437" s="171" t="e">
        <f t="shared" si="64"/>
        <v>#DIV/0!</v>
      </c>
      <c r="O437" s="171" t="e">
        <f t="shared" si="68"/>
        <v>#DIV/0!</v>
      </c>
      <c r="P437" s="171" t="e">
        <f t="shared" si="69"/>
        <v>#DIV/0!</v>
      </c>
      <c r="Q437" s="186">
        <f>IF('prijem - EUR'!$I$87=TRUE,IF($C$11&gt;0,0.00025*M436,0),IF('prijem - EUR'!$I$88=TRUE,IF('prijem - EUR'!$F$88&gt;0,0.00025*M436*-1,0),0))</f>
        <v>0</v>
      </c>
    </row>
    <row r="438" spans="1:17" x14ac:dyDescent="0.2">
      <c r="A438" s="89">
        <v>422</v>
      </c>
      <c r="B438" s="186" t="e">
        <f t="shared" si="70"/>
        <v>#NUM!</v>
      </c>
      <c r="C438" s="171" t="e">
        <f t="shared" si="62"/>
        <v>#NUM!</v>
      </c>
      <c r="D438" s="171" t="e">
        <f t="shared" si="65"/>
        <v>#NUM!</v>
      </c>
      <c r="E438" s="171" t="e">
        <f t="shared" si="66"/>
        <v>#NUM!</v>
      </c>
      <c r="F438" s="171" t="e">
        <f t="shared" si="67"/>
        <v>#NUM!</v>
      </c>
      <c r="G438" s="186">
        <f>IF('prijem - EUR'!$I$87=TRUE,IF($C$11&gt;0,0.00025*C437,0),IF('prijem - EUR'!$I$88=TRUE,IF('prijem - EUR'!$F$88&gt;0,0.00025*C437,0),0))</f>
        <v>0</v>
      </c>
      <c r="K438" s="89">
        <v>422</v>
      </c>
      <c r="L438" s="186" t="e">
        <f t="shared" si="71"/>
        <v>#DIV/0!</v>
      </c>
      <c r="M438" s="171" t="e">
        <f t="shared" si="63"/>
        <v>#DIV/0!</v>
      </c>
      <c r="N438" s="171" t="e">
        <f t="shared" si="64"/>
        <v>#DIV/0!</v>
      </c>
      <c r="O438" s="171" t="e">
        <f t="shared" si="68"/>
        <v>#DIV/0!</v>
      </c>
      <c r="P438" s="171" t="e">
        <f t="shared" si="69"/>
        <v>#DIV/0!</v>
      </c>
      <c r="Q438" s="186">
        <f>IF('prijem - EUR'!$I$87=TRUE,IF($C$11&gt;0,0.00025*M437,0),IF('prijem - EUR'!$I$88=TRUE,IF('prijem - EUR'!$F$88&gt;0,0.00025*M437*-1,0),0))</f>
        <v>0</v>
      </c>
    </row>
    <row r="439" spans="1:17" x14ac:dyDescent="0.2">
      <c r="A439" s="89">
        <v>423</v>
      </c>
      <c r="B439" s="186" t="e">
        <f t="shared" si="70"/>
        <v>#NUM!</v>
      </c>
      <c r="C439" s="171" t="e">
        <f t="shared" si="62"/>
        <v>#NUM!</v>
      </c>
      <c r="D439" s="171" t="e">
        <f t="shared" si="65"/>
        <v>#NUM!</v>
      </c>
      <c r="E439" s="171" t="e">
        <f t="shared" si="66"/>
        <v>#NUM!</v>
      </c>
      <c r="F439" s="171" t="e">
        <f t="shared" si="67"/>
        <v>#NUM!</v>
      </c>
      <c r="G439" s="186">
        <f>IF('prijem - EUR'!$I$87=TRUE,IF($C$11&gt;0,0.00025*C438,0),IF('prijem - EUR'!$I$88=TRUE,IF('prijem - EUR'!$F$88&gt;0,0.00025*C438,0),0))</f>
        <v>0</v>
      </c>
      <c r="K439" s="89">
        <v>423</v>
      </c>
      <c r="L439" s="186" t="e">
        <f t="shared" si="71"/>
        <v>#DIV/0!</v>
      </c>
      <c r="M439" s="171" t="e">
        <f t="shared" si="63"/>
        <v>#DIV/0!</v>
      </c>
      <c r="N439" s="171" t="e">
        <f t="shared" si="64"/>
        <v>#DIV/0!</v>
      </c>
      <c r="O439" s="171" t="e">
        <f t="shared" si="68"/>
        <v>#DIV/0!</v>
      </c>
      <c r="P439" s="171" t="e">
        <f t="shared" si="69"/>
        <v>#DIV/0!</v>
      </c>
      <c r="Q439" s="186">
        <f>IF('prijem - EUR'!$I$87=TRUE,IF($C$11&gt;0,0.00025*M438,0),IF('prijem - EUR'!$I$88=TRUE,IF('prijem - EUR'!$F$88&gt;0,0.00025*M438*-1,0),0))</f>
        <v>0</v>
      </c>
    </row>
    <row r="440" spans="1:17" x14ac:dyDescent="0.2">
      <c r="A440" s="89">
        <v>424</v>
      </c>
      <c r="B440" s="186" t="e">
        <f t="shared" si="70"/>
        <v>#NUM!</v>
      </c>
      <c r="C440" s="171" t="e">
        <f t="shared" si="62"/>
        <v>#NUM!</v>
      </c>
      <c r="D440" s="171" t="e">
        <f t="shared" si="65"/>
        <v>#NUM!</v>
      </c>
      <c r="E440" s="171" t="e">
        <f t="shared" si="66"/>
        <v>#NUM!</v>
      </c>
      <c r="F440" s="171" t="e">
        <f t="shared" si="67"/>
        <v>#NUM!</v>
      </c>
      <c r="G440" s="186">
        <f>IF('prijem - EUR'!$I$87=TRUE,IF($C$11&gt;0,0.00025*C439,0),IF('prijem - EUR'!$I$88=TRUE,IF('prijem - EUR'!$F$88&gt;0,0.00025*C439,0),0))</f>
        <v>0</v>
      </c>
      <c r="K440" s="89">
        <v>424</v>
      </c>
      <c r="L440" s="186" t="e">
        <f t="shared" si="71"/>
        <v>#DIV/0!</v>
      </c>
      <c r="M440" s="171" t="e">
        <f t="shared" si="63"/>
        <v>#DIV/0!</v>
      </c>
      <c r="N440" s="171" t="e">
        <f t="shared" si="64"/>
        <v>#DIV/0!</v>
      </c>
      <c r="O440" s="171" t="e">
        <f t="shared" si="68"/>
        <v>#DIV/0!</v>
      </c>
      <c r="P440" s="171" t="e">
        <f t="shared" si="69"/>
        <v>#DIV/0!</v>
      </c>
      <c r="Q440" s="186">
        <f>IF('prijem - EUR'!$I$87=TRUE,IF($C$11&gt;0,0.00025*M439,0),IF('prijem - EUR'!$I$88=TRUE,IF('prijem - EUR'!$F$88&gt;0,0.00025*M439*-1,0),0))</f>
        <v>0</v>
      </c>
    </row>
    <row r="441" spans="1:17" x14ac:dyDescent="0.2">
      <c r="A441" s="89">
        <v>425</v>
      </c>
      <c r="B441" s="186" t="e">
        <f t="shared" si="70"/>
        <v>#NUM!</v>
      </c>
      <c r="C441" s="171" t="e">
        <f t="shared" si="62"/>
        <v>#NUM!</v>
      </c>
      <c r="D441" s="171" t="e">
        <f t="shared" si="65"/>
        <v>#NUM!</v>
      </c>
      <c r="E441" s="171" t="e">
        <f t="shared" si="66"/>
        <v>#NUM!</v>
      </c>
      <c r="F441" s="171" t="e">
        <f t="shared" si="67"/>
        <v>#NUM!</v>
      </c>
      <c r="G441" s="186">
        <f>IF('prijem - EUR'!$I$87=TRUE,IF($C$11&gt;0,0.00025*C440,0),IF('prijem - EUR'!$I$88=TRUE,IF('prijem - EUR'!$F$88&gt;0,0.00025*C440,0),0))</f>
        <v>0</v>
      </c>
      <c r="K441" s="89">
        <v>425</v>
      </c>
      <c r="L441" s="186" t="e">
        <f t="shared" si="71"/>
        <v>#DIV/0!</v>
      </c>
      <c r="M441" s="171" t="e">
        <f t="shared" si="63"/>
        <v>#DIV/0!</v>
      </c>
      <c r="N441" s="171" t="e">
        <f t="shared" si="64"/>
        <v>#DIV/0!</v>
      </c>
      <c r="O441" s="171" t="e">
        <f t="shared" si="68"/>
        <v>#DIV/0!</v>
      </c>
      <c r="P441" s="171" t="e">
        <f t="shared" si="69"/>
        <v>#DIV/0!</v>
      </c>
      <c r="Q441" s="186">
        <f>IF('prijem - EUR'!$I$87=TRUE,IF($C$11&gt;0,0.00025*M440,0),IF('prijem - EUR'!$I$88=TRUE,IF('prijem - EUR'!$F$88&gt;0,0.00025*M440*-1,0),0))</f>
        <v>0</v>
      </c>
    </row>
    <row r="442" spans="1:17" x14ac:dyDescent="0.2">
      <c r="A442" s="89">
        <v>426</v>
      </c>
      <c r="B442" s="186" t="e">
        <f t="shared" si="70"/>
        <v>#NUM!</v>
      </c>
      <c r="C442" s="171" t="e">
        <f t="shared" si="62"/>
        <v>#NUM!</v>
      </c>
      <c r="D442" s="171" t="e">
        <f t="shared" si="65"/>
        <v>#NUM!</v>
      </c>
      <c r="E442" s="171" t="e">
        <f t="shared" si="66"/>
        <v>#NUM!</v>
      </c>
      <c r="F442" s="171" t="e">
        <f t="shared" si="67"/>
        <v>#NUM!</v>
      </c>
      <c r="G442" s="186">
        <f>IF('prijem - EUR'!$I$87=TRUE,IF($C$11&gt;0,0.00025*C441,0),IF('prijem - EUR'!$I$88=TRUE,IF('prijem - EUR'!$F$88&gt;0,0.00025*C441,0),0))</f>
        <v>0</v>
      </c>
      <c r="K442" s="89">
        <v>426</v>
      </c>
      <c r="L442" s="186" t="e">
        <f t="shared" si="71"/>
        <v>#DIV/0!</v>
      </c>
      <c r="M442" s="171" t="e">
        <f t="shared" si="63"/>
        <v>#DIV/0!</v>
      </c>
      <c r="N442" s="171" t="e">
        <f t="shared" si="64"/>
        <v>#DIV/0!</v>
      </c>
      <c r="O442" s="171" t="e">
        <f t="shared" si="68"/>
        <v>#DIV/0!</v>
      </c>
      <c r="P442" s="171" t="e">
        <f t="shared" si="69"/>
        <v>#DIV/0!</v>
      </c>
      <c r="Q442" s="186">
        <f>IF('prijem - EUR'!$I$87=TRUE,IF($C$11&gt;0,0.00025*M441,0),IF('prijem - EUR'!$I$88=TRUE,IF('prijem - EUR'!$F$88&gt;0,0.00025*M441*-1,0),0))</f>
        <v>0</v>
      </c>
    </row>
    <row r="443" spans="1:17" x14ac:dyDescent="0.2">
      <c r="A443" s="89">
        <v>427</v>
      </c>
      <c r="B443" s="186" t="e">
        <f t="shared" si="70"/>
        <v>#NUM!</v>
      </c>
      <c r="C443" s="171" t="e">
        <f t="shared" si="62"/>
        <v>#NUM!</v>
      </c>
      <c r="D443" s="171" t="e">
        <f t="shared" si="65"/>
        <v>#NUM!</v>
      </c>
      <c r="E443" s="171" t="e">
        <f t="shared" si="66"/>
        <v>#NUM!</v>
      </c>
      <c r="F443" s="171" t="e">
        <f t="shared" si="67"/>
        <v>#NUM!</v>
      </c>
      <c r="G443" s="186">
        <f>IF('prijem - EUR'!$I$87=TRUE,IF($C$11&gt;0,0.00025*C442,0),IF('prijem - EUR'!$I$88=TRUE,IF('prijem - EUR'!$F$88&gt;0,0.00025*C442,0),0))</f>
        <v>0</v>
      </c>
      <c r="K443" s="89">
        <v>427</v>
      </c>
      <c r="L443" s="186" t="e">
        <f t="shared" si="71"/>
        <v>#DIV/0!</v>
      </c>
      <c r="M443" s="171" t="e">
        <f t="shared" si="63"/>
        <v>#DIV/0!</v>
      </c>
      <c r="N443" s="171" t="e">
        <f t="shared" si="64"/>
        <v>#DIV/0!</v>
      </c>
      <c r="O443" s="171" t="e">
        <f t="shared" si="68"/>
        <v>#DIV/0!</v>
      </c>
      <c r="P443" s="171" t="e">
        <f t="shared" si="69"/>
        <v>#DIV/0!</v>
      </c>
      <c r="Q443" s="186">
        <f>IF('prijem - EUR'!$I$87=TRUE,IF($C$11&gt;0,0.00025*M442,0),IF('prijem - EUR'!$I$88=TRUE,IF('prijem - EUR'!$F$88&gt;0,0.00025*M442*-1,0),0))</f>
        <v>0</v>
      </c>
    </row>
    <row r="444" spans="1:17" x14ac:dyDescent="0.2">
      <c r="A444" s="89">
        <v>428</v>
      </c>
      <c r="B444" s="186" t="e">
        <f t="shared" si="70"/>
        <v>#NUM!</v>
      </c>
      <c r="C444" s="171" t="e">
        <f t="shared" si="62"/>
        <v>#NUM!</v>
      </c>
      <c r="D444" s="171" t="e">
        <f t="shared" si="65"/>
        <v>#NUM!</v>
      </c>
      <c r="E444" s="171" t="e">
        <f t="shared" si="66"/>
        <v>#NUM!</v>
      </c>
      <c r="F444" s="171" t="e">
        <f t="shared" si="67"/>
        <v>#NUM!</v>
      </c>
      <c r="G444" s="186">
        <f>IF('prijem - EUR'!$I$87=TRUE,IF($C$11&gt;0,0.00025*C443,0),IF('prijem - EUR'!$I$88=TRUE,IF('prijem - EUR'!$F$88&gt;0,0.00025*C443,0),0))</f>
        <v>0</v>
      </c>
      <c r="K444" s="89">
        <v>428</v>
      </c>
      <c r="L444" s="186" t="e">
        <f t="shared" si="71"/>
        <v>#DIV/0!</v>
      </c>
      <c r="M444" s="171" t="e">
        <f t="shared" si="63"/>
        <v>#DIV/0!</v>
      </c>
      <c r="N444" s="171" t="e">
        <f t="shared" si="64"/>
        <v>#DIV/0!</v>
      </c>
      <c r="O444" s="171" t="e">
        <f t="shared" si="68"/>
        <v>#DIV/0!</v>
      </c>
      <c r="P444" s="171" t="e">
        <f t="shared" si="69"/>
        <v>#DIV/0!</v>
      </c>
      <c r="Q444" s="186">
        <f>IF('prijem - EUR'!$I$87=TRUE,IF($C$11&gt;0,0.00025*M443,0),IF('prijem - EUR'!$I$88=TRUE,IF('prijem - EUR'!$F$88&gt;0,0.00025*M443*-1,0),0))</f>
        <v>0</v>
      </c>
    </row>
    <row r="445" spans="1:17" x14ac:dyDescent="0.2">
      <c r="A445" s="89">
        <v>429</v>
      </c>
      <c r="B445" s="186" t="e">
        <f t="shared" si="70"/>
        <v>#NUM!</v>
      </c>
      <c r="C445" s="171" t="e">
        <f t="shared" si="62"/>
        <v>#NUM!</v>
      </c>
      <c r="D445" s="171" t="e">
        <f t="shared" si="65"/>
        <v>#NUM!</v>
      </c>
      <c r="E445" s="171" t="e">
        <f t="shared" si="66"/>
        <v>#NUM!</v>
      </c>
      <c r="F445" s="171" t="e">
        <f t="shared" si="67"/>
        <v>#NUM!</v>
      </c>
      <c r="G445" s="186">
        <f>IF('prijem - EUR'!$I$87=TRUE,IF($C$11&gt;0,0.00025*C444,0),IF('prijem - EUR'!$I$88=TRUE,IF('prijem - EUR'!$F$88&gt;0,0.00025*C444,0),0))</f>
        <v>0</v>
      </c>
      <c r="K445" s="89">
        <v>429</v>
      </c>
      <c r="L445" s="186" t="e">
        <f t="shared" si="71"/>
        <v>#DIV/0!</v>
      </c>
      <c r="M445" s="171" t="e">
        <f t="shared" si="63"/>
        <v>#DIV/0!</v>
      </c>
      <c r="N445" s="171" t="e">
        <f t="shared" si="64"/>
        <v>#DIV/0!</v>
      </c>
      <c r="O445" s="171" t="e">
        <f t="shared" si="68"/>
        <v>#DIV/0!</v>
      </c>
      <c r="P445" s="171" t="e">
        <f t="shared" si="69"/>
        <v>#DIV/0!</v>
      </c>
      <c r="Q445" s="186">
        <f>IF('prijem - EUR'!$I$87=TRUE,IF($C$11&gt;0,0.00025*M444,0),IF('prijem - EUR'!$I$88=TRUE,IF('prijem - EUR'!$F$88&gt;0,0.00025*M444*-1,0),0))</f>
        <v>0</v>
      </c>
    </row>
    <row r="446" spans="1:17" x14ac:dyDescent="0.2">
      <c r="A446" s="89">
        <v>430</v>
      </c>
      <c r="B446" s="186" t="e">
        <f t="shared" si="70"/>
        <v>#NUM!</v>
      </c>
      <c r="C446" s="171" t="e">
        <f t="shared" si="62"/>
        <v>#NUM!</v>
      </c>
      <c r="D446" s="171" t="e">
        <f t="shared" si="65"/>
        <v>#NUM!</v>
      </c>
      <c r="E446" s="171" t="e">
        <f t="shared" si="66"/>
        <v>#NUM!</v>
      </c>
      <c r="F446" s="171" t="e">
        <f t="shared" si="67"/>
        <v>#NUM!</v>
      </c>
      <c r="G446" s="186">
        <f>IF('prijem - EUR'!$I$87=TRUE,IF($C$11&gt;0,0.00025*C445,0),IF('prijem - EUR'!$I$88=TRUE,IF('prijem - EUR'!$F$88&gt;0,0.00025*C445,0),0))</f>
        <v>0</v>
      </c>
      <c r="K446" s="89">
        <v>430</v>
      </c>
      <c r="L446" s="186" t="e">
        <f t="shared" si="71"/>
        <v>#DIV/0!</v>
      </c>
      <c r="M446" s="171" t="e">
        <f t="shared" si="63"/>
        <v>#DIV/0!</v>
      </c>
      <c r="N446" s="171" t="e">
        <f t="shared" si="64"/>
        <v>#DIV/0!</v>
      </c>
      <c r="O446" s="171" t="e">
        <f t="shared" si="68"/>
        <v>#DIV/0!</v>
      </c>
      <c r="P446" s="171" t="e">
        <f t="shared" si="69"/>
        <v>#DIV/0!</v>
      </c>
      <c r="Q446" s="186">
        <f>IF('prijem - EUR'!$I$87=TRUE,IF($C$11&gt;0,0.00025*M445,0),IF('prijem - EUR'!$I$88=TRUE,IF('prijem - EUR'!$F$88&gt;0,0.00025*M445*-1,0),0))</f>
        <v>0</v>
      </c>
    </row>
    <row r="447" spans="1:17" x14ac:dyDescent="0.2">
      <c r="A447" s="89">
        <v>431</v>
      </c>
      <c r="B447" s="186" t="e">
        <f t="shared" si="70"/>
        <v>#NUM!</v>
      </c>
      <c r="C447" s="171" t="e">
        <f t="shared" si="62"/>
        <v>#NUM!</v>
      </c>
      <c r="D447" s="171" t="e">
        <f t="shared" si="65"/>
        <v>#NUM!</v>
      </c>
      <c r="E447" s="171" t="e">
        <f t="shared" si="66"/>
        <v>#NUM!</v>
      </c>
      <c r="F447" s="171" t="e">
        <f t="shared" si="67"/>
        <v>#NUM!</v>
      </c>
      <c r="G447" s="186">
        <f>IF('prijem - EUR'!$I$87=TRUE,IF($C$11&gt;0,0.00025*C446,0),IF('prijem - EUR'!$I$88=TRUE,IF('prijem - EUR'!$F$88&gt;0,0.00025*C446,0),0))</f>
        <v>0</v>
      </c>
      <c r="K447" s="89">
        <v>431</v>
      </c>
      <c r="L447" s="186" t="e">
        <f t="shared" si="71"/>
        <v>#DIV/0!</v>
      </c>
      <c r="M447" s="171" t="e">
        <f t="shared" si="63"/>
        <v>#DIV/0!</v>
      </c>
      <c r="N447" s="171" t="e">
        <f t="shared" si="64"/>
        <v>#DIV/0!</v>
      </c>
      <c r="O447" s="171" t="e">
        <f t="shared" si="68"/>
        <v>#DIV/0!</v>
      </c>
      <c r="P447" s="171" t="e">
        <f t="shared" si="69"/>
        <v>#DIV/0!</v>
      </c>
      <c r="Q447" s="186">
        <f>IF('prijem - EUR'!$I$87=TRUE,IF($C$11&gt;0,0.00025*M446,0),IF('prijem - EUR'!$I$88=TRUE,IF('prijem - EUR'!$F$88&gt;0,0.00025*M446*-1,0),0))</f>
        <v>0</v>
      </c>
    </row>
    <row r="448" spans="1:17" x14ac:dyDescent="0.2">
      <c r="A448" s="89">
        <v>432</v>
      </c>
      <c r="B448" s="186" t="e">
        <f t="shared" si="70"/>
        <v>#NUM!</v>
      </c>
      <c r="C448" s="171" t="e">
        <f t="shared" si="62"/>
        <v>#NUM!</v>
      </c>
      <c r="D448" s="171" t="e">
        <f t="shared" si="65"/>
        <v>#NUM!</v>
      </c>
      <c r="E448" s="171" t="e">
        <f t="shared" si="66"/>
        <v>#NUM!</v>
      </c>
      <c r="F448" s="171" t="e">
        <f t="shared" si="67"/>
        <v>#NUM!</v>
      </c>
      <c r="G448" s="186">
        <f>IF('prijem - EUR'!$I$87=TRUE,IF($C$11&gt;0,0.00025*C447,0),IF('prijem - EUR'!$I$88=TRUE,IF('prijem - EUR'!$F$88&gt;0,0.00025*C447,0),0))</f>
        <v>0</v>
      </c>
      <c r="K448" s="89">
        <v>432</v>
      </c>
      <c r="L448" s="186" t="e">
        <f t="shared" si="71"/>
        <v>#DIV/0!</v>
      </c>
      <c r="M448" s="171" t="e">
        <f t="shared" si="63"/>
        <v>#DIV/0!</v>
      </c>
      <c r="N448" s="171" t="e">
        <f t="shared" si="64"/>
        <v>#DIV/0!</v>
      </c>
      <c r="O448" s="171" t="e">
        <f t="shared" si="68"/>
        <v>#DIV/0!</v>
      </c>
      <c r="P448" s="171" t="e">
        <f t="shared" si="69"/>
        <v>#DIV/0!</v>
      </c>
      <c r="Q448" s="186">
        <f>IF('prijem - EUR'!$I$87=TRUE,IF($C$11&gt;0,0.00025*M447,0),IF('prijem - EUR'!$I$88=TRUE,IF('prijem - EUR'!$F$88&gt;0,0.00025*M447*-1,0),0))</f>
        <v>0</v>
      </c>
    </row>
    <row r="449" spans="1:17" x14ac:dyDescent="0.2">
      <c r="A449" s="89">
        <v>433</v>
      </c>
      <c r="B449" s="186" t="e">
        <f t="shared" si="70"/>
        <v>#NUM!</v>
      </c>
      <c r="C449" s="171" t="e">
        <f t="shared" si="62"/>
        <v>#NUM!</v>
      </c>
      <c r="D449" s="171" t="e">
        <f t="shared" si="65"/>
        <v>#NUM!</v>
      </c>
      <c r="E449" s="171" t="e">
        <f t="shared" si="66"/>
        <v>#NUM!</v>
      </c>
      <c r="F449" s="171" t="e">
        <f t="shared" si="67"/>
        <v>#NUM!</v>
      </c>
      <c r="G449" s="186">
        <f>IF('prijem - EUR'!$I$87=TRUE,IF($C$11&gt;0,0.00025*C448,0),IF('prijem - EUR'!$I$88=TRUE,IF('prijem - EUR'!$F$88&gt;0,0.00025*C448,0),0))</f>
        <v>0</v>
      </c>
      <c r="K449" s="89">
        <v>433</v>
      </c>
      <c r="L449" s="186" t="e">
        <f t="shared" si="71"/>
        <v>#DIV/0!</v>
      </c>
      <c r="M449" s="171" t="e">
        <f t="shared" si="63"/>
        <v>#DIV/0!</v>
      </c>
      <c r="N449" s="171" t="e">
        <f t="shared" si="64"/>
        <v>#DIV/0!</v>
      </c>
      <c r="O449" s="171" t="e">
        <f t="shared" si="68"/>
        <v>#DIV/0!</v>
      </c>
      <c r="P449" s="171" t="e">
        <f t="shared" si="69"/>
        <v>#DIV/0!</v>
      </c>
      <c r="Q449" s="186">
        <f>IF('prijem - EUR'!$I$87=TRUE,IF($C$11&gt;0,0.00025*M448,0),IF('prijem - EUR'!$I$88=TRUE,IF('prijem - EUR'!$F$88&gt;0,0.00025*M448*-1,0),0))</f>
        <v>0</v>
      </c>
    </row>
    <row r="450" spans="1:17" x14ac:dyDescent="0.2">
      <c r="A450" s="89">
        <v>434</v>
      </c>
      <c r="B450" s="186" t="e">
        <f t="shared" si="70"/>
        <v>#NUM!</v>
      </c>
      <c r="C450" s="171" t="e">
        <f t="shared" si="62"/>
        <v>#NUM!</v>
      </c>
      <c r="D450" s="171" t="e">
        <f t="shared" si="65"/>
        <v>#NUM!</v>
      </c>
      <c r="E450" s="171" t="e">
        <f t="shared" si="66"/>
        <v>#NUM!</v>
      </c>
      <c r="F450" s="171" t="e">
        <f t="shared" si="67"/>
        <v>#NUM!</v>
      </c>
      <c r="G450" s="186">
        <f>IF('prijem - EUR'!$I$87=TRUE,IF($C$11&gt;0,0.00025*C449,0),IF('prijem - EUR'!$I$88=TRUE,IF('prijem - EUR'!$F$88&gt;0,0.00025*C449,0),0))</f>
        <v>0</v>
      </c>
      <c r="K450" s="89">
        <v>434</v>
      </c>
      <c r="L450" s="186" t="e">
        <f t="shared" si="71"/>
        <v>#DIV/0!</v>
      </c>
      <c r="M450" s="171" t="e">
        <f t="shared" si="63"/>
        <v>#DIV/0!</v>
      </c>
      <c r="N450" s="171" t="e">
        <f t="shared" si="64"/>
        <v>#DIV/0!</v>
      </c>
      <c r="O450" s="171" t="e">
        <f t="shared" si="68"/>
        <v>#DIV/0!</v>
      </c>
      <c r="P450" s="171" t="e">
        <f t="shared" si="69"/>
        <v>#DIV/0!</v>
      </c>
      <c r="Q450" s="186">
        <f>IF('prijem - EUR'!$I$87=TRUE,IF($C$11&gt;0,0.00025*M449,0),IF('prijem - EUR'!$I$88=TRUE,IF('prijem - EUR'!$F$88&gt;0,0.00025*M449*-1,0),0))</f>
        <v>0</v>
      </c>
    </row>
    <row r="451" spans="1:17" x14ac:dyDescent="0.2">
      <c r="A451" s="89">
        <v>435</v>
      </c>
      <c r="B451" s="186" t="e">
        <f t="shared" si="70"/>
        <v>#NUM!</v>
      </c>
      <c r="C451" s="171" t="e">
        <f t="shared" si="62"/>
        <v>#NUM!</v>
      </c>
      <c r="D451" s="171" t="e">
        <f t="shared" si="65"/>
        <v>#NUM!</v>
      </c>
      <c r="E451" s="171" t="e">
        <f t="shared" si="66"/>
        <v>#NUM!</v>
      </c>
      <c r="F451" s="171" t="e">
        <f t="shared" si="67"/>
        <v>#NUM!</v>
      </c>
      <c r="G451" s="186">
        <f>IF('prijem - EUR'!$I$87=TRUE,IF($C$11&gt;0,0.00025*C450,0),IF('prijem - EUR'!$I$88=TRUE,IF('prijem - EUR'!$F$88&gt;0,0.00025*C450,0),0))</f>
        <v>0</v>
      </c>
      <c r="K451" s="89">
        <v>435</v>
      </c>
      <c r="L451" s="186" t="e">
        <f t="shared" si="71"/>
        <v>#DIV/0!</v>
      </c>
      <c r="M451" s="171" t="e">
        <f t="shared" si="63"/>
        <v>#DIV/0!</v>
      </c>
      <c r="N451" s="171" t="e">
        <f t="shared" si="64"/>
        <v>#DIV/0!</v>
      </c>
      <c r="O451" s="171" t="e">
        <f t="shared" si="68"/>
        <v>#DIV/0!</v>
      </c>
      <c r="P451" s="171" t="e">
        <f t="shared" si="69"/>
        <v>#DIV/0!</v>
      </c>
      <c r="Q451" s="186">
        <f>IF('prijem - EUR'!$I$87=TRUE,IF($C$11&gt;0,0.00025*M450,0),IF('prijem - EUR'!$I$88=TRUE,IF('prijem - EUR'!$F$88&gt;0,0.00025*M450*-1,0),0))</f>
        <v>0</v>
      </c>
    </row>
    <row r="452" spans="1:17" x14ac:dyDescent="0.2">
      <c r="A452" s="89">
        <v>436</v>
      </c>
      <c r="B452" s="186" t="e">
        <f t="shared" si="70"/>
        <v>#NUM!</v>
      </c>
      <c r="C452" s="171" t="e">
        <f t="shared" si="62"/>
        <v>#NUM!</v>
      </c>
      <c r="D452" s="171" t="e">
        <f t="shared" si="65"/>
        <v>#NUM!</v>
      </c>
      <c r="E452" s="171" t="e">
        <f t="shared" si="66"/>
        <v>#NUM!</v>
      </c>
      <c r="F452" s="171" t="e">
        <f t="shared" si="67"/>
        <v>#NUM!</v>
      </c>
      <c r="G452" s="186">
        <f>IF('prijem - EUR'!$I$87=TRUE,IF($C$11&gt;0,0.00025*C451,0),IF('prijem - EUR'!$I$88=TRUE,IF('prijem - EUR'!$F$88&gt;0,0.00025*C451,0),0))</f>
        <v>0</v>
      </c>
      <c r="K452" s="89">
        <v>436</v>
      </c>
      <c r="L452" s="186" t="e">
        <f t="shared" si="71"/>
        <v>#DIV/0!</v>
      </c>
      <c r="M452" s="171" t="e">
        <f t="shared" si="63"/>
        <v>#DIV/0!</v>
      </c>
      <c r="N452" s="171" t="e">
        <f t="shared" si="64"/>
        <v>#DIV/0!</v>
      </c>
      <c r="O452" s="171" t="e">
        <f t="shared" si="68"/>
        <v>#DIV/0!</v>
      </c>
      <c r="P452" s="171" t="e">
        <f t="shared" si="69"/>
        <v>#DIV/0!</v>
      </c>
      <c r="Q452" s="186">
        <f>IF('prijem - EUR'!$I$87=TRUE,IF($C$11&gt;0,0.00025*M451,0),IF('prijem - EUR'!$I$88=TRUE,IF('prijem - EUR'!$F$88&gt;0,0.00025*M451*-1,0),0))</f>
        <v>0</v>
      </c>
    </row>
    <row r="453" spans="1:17" x14ac:dyDescent="0.2">
      <c r="A453" s="89">
        <v>437</v>
      </c>
      <c r="B453" s="186" t="e">
        <f t="shared" si="70"/>
        <v>#NUM!</v>
      </c>
      <c r="C453" s="171" t="e">
        <f t="shared" si="62"/>
        <v>#NUM!</v>
      </c>
      <c r="D453" s="171" t="e">
        <f t="shared" si="65"/>
        <v>#NUM!</v>
      </c>
      <c r="E453" s="171" t="e">
        <f t="shared" si="66"/>
        <v>#NUM!</v>
      </c>
      <c r="F453" s="171" t="e">
        <f t="shared" si="67"/>
        <v>#NUM!</v>
      </c>
      <c r="G453" s="186">
        <f>IF('prijem - EUR'!$I$87=TRUE,IF($C$11&gt;0,0.00025*C452,0),IF('prijem - EUR'!$I$88=TRUE,IF('prijem - EUR'!$F$88&gt;0,0.00025*C452,0),0))</f>
        <v>0</v>
      </c>
      <c r="K453" s="89">
        <v>437</v>
      </c>
      <c r="L453" s="186" t="e">
        <f t="shared" si="71"/>
        <v>#DIV/0!</v>
      </c>
      <c r="M453" s="171" t="e">
        <f t="shared" si="63"/>
        <v>#DIV/0!</v>
      </c>
      <c r="N453" s="171" t="e">
        <f t="shared" si="64"/>
        <v>#DIV/0!</v>
      </c>
      <c r="O453" s="171" t="e">
        <f t="shared" si="68"/>
        <v>#DIV/0!</v>
      </c>
      <c r="P453" s="171" t="e">
        <f t="shared" si="69"/>
        <v>#DIV/0!</v>
      </c>
      <c r="Q453" s="186">
        <f>IF('prijem - EUR'!$I$87=TRUE,IF($C$11&gt;0,0.00025*M452,0),IF('prijem - EUR'!$I$88=TRUE,IF('prijem - EUR'!$F$88&gt;0,0.00025*M452*-1,0),0))</f>
        <v>0</v>
      </c>
    </row>
    <row r="454" spans="1:17" x14ac:dyDescent="0.2">
      <c r="A454" s="89">
        <v>438</v>
      </c>
      <c r="B454" s="186" t="e">
        <f t="shared" si="70"/>
        <v>#NUM!</v>
      </c>
      <c r="C454" s="171" t="e">
        <f t="shared" si="62"/>
        <v>#NUM!</v>
      </c>
      <c r="D454" s="171" t="e">
        <f t="shared" si="65"/>
        <v>#NUM!</v>
      </c>
      <c r="E454" s="171" t="e">
        <f t="shared" si="66"/>
        <v>#NUM!</v>
      </c>
      <c r="F454" s="171" t="e">
        <f t="shared" si="67"/>
        <v>#NUM!</v>
      </c>
      <c r="G454" s="186">
        <f>IF('prijem - EUR'!$I$87=TRUE,IF($C$11&gt;0,0.00025*C453,0),IF('prijem - EUR'!$I$88=TRUE,IF('prijem - EUR'!$F$88&gt;0,0.00025*C453,0),0))</f>
        <v>0</v>
      </c>
      <c r="K454" s="89">
        <v>438</v>
      </c>
      <c r="L454" s="186" t="e">
        <f t="shared" si="71"/>
        <v>#DIV/0!</v>
      </c>
      <c r="M454" s="171" t="e">
        <f t="shared" si="63"/>
        <v>#DIV/0!</v>
      </c>
      <c r="N454" s="171" t="e">
        <f t="shared" si="64"/>
        <v>#DIV/0!</v>
      </c>
      <c r="O454" s="171" t="e">
        <f t="shared" si="68"/>
        <v>#DIV/0!</v>
      </c>
      <c r="P454" s="171" t="e">
        <f t="shared" si="69"/>
        <v>#DIV/0!</v>
      </c>
      <c r="Q454" s="186">
        <f>IF('prijem - EUR'!$I$87=TRUE,IF($C$11&gt;0,0.00025*M453,0),IF('prijem - EUR'!$I$88=TRUE,IF('prijem - EUR'!$F$88&gt;0,0.00025*M453*-1,0),0))</f>
        <v>0</v>
      </c>
    </row>
    <row r="455" spans="1:17" x14ac:dyDescent="0.2">
      <c r="A455" s="89">
        <v>439</v>
      </c>
      <c r="B455" s="186" t="e">
        <f t="shared" si="70"/>
        <v>#NUM!</v>
      </c>
      <c r="C455" s="171" t="e">
        <f t="shared" si="62"/>
        <v>#NUM!</v>
      </c>
      <c r="D455" s="171" t="e">
        <f t="shared" si="65"/>
        <v>#NUM!</v>
      </c>
      <c r="E455" s="171" t="e">
        <f t="shared" si="66"/>
        <v>#NUM!</v>
      </c>
      <c r="F455" s="171" t="e">
        <f t="shared" si="67"/>
        <v>#NUM!</v>
      </c>
      <c r="G455" s="186">
        <f>IF('prijem - EUR'!$I$87=TRUE,IF($C$11&gt;0,0.00025*C454,0),IF('prijem - EUR'!$I$88=TRUE,IF('prijem - EUR'!$F$88&gt;0,0.00025*C454,0),0))</f>
        <v>0</v>
      </c>
      <c r="K455" s="89">
        <v>439</v>
      </c>
      <c r="L455" s="186" t="e">
        <f t="shared" si="71"/>
        <v>#DIV/0!</v>
      </c>
      <c r="M455" s="171" t="e">
        <f t="shared" si="63"/>
        <v>#DIV/0!</v>
      </c>
      <c r="N455" s="171" t="e">
        <f t="shared" si="64"/>
        <v>#DIV/0!</v>
      </c>
      <c r="O455" s="171" t="e">
        <f t="shared" si="68"/>
        <v>#DIV/0!</v>
      </c>
      <c r="P455" s="171" t="e">
        <f t="shared" si="69"/>
        <v>#DIV/0!</v>
      </c>
      <c r="Q455" s="186">
        <f>IF('prijem - EUR'!$I$87=TRUE,IF($C$11&gt;0,0.00025*M454,0),IF('prijem - EUR'!$I$88=TRUE,IF('prijem - EUR'!$F$88&gt;0,0.00025*M454*-1,0),0))</f>
        <v>0</v>
      </c>
    </row>
    <row r="456" spans="1:17" x14ac:dyDescent="0.2">
      <c r="A456" s="89">
        <v>440</v>
      </c>
      <c r="B456" s="186" t="e">
        <f t="shared" si="70"/>
        <v>#NUM!</v>
      </c>
      <c r="C456" s="171" t="e">
        <f t="shared" si="62"/>
        <v>#NUM!</v>
      </c>
      <c r="D456" s="171" t="e">
        <f t="shared" si="65"/>
        <v>#NUM!</v>
      </c>
      <c r="E456" s="171" t="e">
        <f t="shared" si="66"/>
        <v>#NUM!</v>
      </c>
      <c r="F456" s="171" t="e">
        <f t="shared" si="67"/>
        <v>#NUM!</v>
      </c>
      <c r="G456" s="186">
        <f>IF('prijem - EUR'!$I$87=TRUE,IF($C$11&gt;0,0.00025*C455,0),IF('prijem - EUR'!$I$88=TRUE,IF('prijem - EUR'!$F$88&gt;0,0.00025*C455,0),0))</f>
        <v>0</v>
      </c>
      <c r="K456" s="89">
        <v>440</v>
      </c>
      <c r="L456" s="186" t="e">
        <f t="shared" si="71"/>
        <v>#DIV/0!</v>
      </c>
      <c r="M456" s="171" t="e">
        <f t="shared" si="63"/>
        <v>#DIV/0!</v>
      </c>
      <c r="N456" s="171" t="e">
        <f t="shared" si="64"/>
        <v>#DIV/0!</v>
      </c>
      <c r="O456" s="171" t="e">
        <f t="shared" si="68"/>
        <v>#DIV/0!</v>
      </c>
      <c r="P456" s="171" t="e">
        <f t="shared" si="69"/>
        <v>#DIV/0!</v>
      </c>
      <c r="Q456" s="186">
        <f>IF('prijem - EUR'!$I$87=TRUE,IF($C$11&gt;0,0.00025*M455,0),IF('prijem - EUR'!$I$88=TRUE,IF('prijem - EUR'!$F$88&gt;0,0.00025*M455*-1,0),0))</f>
        <v>0</v>
      </c>
    </row>
    <row r="457" spans="1:17" x14ac:dyDescent="0.2">
      <c r="A457" s="89">
        <v>441</v>
      </c>
      <c r="B457" s="186" t="e">
        <f t="shared" si="70"/>
        <v>#NUM!</v>
      </c>
      <c r="C457" s="171" t="e">
        <f t="shared" si="62"/>
        <v>#NUM!</v>
      </c>
      <c r="D457" s="171" t="e">
        <f t="shared" si="65"/>
        <v>#NUM!</v>
      </c>
      <c r="E457" s="171" t="e">
        <f t="shared" si="66"/>
        <v>#NUM!</v>
      </c>
      <c r="F457" s="171" t="e">
        <f t="shared" si="67"/>
        <v>#NUM!</v>
      </c>
      <c r="G457" s="186">
        <f>IF('prijem - EUR'!$I$87=TRUE,IF($C$11&gt;0,0.00025*C456,0),IF('prijem - EUR'!$I$88=TRUE,IF('prijem - EUR'!$F$88&gt;0,0.00025*C456,0),0))</f>
        <v>0</v>
      </c>
      <c r="K457" s="89">
        <v>441</v>
      </c>
      <c r="L457" s="186" t="e">
        <f t="shared" si="71"/>
        <v>#DIV/0!</v>
      </c>
      <c r="M457" s="171" t="e">
        <f t="shared" si="63"/>
        <v>#DIV/0!</v>
      </c>
      <c r="N457" s="171" t="e">
        <f t="shared" si="64"/>
        <v>#DIV/0!</v>
      </c>
      <c r="O457" s="171" t="e">
        <f t="shared" si="68"/>
        <v>#DIV/0!</v>
      </c>
      <c r="P457" s="171" t="e">
        <f t="shared" si="69"/>
        <v>#DIV/0!</v>
      </c>
      <c r="Q457" s="186">
        <f>IF('prijem - EUR'!$I$87=TRUE,IF($C$11&gt;0,0.00025*M456,0),IF('prijem - EUR'!$I$88=TRUE,IF('prijem - EUR'!$F$88&gt;0,0.00025*M456*-1,0),0))</f>
        <v>0</v>
      </c>
    </row>
    <row r="458" spans="1:17" x14ac:dyDescent="0.2">
      <c r="A458" s="89">
        <v>442</v>
      </c>
      <c r="B458" s="186" t="e">
        <f t="shared" si="70"/>
        <v>#NUM!</v>
      </c>
      <c r="C458" s="171" t="e">
        <f t="shared" si="62"/>
        <v>#NUM!</v>
      </c>
      <c r="D458" s="171" t="e">
        <f t="shared" si="65"/>
        <v>#NUM!</v>
      </c>
      <c r="E458" s="171" t="e">
        <f t="shared" si="66"/>
        <v>#NUM!</v>
      </c>
      <c r="F458" s="171" t="e">
        <f t="shared" si="67"/>
        <v>#NUM!</v>
      </c>
      <c r="G458" s="186">
        <f>IF('prijem - EUR'!$I$87=TRUE,IF($C$11&gt;0,0.00025*C457,0),IF('prijem - EUR'!$I$88=TRUE,IF('prijem - EUR'!$F$88&gt;0,0.00025*C457,0),0))</f>
        <v>0</v>
      </c>
      <c r="K458" s="89">
        <v>442</v>
      </c>
      <c r="L458" s="186" t="e">
        <f t="shared" si="71"/>
        <v>#DIV/0!</v>
      </c>
      <c r="M458" s="171" t="e">
        <f t="shared" si="63"/>
        <v>#DIV/0!</v>
      </c>
      <c r="N458" s="171" t="e">
        <f t="shared" si="64"/>
        <v>#DIV/0!</v>
      </c>
      <c r="O458" s="171" t="e">
        <f t="shared" si="68"/>
        <v>#DIV/0!</v>
      </c>
      <c r="P458" s="171" t="e">
        <f t="shared" si="69"/>
        <v>#DIV/0!</v>
      </c>
      <c r="Q458" s="186">
        <f>IF('prijem - EUR'!$I$87=TRUE,IF($C$11&gt;0,0.00025*M457,0),IF('prijem - EUR'!$I$88=TRUE,IF('prijem - EUR'!$F$88&gt;0,0.00025*M457*-1,0),0))</f>
        <v>0</v>
      </c>
    </row>
    <row r="459" spans="1:17" x14ac:dyDescent="0.2">
      <c r="A459" s="89">
        <v>443</v>
      </c>
      <c r="B459" s="186" t="e">
        <f t="shared" si="70"/>
        <v>#NUM!</v>
      </c>
      <c r="C459" s="171" t="e">
        <f t="shared" si="62"/>
        <v>#NUM!</v>
      </c>
      <c r="D459" s="171" t="e">
        <f t="shared" si="65"/>
        <v>#NUM!</v>
      </c>
      <c r="E459" s="171" t="e">
        <f t="shared" si="66"/>
        <v>#NUM!</v>
      </c>
      <c r="F459" s="171" t="e">
        <f t="shared" si="67"/>
        <v>#NUM!</v>
      </c>
      <c r="G459" s="186">
        <f>IF('prijem - EUR'!$I$87=TRUE,IF($C$11&gt;0,0.00025*C458,0),IF('prijem - EUR'!$I$88=TRUE,IF('prijem - EUR'!$F$88&gt;0,0.00025*C458,0),0))</f>
        <v>0</v>
      </c>
      <c r="K459" s="89">
        <v>443</v>
      </c>
      <c r="L459" s="186" t="e">
        <f t="shared" si="71"/>
        <v>#DIV/0!</v>
      </c>
      <c r="M459" s="171" t="e">
        <f t="shared" si="63"/>
        <v>#DIV/0!</v>
      </c>
      <c r="N459" s="171" t="e">
        <f t="shared" si="64"/>
        <v>#DIV/0!</v>
      </c>
      <c r="O459" s="171" t="e">
        <f t="shared" si="68"/>
        <v>#DIV/0!</v>
      </c>
      <c r="P459" s="171" t="e">
        <f t="shared" si="69"/>
        <v>#DIV/0!</v>
      </c>
      <c r="Q459" s="186">
        <f>IF('prijem - EUR'!$I$87=TRUE,IF($C$11&gt;0,0.00025*M458,0),IF('prijem - EUR'!$I$88=TRUE,IF('prijem - EUR'!$F$88&gt;0,0.00025*M458*-1,0),0))</f>
        <v>0</v>
      </c>
    </row>
    <row r="460" spans="1:17" x14ac:dyDescent="0.2">
      <c r="A460" s="89">
        <v>444</v>
      </c>
      <c r="B460" s="186" t="e">
        <f t="shared" si="70"/>
        <v>#NUM!</v>
      </c>
      <c r="C460" s="171" t="e">
        <f t="shared" si="62"/>
        <v>#NUM!</v>
      </c>
      <c r="D460" s="171" t="e">
        <f t="shared" si="65"/>
        <v>#NUM!</v>
      </c>
      <c r="E460" s="171" t="e">
        <f t="shared" si="66"/>
        <v>#NUM!</v>
      </c>
      <c r="F460" s="171" t="e">
        <f t="shared" si="67"/>
        <v>#NUM!</v>
      </c>
      <c r="G460" s="186">
        <f>IF('prijem - EUR'!$I$87=TRUE,IF($C$11&gt;0,0.00025*C459,0),IF('prijem - EUR'!$I$88=TRUE,IF('prijem - EUR'!$F$88&gt;0,0.00025*C459,0),0))</f>
        <v>0</v>
      </c>
      <c r="K460" s="89">
        <v>444</v>
      </c>
      <c r="L460" s="186" t="e">
        <f t="shared" si="71"/>
        <v>#DIV/0!</v>
      </c>
      <c r="M460" s="171" t="e">
        <f t="shared" si="63"/>
        <v>#DIV/0!</v>
      </c>
      <c r="N460" s="171" t="e">
        <f t="shared" si="64"/>
        <v>#DIV/0!</v>
      </c>
      <c r="O460" s="171" t="e">
        <f t="shared" si="68"/>
        <v>#DIV/0!</v>
      </c>
      <c r="P460" s="171" t="e">
        <f t="shared" si="69"/>
        <v>#DIV/0!</v>
      </c>
      <c r="Q460" s="186">
        <f>IF('prijem - EUR'!$I$87=TRUE,IF($C$11&gt;0,0.00025*M459,0),IF('prijem - EUR'!$I$88=TRUE,IF('prijem - EUR'!$F$88&gt;0,0.00025*M459*-1,0),0))</f>
        <v>0</v>
      </c>
    </row>
    <row r="461" spans="1:17" x14ac:dyDescent="0.2">
      <c r="A461" s="89">
        <v>445</v>
      </c>
      <c r="B461" s="186" t="e">
        <f t="shared" si="70"/>
        <v>#NUM!</v>
      </c>
      <c r="C461" s="171" t="e">
        <f t="shared" si="62"/>
        <v>#NUM!</v>
      </c>
      <c r="D461" s="171" t="e">
        <f t="shared" si="65"/>
        <v>#NUM!</v>
      </c>
      <c r="E461" s="171" t="e">
        <f t="shared" si="66"/>
        <v>#NUM!</v>
      </c>
      <c r="F461" s="171" t="e">
        <f t="shared" si="67"/>
        <v>#NUM!</v>
      </c>
      <c r="G461" s="186">
        <f>IF('prijem - EUR'!$I$87=TRUE,IF($C$11&gt;0,0.00025*C460,0),IF('prijem - EUR'!$I$88=TRUE,IF('prijem - EUR'!$F$88&gt;0,0.00025*C460,0),0))</f>
        <v>0</v>
      </c>
      <c r="K461" s="89">
        <v>445</v>
      </c>
      <c r="L461" s="186" t="e">
        <f t="shared" si="71"/>
        <v>#DIV/0!</v>
      </c>
      <c r="M461" s="171" t="e">
        <f t="shared" si="63"/>
        <v>#DIV/0!</v>
      </c>
      <c r="N461" s="171" t="e">
        <f t="shared" si="64"/>
        <v>#DIV/0!</v>
      </c>
      <c r="O461" s="171" t="e">
        <f t="shared" si="68"/>
        <v>#DIV/0!</v>
      </c>
      <c r="P461" s="171" t="e">
        <f t="shared" si="69"/>
        <v>#DIV/0!</v>
      </c>
      <c r="Q461" s="186">
        <f>IF('prijem - EUR'!$I$87=TRUE,IF($C$11&gt;0,0.00025*M460,0),IF('prijem - EUR'!$I$88=TRUE,IF('prijem - EUR'!$F$88&gt;0,0.00025*M460*-1,0),0))</f>
        <v>0</v>
      </c>
    </row>
    <row r="462" spans="1:17" x14ac:dyDescent="0.2">
      <c r="A462" s="89">
        <v>446</v>
      </c>
      <c r="B462" s="186" t="e">
        <f t="shared" si="70"/>
        <v>#NUM!</v>
      </c>
      <c r="C462" s="171" t="e">
        <f t="shared" si="62"/>
        <v>#NUM!</v>
      </c>
      <c r="D462" s="171" t="e">
        <f t="shared" si="65"/>
        <v>#NUM!</v>
      </c>
      <c r="E462" s="171" t="e">
        <f t="shared" si="66"/>
        <v>#NUM!</v>
      </c>
      <c r="F462" s="171" t="e">
        <f t="shared" si="67"/>
        <v>#NUM!</v>
      </c>
      <c r="G462" s="186">
        <f>IF('prijem - EUR'!$I$87=TRUE,IF($C$11&gt;0,0.00025*C461,0),IF('prijem - EUR'!$I$88=TRUE,IF('prijem - EUR'!$F$88&gt;0,0.00025*C461,0),0))</f>
        <v>0</v>
      </c>
      <c r="K462" s="89">
        <v>446</v>
      </c>
      <c r="L462" s="186" t="e">
        <f t="shared" si="71"/>
        <v>#DIV/0!</v>
      </c>
      <c r="M462" s="171" t="e">
        <f t="shared" si="63"/>
        <v>#DIV/0!</v>
      </c>
      <c r="N462" s="171" t="e">
        <f t="shared" si="64"/>
        <v>#DIV/0!</v>
      </c>
      <c r="O462" s="171" t="e">
        <f t="shared" si="68"/>
        <v>#DIV/0!</v>
      </c>
      <c r="P462" s="171" t="e">
        <f t="shared" si="69"/>
        <v>#DIV/0!</v>
      </c>
      <c r="Q462" s="186">
        <f>IF('prijem - EUR'!$I$87=TRUE,IF($C$11&gt;0,0.00025*M461,0),IF('prijem - EUR'!$I$88=TRUE,IF('prijem - EUR'!$F$88&gt;0,0.00025*M461*-1,0),0))</f>
        <v>0</v>
      </c>
    </row>
    <row r="463" spans="1:17" x14ac:dyDescent="0.2">
      <c r="A463" s="89">
        <v>447</v>
      </c>
      <c r="B463" s="186" t="e">
        <f t="shared" si="70"/>
        <v>#NUM!</v>
      </c>
      <c r="C463" s="171" t="e">
        <f t="shared" si="62"/>
        <v>#NUM!</v>
      </c>
      <c r="D463" s="171" t="e">
        <f t="shared" si="65"/>
        <v>#NUM!</v>
      </c>
      <c r="E463" s="171" t="e">
        <f t="shared" si="66"/>
        <v>#NUM!</v>
      </c>
      <c r="F463" s="171" t="e">
        <f t="shared" si="67"/>
        <v>#NUM!</v>
      </c>
      <c r="G463" s="186">
        <f>IF('prijem - EUR'!$I$87=TRUE,IF($C$11&gt;0,0.00025*C462,0),IF('prijem - EUR'!$I$88=TRUE,IF('prijem - EUR'!$F$88&gt;0,0.00025*C462,0),0))</f>
        <v>0</v>
      </c>
      <c r="K463" s="89">
        <v>447</v>
      </c>
      <c r="L463" s="186" t="e">
        <f t="shared" si="71"/>
        <v>#DIV/0!</v>
      </c>
      <c r="M463" s="171" t="e">
        <f t="shared" si="63"/>
        <v>#DIV/0!</v>
      </c>
      <c r="N463" s="171" t="e">
        <f t="shared" si="64"/>
        <v>#DIV/0!</v>
      </c>
      <c r="O463" s="171" t="e">
        <f t="shared" si="68"/>
        <v>#DIV/0!</v>
      </c>
      <c r="P463" s="171" t="e">
        <f t="shared" si="69"/>
        <v>#DIV/0!</v>
      </c>
      <c r="Q463" s="186">
        <f>IF('prijem - EUR'!$I$87=TRUE,IF($C$11&gt;0,0.00025*M462,0),IF('prijem - EUR'!$I$88=TRUE,IF('prijem - EUR'!$F$88&gt;0,0.00025*M462*-1,0),0))</f>
        <v>0</v>
      </c>
    </row>
    <row r="464" spans="1:17" x14ac:dyDescent="0.2">
      <c r="A464" s="89">
        <v>448</v>
      </c>
      <c r="B464" s="186" t="e">
        <f t="shared" si="70"/>
        <v>#NUM!</v>
      </c>
      <c r="C464" s="171" t="e">
        <f t="shared" si="62"/>
        <v>#NUM!</v>
      </c>
      <c r="D464" s="171" t="e">
        <f t="shared" si="65"/>
        <v>#NUM!</v>
      </c>
      <c r="E464" s="171" t="e">
        <f t="shared" si="66"/>
        <v>#NUM!</v>
      </c>
      <c r="F464" s="171" t="e">
        <f t="shared" si="67"/>
        <v>#NUM!</v>
      </c>
      <c r="G464" s="186">
        <f>IF('prijem - EUR'!$I$87=TRUE,IF($C$11&gt;0,0.00025*C463,0),IF('prijem - EUR'!$I$88=TRUE,IF('prijem - EUR'!$F$88&gt;0,0.00025*C463,0),0))</f>
        <v>0</v>
      </c>
      <c r="K464" s="89">
        <v>448</v>
      </c>
      <c r="L464" s="186" t="e">
        <f t="shared" si="71"/>
        <v>#DIV/0!</v>
      </c>
      <c r="M464" s="171" t="e">
        <f t="shared" si="63"/>
        <v>#DIV/0!</v>
      </c>
      <c r="N464" s="171" t="e">
        <f t="shared" si="64"/>
        <v>#DIV/0!</v>
      </c>
      <c r="O464" s="171" t="e">
        <f t="shared" si="68"/>
        <v>#DIV/0!</v>
      </c>
      <c r="P464" s="171" t="e">
        <f t="shared" si="69"/>
        <v>#DIV/0!</v>
      </c>
      <c r="Q464" s="186">
        <f>IF('prijem - EUR'!$I$87=TRUE,IF($C$11&gt;0,0.00025*M463,0),IF('prijem - EUR'!$I$88=TRUE,IF('prijem - EUR'!$F$88&gt;0,0.00025*M463*-1,0),0))</f>
        <v>0</v>
      </c>
    </row>
    <row r="465" spans="1:17" x14ac:dyDescent="0.2">
      <c r="A465" s="89">
        <v>449</v>
      </c>
      <c r="B465" s="186" t="e">
        <f t="shared" si="70"/>
        <v>#NUM!</v>
      </c>
      <c r="C465" s="171" t="e">
        <f t="shared" ref="C465:C496" si="72">MAX(C464-D465,0)</f>
        <v>#NUM!</v>
      </c>
      <c r="D465" s="171" t="e">
        <f t="shared" si="65"/>
        <v>#NUM!</v>
      </c>
      <c r="E465" s="171" t="e">
        <f t="shared" si="66"/>
        <v>#NUM!</v>
      </c>
      <c r="F465" s="171" t="e">
        <f t="shared" si="67"/>
        <v>#NUM!</v>
      </c>
      <c r="G465" s="186">
        <f>IF('prijem - EUR'!$I$87=TRUE,IF($C$11&gt;0,0.00025*C464,0),IF('prijem - EUR'!$I$88=TRUE,IF('prijem - EUR'!$F$88&gt;0,0.00025*C464,0),0))</f>
        <v>0</v>
      </c>
      <c r="K465" s="89">
        <v>449</v>
      </c>
      <c r="L465" s="186" t="e">
        <f t="shared" si="71"/>
        <v>#DIV/0!</v>
      </c>
      <c r="M465" s="171" t="e">
        <f t="shared" ref="M465:M496" si="73">MAX(M464-N465,0)</f>
        <v>#DIV/0!</v>
      </c>
      <c r="N465" s="171" t="e">
        <f t="shared" ref="N465:N496" si="74">$M$16/$M$5</f>
        <v>#DIV/0!</v>
      </c>
      <c r="O465" s="171" t="e">
        <f t="shared" si="68"/>
        <v>#DIV/0!</v>
      </c>
      <c r="P465" s="171" t="e">
        <f t="shared" si="69"/>
        <v>#DIV/0!</v>
      </c>
      <c r="Q465" s="186">
        <f>IF('prijem - EUR'!$I$87=TRUE,IF($C$11&gt;0,0.00025*M464,0),IF('prijem - EUR'!$I$88=TRUE,IF('prijem - EUR'!$F$88&gt;0,0.00025*M464*-1,0),0))</f>
        <v>0</v>
      </c>
    </row>
    <row r="466" spans="1:17" x14ac:dyDescent="0.2">
      <c r="A466" s="89">
        <v>450</v>
      </c>
      <c r="B466" s="186" t="e">
        <f t="shared" si="70"/>
        <v>#NUM!</v>
      </c>
      <c r="C466" s="171" t="e">
        <f t="shared" si="72"/>
        <v>#NUM!</v>
      </c>
      <c r="D466" s="171" t="e">
        <f t="shared" ref="D466:D496" si="75">(F466-E466)*-1</f>
        <v>#NUM!</v>
      </c>
      <c r="E466" s="171" t="e">
        <f t="shared" ref="E466:E496" si="76">IPMT($C$4/12,1,$C$5,C465)</f>
        <v>#NUM!</v>
      </c>
      <c r="F466" s="171" t="e">
        <f t="shared" ref="F466:F496" si="77">PMT($C$4/12,$C$5,$C$3)</f>
        <v>#NUM!</v>
      </c>
      <c r="G466" s="186">
        <f>IF('prijem - EUR'!$I$87=TRUE,IF($C$11&gt;0,0.00025*C465,0),IF('prijem - EUR'!$I$88=TRUE,IF('prijem - EUR'!$F$88&gt;0,0.00025*C465,0),0))</f>
        <v>0</v>
      </c>
      <c r="K466" s="89">
        <v>450</v>
      </c>
      <c r="L466" s="186" t="e">
        <f t="shared" si="71"/>
        <v>#DIV/0!</v>
      </c>
      <c r="M466" s="171" t="e">
        <f t="shared" si="73"/>
        <v>#DIV/0!</v>
      </c>
      <c r="N466" s="171" t="e">
        <f t="shared" si="74"/>
        <v>#DIV/0!</v>
      </c>
      <c r="O466" s="171" t="e">
        <f t="shared" ref="O466:O496" si="78">M465*$M$4/12</f>
        <v>#DIV/0!</v>
      </c>
      <c r="P466" s="171" t="e">
        <f t="shared" ref="P466:P496" si="79">O466+N466</f>
        <v>#DIV/0!</v>
      </c>
      <c r="Q466" s="186">
        <f>IF('prijem - EUR'!$I$87=TRUE,IF($C$11&gt;0,0.00025*M465,0),IF('prijem - EUR'!$I$88=TRUE,IF('prijem - EUR'!$F$88&gt;0,0.00025*M465*-1,0),0))</f>
        <v>0</v>
      </c>
    </row>
    <row r="467" spans="1:17" x14ac:dyDescent="0.2">
      <c r="A467" s="89">
        <v>451</v>
      </c>
      <c r="B467" s="186" t="e">
        <f t="shared" si="70"/>
        <v>#NUM!</v>
      </c>
      <c r="C467" s="171" t="e">
        <f t="shared" si="72"/>
        <v>#NUM!</v>
      </c>
      <c r="D467" s="171" t="e">
        <f t="shared" si="75"/>
        <v>#NUM!</v>
      </c>
      <c r="E467" s="171" t="e">
        <f t="shared" si="76"/>
        <v>#NUM!</v>
      </c>
      <c r="F467" s="171" t="e">
        <f t="shared" si="77"/>
        <v>#NUM!</v>
      </c>
      <c r="G467" s="186">
        <f>IF('prijem - EUR'!$I$87=TRUE,IF($C$11&gt;0,0.00025*C466,0),IF('prijem - EUR'!$I$88=TRUE,IF('prijem - EUR'!$F$88&gt;0,0.00025*C466,0),0))</f>
        <v>0</v>
      </c>
      <c r="K467" s="89">
        <v>451</v>
      </c>
      <c r="L467" s="186" t="e">
        <f t="shared" si="71"/>
        <v>#DIV/0!</v>
      </c>
      <c r="M467" s="171" t="e">
        <f t="shared" si="73"/>
        <v>#DIV/0!</v>
      </c>
      <c r="N467" s="171" t="e">
        <f t="shared" si="74"/>
        <v>#DIV/0!</v>
      </c>
      <c r="O467" s="171" t="e">
        <f t="shared" si="78"/>
        <v>#DIV/0!</v>
      </c>
      <c r="P467" s="171" t="e">
        <f t="shared" si="79"/>
        <v>#DIV/0!</v>
      </c>
      <c r="Q467" s="186">
        <f>IF('prijem - EUR'!$I$87=TRUE,IF($C$11&gt;0,0.00025*M466,0),IF('prijem - EUR'!$I$88=TRUE,IF('prijem - EUR'!$F$88&gt;0,0.00025*M466*-1,0),0))</f>
        <v>0</v>
      </c>
    </row>
    <row r="468" spans="1:17" x14ac:dyDescent="0.2">
      <c r="A468" s="89">
        <v>452</v>
      </c>
      <c r="B468" s="186" t="e">
        <f t="shared" si="70"/>
        <v>#NUM!</v>
      </c>
      <c r="C468" s="171" t="e">
        <f t="shared" si="72"/>
        <v>#NUM!</v>
      </c>
      <c r="D468" s="171" t="e">
        <f t="shared" si="75"/>
        <v>#NUM!</v>
      </c>
      <c r="E468" s="171" t="e">
        <f t="shared" si="76"/>
        <v>#NUM!</v>
      </c>
      <c r="F468" s="171" t="e">
        <f t="shared" si="77"/>
        <v>#NUM!</v>
      </c>
      <c r="G468" s="186">
        <f>IF('prijem - EUR'!$I$87=TRUE,IF($C$11&gt;0,0.00025*C467,0),IF('prijem - EUR'!$I$88=TRUE,IF('prijem - EUR'!$F$88&gt;0,0.00025*C467,0),0))</f>
        <v>0</v>
      </c>
      <c r="K468" s="89">
        <v>452</v>
      </c>
      <c r="L468" s="186" t="e">
        <f t="shared" si="71"/>
        <v>#DIV/0!</v>
      </c>
      <c r="M468" s="171" t="e">
        <f t="shared" si="73"/>
        <v>#DIV/0!</v>
      </c>
      <c r="N468" s="171" t="e">
        <f t="shared" si="74"/>
        <v>#DIV/0!</v>
      </c>
      <c r="O468" s="171" t="e">
        <f t="shared" si="78"/>
        <v>#DIV/0!</v>
      </c>
      <c r="P468" s="171" t="e">
        <f t="shared" si="79"/>
        <v>#DIV/0!</v>
      </c>
      <c r="Q468" s="186">
        <f>IF('prijem - EUR'!$I$87=TRUE,IF($C$11&gt;0,0.00025*M467,0),IF('prijem - EUR'!$I$88=TRUE,IF('prijem - EUR'!$F$88&gt;0,0.00025*M467*-1,0),0))</f>
        <v>0</v>
      </c>
    </row>
    <row r="469" spans="1:17" x14ac:dyDescent="0.2">
      <c r="A469" s="89">
        <v>453</v>
      </c>
      <c r="B469" s="186" t="e">
        <f t="shared" si="70"/>
        <v>#NUM!</v>
      </c>
      <c r="C469" s="171" t="e">
        <f t="shared" si="72"/>
        <v>#NUM!</v>
      </c>
      <c r="D469" s="171" t="e">
        <f t="shared" si="75"/>
        <v>#NUM!</v>
      </c>
      <c r="E469" s="171" t="e">
        <f t="shared" si="76"/>
        <v>#NUM!</v>
      </c>
      <c r="F469" s="171" t="e">
        <f t="shared" si="77"/>
        <v>#NUM!</v>
      </c>
      <c r="G469" s="186">
        <f>IF('prijem - EUR'!$I$87=TRUE,IF($C$11&gt;0,0.00025*C468,0),IF('prijem - EUR'!$I$88=TRUE,IF('prijem - EUR'!$F$88&gt;0,0.00025*C468,0),0))</f>
        <v>0</v>
      </c>
      <c r="K469" s="89">
        <v>453</v>
      </c>
      <c r="L469" s="186" t="e">
        <f t="shared" si="71"/>
        <v>#DIV/0!</v>
      </c>
      <c r="M469" s="171" t="e">
        <f t="shared" si="73"/>
        <v>#DIV/0!</v>
      </c>
      <c r="N469" s="171" t="e">
        <f t="shared" si="74"/>
        <v>#DIV/0!</v>
      </c>
      <c r="O469" s="171" t="e">
        <f t="shared" si="78"/>
        <v>#DIV/0!</v>
      </c>
      <c r="P469" s="171" t="e">
        <f t="shared" si="79"/>
        <v>#DIV/0!</v>
      </c>
      <c r="Q469" s="186">
        <f>IF('prijem - EUR'!$I$87=TRUE,IF($C$11&gt;0,0.00025*M468,0),IF('prijem - EUR'!$I$88=TRUE,IF('prijem - EUR'!$F$88&gt;0,0.00025*M468*-1,0),0))</f>
        <v>0</v>
      </c>
    </row>
    <row r="470" spans="1:17" x14ac:dyDescent="0.2">
      <c r="A470" s="89">
        <v>454</v>
      </c>
      <c r="B470" s="186" t="e">
        <f t="shared" si="70"/>
        <v>#NUM!</v>
      </c>
      <c r="C470" s="171" t="e">
        <f t="shared" si="72"/>
        <v>#NUM!</v>
      </c>
      <c r="D470" s="171" t="e">
        <f t="shared" si="75"/>
        <v>#NUM!</v>
      </c>
      <c r="E470" s="171" t="e">
        <f t="shared" si="76"/>
        <v>#NUM!</v>
      </c>
      <c r="F470" s="171" t="e">
        <f t="shared" si="77"/>
        <v>#NUM!</v>
      </c>
      <c r="G470" s="186">
        <f>IF('prijem - EUR'!$I$87=TRUE,IF($C$11&gt;0,0.00025*C469,0),IF('prijem - EUR'!$I$88=TRUE,IF('prijem - EUR'!$F$88&gt;0,0.00025*C469,0),0))</f>
        <v>0</v>
      </c>
      <c r="K470" s="89">
        <v>454</v>
      </c>
      <c r="L470" s="186" t="e">
        <f t="shared" si="71"/>
        <v>#DIV/0!</v>
      </c>
      <c r="M470" s="171" t="e">
        <f t="shared" si="73"/>
        <v>#DIV/0!</v>
      </c>
      <c r="N470" s="171" t="e">
        <f t="shared" si="74"/>
        <v>#DIV/0!</v>
      </c>
      <c r="O470" s="171" t="e">
        <f t="shared" si="78"/>
        <v>#DIV/0!</v>
      </c>
      <c r="P470" s="171" t="e">
        <f t="shared" si="79"/>
        <v>#DIV/0!</v>
      </c>
      <c r="Q470" s="186">
        <f>IF('prijem - EUR'!$I$87=TRUE,IF($C$11&gt;0,0.00025*M469,0),IF('prijem - EUR'!$I$88=TRUE,IF('prijem - EUR'!$F$88&gt;0,0.00025*M469*-1,0),0))</f>
        <v>0</v>
      </c>
    </row>
    <row r="471" spans="1:17" x14ac:dyDescent="0.2">
      <c r="A471" s="89">
        <v>455</v>
      </c>
      <c r="B471" s="186" t="e">
        <f t="shared" si="70"/>
        <v>#NUM!</v>
      </c>
      <c r="C471" s="171" t="e">
        <f t="shared" si="72"/>
        <v>#NUM!</v>
      </c>
      <c r="D471" s="171" t="e">
        <f t="shared" si="75"/>
        <v>#NUM!</v>
      </c>
      <c r="E471" s="171" t="e">
        <f t="shared" si="76"/>
        <v>#NUM!</v>
      </c>
      <c r="F471" s="171" t="e">
        <f t="shared" si="77"/>
        <v>#NUM!</v>
      </c>
      <c r="G471" s="186">
        <f>IF('prijem - EUR'!$I$87=TRUE,IF($C$11&gt;0,0.00025*C470,0),IF('prijem - EUR'!$I$88=TRUE,IF('prijem - EUR'!$F$88&gt;0,0.00025*C470,0),0))</f>
        <v>0</v>
      </c>
      <c r="K471" s="89">
        <v>455</v>
      </c>
      <c r="L471" s="186" t="e">
        <f t="shared" si="71"/>
        <v>#DIV/0!</v>
      </c>
      <c r="M471" s="171" t="e">
        <f t="shared" si="73"/>
        <v>#DIV/0!</v>
      </c>
      <c r="N471" s="171" t="e">
        <f t="shared" si="74"/>
        <v>#DIV/0!</v>
      </c>
      <c r="O471" s="171" t="e">
        <f t="shared" si="78"/>
        <v>#DIV/0!</v>
      </c>
      <c r="P471" s="171" t="e">
        <f t="shared" si="79"/>
        <v>#DIV/0!</v>
      </c>
      <c r="Q471" s="186">
        <f>IF('prijem - EUR'!$I$87=TRUE,IF($C$11&gt;0,0.00025*M470,0),IF('prijem - EUR'!$I$88=TRUE,IF('prijem - EUR'!$F$88&gt;0,0.00025*M470*-1,0),0))</f>
        <v>0</v>
      </c>
    </row>
    <row r="472" spans="1:17" x14ac:dyDescent="0.2">
      <c r="A472" s="89">
        <v>456</v>
      </c>
      <c r="B472" s="186" t="e">
        <f t="shared" si="70"/>
        <v>#NUM!</v>
      </c>
      <c r="C472" s="171" t="e">
        <f t="shared" si="72"/>
        <v>#NUM!</v>
      </c>
      <c r="D472" s="171" t="e">
        <f t="shared" si="75"/>
        <v>#NUM!</v>
      </c>
      <c r="E472" s="171" t="e">
        <f t="shared" si="76"/>
        <v>#NUM!</v>
      </c>
      <c r="F472" s="171" t="e">
        <f t="shared" si="77"/>
        <v>#NUM!</v>
      </c>
      <c r="G472" s="186">
        <f>IF('prijem - EUR'!$I$87=TRUE,IF($C$11&gt;0,0.00025*C471,0),IF('prijem - EUR'!$I$88=TRUE,IF('prijem - EUR'!$F$88&gt;0,0.00025*C471,0),0))</f>
        <v>0</v>
      </c>
      <c r="K472" s="89">
        <v>456</v>
      </c>
      <c r="L472" s="186" t="e">
        <f t="shared" si="71"/>
        <v>#DIV/0!</v>
      </c>
      <c r="M472" s="171" t="e">
        <f t="shared" si="73"/>
        <v>#DIV/0!</v>
      </c>
      <c r="N472" s="171" t="e">
        <f t="shared" si="74"/>
        <v>#DIV/0!</v>
      </c>
      <c r="O472" s="171" t="e">
        <f t="shared" si="78"/>
        <v>#DIV/0!</v>
      </c>
      <c r="P472" s="171" t="e">
        <f t="shared" si="79"/>
        <v>#DIV/0!</v>
      </c>
      <c r="Q472" s="186">
        <f>IF('prijem - EUR'!$I$87=TRUE,IF($C$11&gt;0,0.00025*M471,0),IF('prijem - EUR'!$I$88=TRUE,IF('prijem - EUR'!$F$88&gt;0,0.00025*M471*-1,0),0))</f>
        <v>0</v>
      </c>
    </row>
    <row r="473" spans="1:17" x14ac:dyDescent="0.2">
      <c r="A473" s="89">
        <v>457</v>
      </c>
      <c r="B473" s="186" t="e">
        <f t="shared" si="70"/>
        <v>#NUM!</v>
      </c>
      <c r="C473" s="171" t="e">
        <f t="shared" si="72"/>
        <v>#NUM!</v>
      </c>
      <c r="D473" s="171" t="e">
        <f t="shared" si="75"/>
        <v>#NUM!</v>
      </c>
      <c r="E473" s="171" t="e">
        <f t="shared" si="76"/>
        <v>#NUM!</v>
      </c>
      <c r="F473" s="171" t="e">
        <f t="shared" si="77"/>
        <v>#NUM!</v>
      </c>
      <c r="G473" s="186">
        <f>IF('prijem - EUR'!$I$87=TRUE,IF($C$11&gt;0,0.00025*C472,0),IF('prijem - EUR'!$I$88=TRUE,IF('prijem - EUR'!$F$88&gt;0,0.00025*C472,0),0))</f>
        <v>0</v>
      </c>
      <c r="K473" s="89">
        <v>457</v>
      </c>
      <c r="L473" s="186" t="e">
        <f t="shared" si="71"/>
        <v>#DIV/0!</v>
      </c>
      <c r="M473" s="171" t="e">
        <f t="shared" si="73"/>
        <v>#DIV/0!</v>
      </c>
      <c r="N473" s="171" t="e">
        <f t="shared" si="74"/>
        <v>#DIV/0!</v>
      </c>
      <c r="O473" s="171" t="e">
        <f t="shared" si="78"/>
        <v>#DIV/0!</v>
      </c>
      <c r="P473" s="171" t="e">
        <f t="shared" si="79"/>
        <v>#DIV/0!</v>
      </c>
      <c r="Q473" s="186">
        <f>IF('prijem - EUR'!$I$87=TRUE,IF($C$11&gt;0,0.00025*M472,0),IF('prijem - EUR'!$I$88=TRUE,IF('prijem - EUR'!$F$88&gt;0,0.00025*M472*-1,0),0))</f>
        <v>0</v>
      </c>
    </row>
    <row r="474" spans="1:17" x14ac:dyDescent="0.2">
      <c r="A474" s="89">
        <v>458</v>
      </c>
      <c r="B474" s="186" t="e">
        <f t="shared" si="70"/>
        <v>#NUM!</v>
      </c>
      <c r="C474" s="171" t="e">
        <f t="shared" si="72"/>
        <v>#NUM!</v>
      </c>
      <c r="D474" s="171" t="e">
        <f t="shared" si="75"/>
        <v>#NUM!</v>
      </c>
      <c r="E474" s="171" t="e">
        <f t="shared" si="76"/>
        <v>#NUM!</v>
      </c>
      <c r="F474" s="171" t="e">
        <f t="shared" si="77"/>
        <v>#NUM!</v>
      </c>
      <c r="G474" s="186">
        <f>IF('prijem - EUR'!$I$87=TRUE,IF($C$11&gt;0,0.00025*C473,0),IF('prijem - EUR'!$I$88=TRUE,IF('prijem - EUR'!$F$88&gt;0,0.00025*C473,0),0))</f>
        <v>0</v>
      </c>
      <c r="K474" s="89">
        <v>458</v>
      </c>
      <c r="L474" s="186" t="e">
        <f t="shared" si="71"/>
        <v>#DIV/0!</v>
      </c>
      <c r="M474" s="171" t="e">
        <f t="shared" si="73"/>
        <v>#DIV/0!</v>
      </c>
      <c r="N474" s="171" t="e">
        <f t="shared" si="74"/>
        <v>#DIV/0!</v>
      </c>
      <c r="O474" s="171" t="e">
        <f t="shared" si="78"/>
        <v>#DIV/0!</v>
      </c>
      <c r="P474" s="171" t="e">
        <f t="shared" si="79"/>
        <v>#DIV/0!</v>
      </c>
      <c r="Q474" s="186">
        <f>IF('prijem - EUR'!$I$87=TRUE,IF($C$11&gt;0,0.00025*M473,0),IF('prijem - EUR'!$I$88=TRUE,IF('prijem - EUR'!$F$88&gt;0,0.00025*M473*-1,0),0))</f>
        <v>0</v>
      </c>
    </row>
    <row r="475" spans="1:17" x14ac:dyDescent="0.2">
      <c r="A475" s="89">
        <v>459</v>
      </c>
      <c r="B475" s="186" t="e">
        <f t="shared" si="70"/>
        <v>#NUM!</v>
      </c>
      <c r="C475" s="171" t="e">
        <f t="shared" si="72"/>
        <v>#NUM!</v>
      </c>
      <c r="D475" s="171" t="e">
        <f t="shared" si="75"/>
        <v>#NUM!</v>
      </c>
      <c r="E475" s="171" t="e">
        <f t="shared" si="76"/>
        <v>#NUM!</v>
      </c>
      <c r="F475" s="171" t="e">
        <f t="shared" si="77"/>
        <v>#NUM!</v>
      </c>
      <c r="G475" s="186">
        <f>IF('prijem - EUR'!$I$87=TRUE,IF($C$11&gt;0,0.00025*C474,0),IF('prijem - EUR'!$I$88=TRUE,IF('prijem - EUR'!$F$88&gt;0,0.00025*C474,0),0))</f>
        <v>0</v>
      </c>
      <c r="K475" s="89">
        <v>459</v>
      </c>
      <c r="L475" s="186" t="e">
        <f t="shared" si="71"/>
        <v>#DIV/0!</v>
      </c>
      <c r="M475" s="171" t="e">
        <f t="shared" si="73"/>
        <v>#DIV/0!</v>
      </c>
      <c r="N475" s="171" t="e">
        <f t="shared" si="74"/>
        <v>#DIV/0!</v>
      </c>
      <c r="O475" s="171" t="e">
        <f t="shared" si="78"/>
        <v>#DIV/0!</v>
      </c>
      <c r="P475" s="171" t="e">
        <f t="shared" si="79"/>
        <v>#DIV/0!</v>
      </c>
      <c r="Q475" s="186">
        <f>IF('prijem - EUR'!$I$87=TRUE,IF($C$11&gt;0,0.00025*M474,0),IF('prijem - EUR'!$I$88=TRUE,IF('prijem - EUR'!$F$88&gt;0,0.00025*M474*-1,0),0))</f>
        <v>0</v>
      </c>
    </row>
    <row r="476" spans="1:17" x14ac:dyDescent="0.2">
      <c r="A476" s="89">
        <v>460</v>
      </c>
      <c r="B476" s="186" t="e">
        <f t="shared" si="70"/>
        <v>#NUM!</v>
      </c>
      <c r="C476" s="171" t="e">
        <f t="shared" si="72"/>
        <v>#NUM!</v>
      </c>
      <c r="D476" s="171" t="e">
        <f t="shared" si="75"/>
        <v>#NUM!</v>
      </c>
      <c r="E476" s="171" t="e">
        <f t="shared" si="76"/>
        <v>#NUM!</v>
      </c>
      <c r="F476" s="171" t="e">
        <f t="shared" si="77"/>
        <v>#NUM!</v>
      </c>
      <c r="G476" s="186">
        <f>IF('prijem - EUR'!$I$87=TRUE,IF($C$11&gt;0,0.00025*C475,0),IF('prijem - EUR'!$I$88=TRUE,IF('prijem - EUR'!$F$88&gt;0,0.00025*C475,0),0))</f>
        <v>0</v>
      </c>
      <c r="K476" s="89">
        <v>460</v>
      </c>
      <c r="L476" s="186" t="e">
        <f t="shared" si="71"/>
        <v>#DIV/0!</v>
      </c>
      <c r="M476" s="171" t="e">
        <f t="shared" si="73"/>
        <v>#DIV/0!</v>
      </c>
      <c r="N476" s="171" t="e">
        <f t="shared" si="74"/>
        <v>#DIV/0!</v>
      </c>
      <c r="O476" s="171" t="e">
        <f t="shared" si="78"/>
        <v>#DIV/0!</v>
      </c>
      <c r="P476" s="171" t="e">
        <f t="shared" si="79"/>
        <v>#DIV/0!</v>
      </c>
      <c r="Q476" s="186">
        <f>IF('prijem - EUR'!$I$87=TRUE,IF($C$11&gt;0,0.00025*M475,0),IF('prijem - EUR'!$I$88=TRUE,IF('prijem - EUR'!$F$88&gt;0,0.00025*M475*-1,0),0))</f>
        <v>0</v>
      </c>
    </row>
    <row r="477" spans="1:17" x14ac:dyDescent="0.2">
      <c r="A477" s="89">
        <v>461</v>
      </c>
      <c r="B477" s="186" t="e">
        <f t="shared" si="70"/>
        <v>#NUM!</v>
      </c>
      <c r="C477" s="171" t="e">
        <f t="shared" si="72"/>
        <v>#NUM!</v>
      </c>
      <c r="D477" s="171" t="e">
        <f t="shared" si="75"/>
        <v>#NUM!</v>
      </c>
      <c r="E477" s="171" t="e">
        <f t="shared" si="76"/>
        <v>#NUM!</v>
      </c>
      <c r="F477" s="171" t="e">
        <f t="shared" si="77"/>
        <v>#NUM!</v>
      </c>
      <c r="G477" s="186">
        <f>IF('prijem - EUR'!$I$87=TRUE,IF($C$11&gt;0,0.00025*C476,0),IF('prijem - EUR'!$I$88=TRUE,IF('prijem - EUR'!$F$88&gt;0,0.00025*C476,0),0))</f>
        <v>0</v>
      </c>
      <c r="K477" s="89">
        <v>461</v>
      </c>
      <c r="L477" s="186" t="e">
        <f t="shared" si="71"/>
        <v>#DIV/0!</v>
      </c>
      <c r="M477" s="171" t="e">
        <f t="shared" si="73"/>
        <v>#DIV/0!</v>
      </c>
      <c r="N477" s="171" t="e">
        <f t="shared" si="74"/>
        <v>#DIV/0!</v>
      </c>
      <c r="O477" s="171" t="e">
        <f t="shared" si="78"/>
        <v>#DIV/0!</v>
      </c>
      <c r="P477" s="171" t="e">
        <f t="shared" si="79"/>
        <v>#DIV/0!</v>
      </c>
      <c r="Q477" s="186">
        <f>IF('prijem - EUR'!$I$87=TRUE,IF($C$11&gt;0,0.00025*M476,0),IF('prijem - EUR'!$I$88=TRUE,IF('prijem - EUR'!$F$88&gt;0,0.00025*M476*-1,0),0))</f>
        <v>0</v>
      </c>
    </row>
    <row r="478" spans="1:17" x14ac:dyDescent="0.2">
      <c r="A478" s="89">
        <v>462</v>
      </c>
      <c r="B478" s="186" t="e">
        <f t="shared" si="70"/>
        <v>#NUM!</v>
      </c>
      <c r="C478" s="171" t="e">
        <f t="shared" si="72"/>
        <v>#NUM!</v>
      </c>
      <c r="D478" s="171" t="e">
        <f t="shared" si="75"/>
        <v>#NUM!</v>
      </c>
      <c r="E478" s="171" t="e">
        <f t="shared" si="76"/>
        <v>#NUM!</v>
      </c>
      <c r="F478" s="171" t="e">
        <f t="shared" si="77"/>
        <v>#NUM!</v>
      </c>
      <c r="G478" s="186">
        <f>IF('prijem - EUR'!$I$87=TRUE,IF($C$11&gt;0,0.00025*C477,0),IF('prijem - EUR'!$I$88=TRUE,IF('prijem - EUR'!$F$88&gt;0,0.00025*C477,0),0))</f>
        <v>0</v>
      </c>
      <c r="K478" s="89">
        <v>462</v>
      </c>
      <c r="L478" s="186" t="e">
        <f t="shared" si="71"/>
        <v>#DIV/0!</v>
      </c>
      <c r="M478" s="171" t="e">
        <f t="shared" si="73"/>
        <v>#DIV/0!</v>
      </c>
      <c r="N478" s="171" t="e">
        <f t="shared" si="74"/>
        <v>#DIV/0!</v>
      </c>
      <c r="O478" s="171" t="e">
        <f t="shared" si="78"/>
        <v>#DIV/0!</v>
      </c>
      <c r="P478" s="171" t="e">
        <f t="shared" si="79"/>
        <v>#DIV/0!</v>
      </c>
      <c r="Q478" s="186">
        <f>IF('prijem - EUR'!$I$87=TRUE,IF($C$11&gt;0,0.00025*M477,0),IF('prijem - EUR'!$I$88=TRUE,IF('prijem - EUR'!$F$88&gt;0,0.00025*M477*-1,0),0))</f>
        <v>0</v>
      </c>
    </row>
    <row r="479" spans="1:17" x14ac:dyDescent="0.2">
      <c r="A479" s="89">
        <v>463</v>
      </c>
      <c r="B479" s="186" t="e">
        <f t="shared" si="70"/>
        <v>#NUM!</v>
      </c>
      <c r="C479" s="171" t="e">
        <f t="shared" si="72"/>
        <v>#NUM!</v>
      </c>
      <c r="D479" s="171" t="e">
        <f t="shared" si="75"/>
        <v>#NUM!</v>
      </c>
      <c r="E479" s="171" t="e">
        <f t="shared" si="76"/>
        <v>#NUM!</v>
      </c>
      <c r="F479" s="171" t="e">
        <f t="shared" si="77"/>
        <v>#NUM!</v>
      </c>
      <c r="G479" s="186">
        <f>IF('prijem - EUR'!$I$87=TRUE,IF($C$11&gt;0,0.00025*C478,0),IF('prijem - EUR'!$I$88=TRUE,IF('prijem - EUR'!$F$88&gt;0,0.00025*C478,0),0))</f>
        <v>0</v>
      </c>
      <c r="K479" s="89">
        <v>463</v>
      </c>
      <c r="L479" s="186" t="e">
        <f t="shared" si="71"/>
        <v>#DIV/0!</v>
      </c>
      <c r="M479" s="171" t="e">
        <f t="shared" si="73"/>
        <v>#DIV/0!</v>
      </c>
      <c r="N479" s="171" t="e">
        <f t="shared" si="74"/>
        <v>#DIV/0!</v>
      </c>
      <c r="O479" s="171" t="e">
        <f t="shared" si="78"/>
        <v>#DIV/0!</v>
      </c>
      <c r="P479" s="171" t="e">
        <f t="shared" si="79"/>
        <v>#DIV/0!</v>
      </c>
      <c r="Q479" s="186">
        <f>IF('prijem - EUR'!$I$87=TRUE,IF($C$11&gt;0,0.00025*M478,0),IF('prijem - EUR'!$I$88=TRUE,IF('prijem - EUR'!$F$88&gt;0,0.00025*M478*-1,0),0))</f>
        <v>0</v>
      </c>
    </row>
    <row r="480" spans="1:17" x14ac:dyDescent="0.2">
      <c r="A480" s="89">
        <v>464</v>
      </c>
      <c r="B480" s="186" t="e">
        <f t="shared" si="70"/>
        <v>#NUM!</v>
      </c>
      <c r="C480" s="171" t="e">
        <f t="shared" si="72"/>
        <v>#NUM!</v>
      </c>
      <c r="D480" s="171" t="e">
        <f t="shared" si="75"/>
        <v>#NUM!</v>
      </c>
      <c r="E480" s="171" t="e">
        <f t="shared" si="76"/>
        <v>#NUM!</v>
      </c>
      <c r="F480" s="171" t="e">
        <f t="shared" si="77"/>
        <v>#NUM!</v>
      </c>
      <c r="G480" s="186">
        <f>IF('prijem - EUR'!$I$87=TRUE,IF($C$11&gt;0,0.00025*C479,0),IF('prijem - EUR'!$I$88=TRUE,IF('prijem - EUR'!$F$88&gt;0,0.00025*C479,0),0))</f>
        <v>0</v>
      </c>
      <c r="K480" s="89">
        <v>464</v>
      </c>
      <c r="L480" s="186" t="e">
        <f t="shared" si="71"/>
        <v>#DIV/0!</v>
      </c>
      <c r="M480" s="171" t="e">
        <f t="shared" si="73"/>
        <v>#DIV/0!</v>
      </c>
      <c r="N480" s="171" t="e">
        <f t="shared" si="74"/>
        <v>#DIV/0!</v>
      </c>
      <c r="O480" s="171" t="e">
        <f t="shared" si="78"/>
        <v>#DIV/0!</v>
      </c>
      <c r="P480" s="171" t="e">
        <f t="shared" si="79"/>
        <v>#DIV/0!</v>
      </c>
      <c r="Q480" s="186">
        <f>IF('prijem - EUR'!$I$87=TRUE,IF($C$11&gt;0,0.00025*M479,0),IF('prijem - EUR'!$I$88=TRUE,IF('prijem - EUR'!$F$88&gt;0,0.00025*M479*-1,0),0))</f>
        <v>0</v>
      </c>
    </row>
    <row r="481" spans="1:17" x14ac:dyDescent="0.2">
      <c r="A481" s="89">
        <v>465</v>
      </c>
      <c r="B481" s="186" t="e">
        <f t="shared" si="70"/>
        <v>#NUM!</v>
      </c>
      <c r="C481" s="171" t="e">
        <f t="shared" si="72"/>
        <v>#NUM!</v>
      </c>
      <c r="D481" s="171" t="e">
        <f t="shared" si="75"/>
        <v>#NUM!</v>
      </c>
      <c r="E481" s="171" t="e">
        <f t="shared" si="76"/>
        <v>#NUM!</v>
      </c>
      <c r="F481" s="171" t="e">
        <f t="shared" si="77"/>
        <v>#NUM!</v>
      </c>
      <c r="G481" s="186">
        <f>IF('prijem - EUR'!$I$87=TRUE,IF($C$11&gt;0,0.00025*C480,0),IF('prijem - EUR'!$I$88=TRUE,IF('prijem - EUR'!$F$88&gt;0,0.00025*C480,0),0))</f>
        <v>0</v>
      </c>
      <c r="K481" s="89">
        <v>465</v>
      </c>
      <c r="L481" s="186" t="e">
        <f t="shared" si="71"/>
        <v>#DIV/0!</v>
      </c>
      <c r="M481" s="171" t="e">
        <f t="shared" si="73"/>
        <v>#DIV/0!</v>
      </c>
      <c r="N481" s="171" t="e">
        <f t="shared" si="74"/>
        <v>#DIV/0!</v>
      </c>
      <c r="O481" s="171" t="e">
        <f t="shared" si="78"/>
        <v>#DIV/0!</v>
      </c>
      <c r="P481" s="171" t="e">
        <f t="shared" si="79"/>
        <v>#DIV/0!</v>
      </c>
      <c r="Q481" s="186">
        <f>IF('prijem - EUR'!$I$87=TRUE,IF($C$11&gt;0,0.00025*M480,0),IF('prijem - EUR'!$I$88=TRUE,IF('prijem - EUR'!$F$88&gt;0,0.00025*M480*-1,0),0))</f>
        <v>0</v>
      </c>
    </row>
    <row r="482" spans="1:17" x14ac:dyDescent="0.2">
      <c r="A482" s="89">
        <v>466</v>
      </c>
      <c r="B482" s="186" t="e">
        <f t="shared" si="70"/>
        <v>#NUM!</v>
      </c>
      <c r="C482" s="171" t="e">
        <f t="shared" si="72"/>
        <v>#NUM!</v>
      </c>
      <c r="D482" s="171" t="e">
        <f t="shared" si="75"/>
        <v>#NUM!</v>
      </c>
      <c r="E482" s="171" t="e">
        <f t="shared" si="76"/>
        <v>#NUM!</v>
      </c>
      <c r="F482" s="171" t="e">
        <f t="shared" si="77"/>
        <v>#NUM!</v>
      </c>
      <c r="G482" s="186">
        <f>IF('prijem - EUR'!$I$87=TRUE,IF($C$11&gt;0,0.00025*C481,0),IF('prijem - EUR'!$I$88=TRUE,IF('prijem - EUR'!$F$88&gt;0,0.00025*C481,0),0))</f>
        <v>0</v>
      </c>
      <c r="K482" s="89">
        <v>466</v>
      </c>
      <c r="L482" s="186" t="e">
        <f t="shared" si="71"/>
        <v>#DIV/0!</v>
      </c>
      <c r="M482" s="171" t="e">
        <f t="shared" si="73"/>
        <v>#DIV/0!</v>
      </c>
      <c r="N482" s="171" t="e">
        <f t="shared" si="74"/>
        <v>#DIV/0!</v>
      </c>
      <c r="O482" s="171" t="e">
        <f t="shared" si="78"/>
        <v>#DIV/0!</v>
      </c>
      <c r="P482" s="171" t="e">
        <f t="shared" si="79"/>
        <v>#DIV/0!</v>
      </c>
      <c r="Q482" s="186">
        <f>IF('prijem - EUR'!$I$87=TRUE,IF($C$11&gt;0,0.00025*M481,0),IF('prijem - EUR'!$I$88=TRUE,IF('prijem - EUR'!$F$88&gt;0,0.00025*M481*-1,0),0))</f>
        <v>0</v>
      </c>
    </row>
    <row r="483" spans="1:17" x14ac:dyDescent="0.2">
      <c r="A483" s="89">
        <v>467</v>
      </c>
      <c r="B483" s="186" t="e">
        <f t="shared" si="70"/>
        <v>#NUM!</v>
      </c>
      <c r="C483" s="171" t="e">
        <f t="shared" si="72"/>
        <v>#NUM!</v>
      </c>
      <c r="D483" s="171" t="e">
        <f t="shared" si="75"/>
        <v>#NUM!</v>
      </c>
      <c r="E483" s="171" t="e">
        <f t="shared" si="76"/>
        <v>#NUM!</v>
      </c>
      <c r="F483" s="171" t="e">
        <f t="shared" si="77"/>
        <v>#NUM!</v>
      </c>
      <c r="G483" s="186">
        <f>IF('prijem - EUR'!$I$87=TRUE,IF($C$11&gt;0,0.00025*C482,0),IF('prijem - EUR'!$I$88=TRUE,IF('prijem - EUR'!$F$88&gt;0,0.00025*C482,0),0))</f>
        <v>0</v>
      </c>
      <c r="K483" s="89">
        <v>467</v>
      </c>
      <c r="L483" s="186" t="e">
        <f t="shared" si="71"/>
        <v>#DIV/0!</v>
      </c>
      <c r="M483" s="171" t="e">
        <f t="shared" si="73"/>
        <v>#DIV/0!</v>
      </c>
      <c r="N483" s="171" t="e">
        <f t="shared" si="74"/>
        <v>#DIV/0!</v>
      </c>
      <c r="O483" s="171" t="e">
        <f t="shared" si="78"/>
        <v>#DIV/0!</v>
      </c>
      <c r="P483" s="171" t="e">
        <f t="shared" si="79"/>
        <v>#DIV/0!</v>
      </c>
      <c r="Q483" s="186">
        <f>IF('prijem - EUR'!$I$87=TRUE,IF($C$11&gt;0,0.00025*M482,0),IF('prijem - EUR'!$I$88=TRUE,IF('prijem - EUR'!$F$88&gt;0,0.00025*M482*-1,0),0))</f>
        <v>0</v>
      </c>
    </row>
    <row r="484" spans="1:17" x14ac:dyDescent="0.2">
      <c r="A484" s="89">
        <v>468</v>
      </c>
      <c r="B484" s="186" t="e">
        <f t="shared" si="70"/>
        <v>#NUM!</v>
      </c>
      <c r="C484" s="171" t="e">
        <f t="shared" si="72"/>
        <v>#NUM!</v>
      </c>
      <c r="D484" s="171" t="e">
        <f t="shared" si="75"/>
        <v>#NUM!</v>
      </c>
      <c r="E484" s="171" t="e">
        <f t="shared" si="76"/>
        <v>#NUM!</v>
      </c>
      <c r="F484" s="171" t="e">
        <f t="shared" si="77"/>
        <v>#NUM!</v>
      </c>
      <c r="G484" s="186">
        <f>IF('prijem - EUR'!$I$87=TRUE,IF($C$11&gt;0,0.00025*C483,0),IF('prijem - EUR'!$I$88=TRUE,IF('prijem - EUR'!$F$88&gt;0,0.00025*C483,0),0))</f>
        <v>0</v>
      </c>
      <c r="K484" s="89">
        <v>468</v>
      </c>
      <c r="L484" s="186" t="e">
        <f t="shared" si="71"/>
        <v>#DIV/0!</v>
      </c>
      <c r="M484" s="171" t="e">
        <f t="shared" si="73"/>
        <v>#DIV/0!</v>
      </c>
      <c r="N484" s="171" t="e">
        <f t="shared" si="74"/>
        <v>#DIV/0!</v>
      </c>
      <c r="O484" s="171" t="e">
        <f t="shared" si="78"/>
        <v>#DIV/0!</v>
      </c>
      <c r="P484" s="171" t="e">
        <f t="shared" si="79"/>
        <v>#DIV/0!</v>
      </c>
      <c r="Q484" s="186">
        <f>IF('prijem - EUR'!$I$87=TRUE,IF($C$11&gt;0,0.00025*M483,0),IF('prijem - EUR'!$I$88=TRUE,IF('prijem - EUR'!$F$88&gt;0,0.00025*M483*-1,0),0))</f>
        <v>0</v>
      </c>
    </row>
    <row r="485" spans="1:17" x14ac:dyDescent="0.2">
      <c r="A485" s="89">
        <v>469</v>
      </c>
      <c r="B485" s="186" t="e">
        <f t="shared" si="70"/>
        <v>#NUM!</v>
      </c>
      <c r="C485" s="171" t="e">
        <f t="shared" si="72"/>
        <v>#NUM!</v>
      </c>
      <c r="D485" s="171" t="e">
        <f t="shared" si="75"/>
        <v>#NUM!</v>
      </c>
      <c r="E485" s="171" t="e">
        <f t="shared" si="76"/>
        <v>#NUM!</v>
      </c>
      <c r="F485" s="171" t="e">
        <f t="shared" si="77"/>
        <v>#NUM!</v>
      </c>
      <c r="G485" s="186">
        <f>IF('prijem - EUR'!$I$87=TRUE,IF($C$11&gt;0,0.00025*C484,0),IF('prijem - EUR'!$I$88=TRUE,IF('prijem - EUR'!$F$88&gt;0,0.00025*C484,0),0))</f>
        <v>0</v>
      </c>
      <c r="K485" s="89">
        <v>469</v>
      </c>
      <c r="L485" s="186" t="e">
        <f t="shared" si="71"/>
        <v>#DIV/0!</v>
      </c>
      <c r="M485" s="171" t="e">
        <f t="shared" si="73"/>
        <v>#DIV/0!</v>
      </c>
      <c r="N485" s="171" t="e">
        <f t="shared" si="74"/>
        <v>#DIV/0!</v>
      </c>
      <c r="O485" s="171" t="e">
        <f t="shared" si="78"/>
        <v>#DIV/0!</v>
      </c>
      <c r="P485" s="171" t="e">
        <f t="shared" si="79"/>
        <v>#DIV/0!</v>
      </c>
      <c r="Q485" s="186">
        <f>IF('prijem - EUR'!$I$87=TRUE,IF($C$11&gt;0,0.00025*M484,0),IF('prijem - EUR'!$I$88=TRUE,IF('prijem - EUR'!$F$88&gt;0,0.00025*M484*-1,0),0))</f>
        <v>0</v>
      </c>
    </row>
    <row r="486" spans="1:17" x14ac:dyDescent="0.2">
      <c r="A486" s="89">
        <v>470</v>
      </c>
      <c r="B486" s="186" t="e">
        <f t="shared" si="70"/>
        <v>#NUM!</v>
      </c>
      <c r="C486" s="171" t="e">
        <f t="shared" si="72"/>
        <v>#NUM!</v>
      </c>
      <c r="D486" s="171" t="e">
        <f t="shared" si="75"/>
        <v>#NUM!</v>
      </c>
      <c r="E486" s="171" t="e">
        <f t="shared" si="76"/>
        <v>#NUM!</v>
      </c>
      <c r="F486" s="171" t="e">
        <f t="shared" si="77"/>
        <v>#NUM!</v>
      </c>
      <c r="G486" s="186">
        <f>IF('prijem - EUR'!$I$87=TRUE,IF($C$11&gt;0,0.00025*C485,0),IF('prijem - EUR'!$I$88=TRUE,IF('prijem - EUR'!$F$88&gt;0,0.00025*C485,0),0))</f>
        <v>0</v>
      </c>
      <c r="K486" s="89">
        <v>470</v>
      </c>
      <c r="L486" s="186" t="e">
        <f t="shared" si="71"/>
        <v>#DIV/0!</v>
      </c>
      <c r="M486" s="171" t="e">
        <f t="shared" si="73"/>
        <v>#DIV/0!</v>
      </c>
      <c r="N486" s="171" t="e">
        <f t="shared" si="74"/>
        <v>#DIV/0!</v>
      </c>
      <c r="O486" s="171" t="e">
        <f t="shared" si="78"/>
        <v>#DIV/0!</v>
      </c>
      <c r="P486" s="171" t="e">
        <f t="shared" si="79"/>
        <v>#DIV/0!</v>
      </c>
      <c r="Q486" s="186">
        <f>IF('prijem - EUR'!$I$87=TRUE,IF($C$11&gt;0,0.00025*M485,0),IF('prijem - EUR'!$I$88=TRUE,IF('prijem - EUR'!$F$88&gt;0,0.00025*M485*-1,0),0))</f>
        <v>0</v>
      </c>
    </row>
    <row r="487" spans="1:17" x14ac:dyDescent="0.2">
      <c r="A487" s="89">
        <v>471</v>
      </c>
      <c r="B487" s="186" t="e">
        <f t="shared" si="70"/>
        <v>#NUM!</v>
      </c>
      <c r="C487" s="171" t="e">
        <f t="shared" si="72"/>
        <v>#NUM!</v>
      </c>
      <c r="D487" s="171" t="e">
        <f t="shared" si="75"/>
        <v>#NUM!</v>
      </c>
      <c r="E487" s="171" t="e">
        <f t="shared" si="76"/>
        <v>#NUM!</v>
      </c>
      <c r="F487" s="171" t="e">
        <f t="shared" si="77"/>
        <v>#NUM!</v>
      </c>
      <c r="G487" s="186">
        <f>IF('prijem - EUR'!$I$87=TRUE,IF($C$11&gt;0,0.00025*C486,0),IF('prijem - EUR'!$I$88=TRUE,IF('prijem - EUR'!$F$88&gt;0,0.00025*C486,0),0))</f>
        <v>0</v>
      </c>
      <c r="K487" s="89">
        <v>471</v>
      </c>
      <c r="L487" s="186" t="e">
        <f t="shared" si="71"/>
        <v>#DIV/0!</v>
      </c>
      <c r="M487" s="171" t="e">
        <f t="shared" si="73"/>
        <v>#DIV/0!</v>
      </c>
      <c r="N487" s="171" t="e">
        <f t="shared" si="74"/>
        <v>#DIV/0!</v>
      </c>
      <c r="O487" s="171" t="e">
        <f t="shared" si="78"/>
        <v>#DIV/0!</v>
      </c>
      <c r="P487" s="171" t="e">
        <f t="shared" si="79"/>
        <v>#DIV/0!</v>
      </c>
      <c r="Q487" s="186">
        <f>IF('prijem - EUR'!$I$87=TRUE,IF($C$11&gt;0,0.00025*M486,0),IF('prijem - EUR'!$I$88=TRUE,IF('prijem - EUR'!$F$88&gt;0,0.00025*M486*-1,0),0))</f>
        <v>0</v>
      </c>
    </row>
    <row r="488" spans="1:17" x14ac:dyDescent="0.2">
      <c r="A488" s="89">
        <v>472</v>
      </c>
      <c r="B488" s="186" t="e">
        <f t="shared" si="70"/>
        <v>#NUM!</v>
      </c>
      <c r="C488" s="171" t="e">
        <f t="shared" si="72"/>
        <v>#NUM!</v>
      </c>
      <c r="D488" s="171" t="e">
        <f t="shared" si="75"/>
        <v>#NUM!</v>
      </c>
      <c r="E488" s="171" t="e">
        <f t="shared" si="76"/>
        <v>#NUM!</v>
      </c>
      <c r="F488" s="171" t="e">
        <f t="shared" si="77"/>
        <v>#NUM!</v>
      </c>
      <c r="G488" s="186">
        <f>IF('prijem - EUR'!$I$87=TRUE,IF($C$11&gt;0,0.00025*C487,0),IF('prijem - EUR'!$I$88=TRUE,IF('prijem - EUR'!$F$88&gt;0,0.00025*C487,0),0))</f>
        <v>0</v>
      </c>
      <c r="K488" s="89">
        <v>472</v>
      </c>
      <c r="L488" s="186" t="e">
        <f t="shared" si="71"/>
        <v>#DIV/0!</v>
      </c>
      <c r="M488" s="171" t="e">
        <f t="shared" si="73"/>
        <v>#DIV/0!</v>
      </c>
      <c r="N488" s="171" t="e">
        <f t="shared" si="74"/>
        <v>#DIV/0!</v>
      </c>
      <c r="O488" s="171" t="e">
        <f t="shared" si="78"/>
        <v>#DIV/0!</v>
      </c>
      <c r="P488" s="171" t="e">
        <f t="shared" si="79"/>
        <v>#DIV/0!</v>
      </c>
      <c r="Q488" s="186">
        <f>IF('prijem - EUR'!$I$87=TRUE,IF($C$11&gt;0,0.00025*M487,0),IF('prijem - EUR'!$I$88=TRUE,IF('prijem - EUR'!$F$88&gt;0,0.00025*M487*-1,0),0))</f>
        <v>0</v>
      </c>
    </row>
    <row r="489" spans="1:17" x14ac:dyDescent="0.2">
      <c r="A489" s="89">
        <v>473</v>
      </c>
      <c r="B489" s="186" t="e">
        <f t="shared" si="70"/>
        <v>#NUM!</v>
      </c>
      <c r="C489" s="171" t="e">
        <f t="shared" si="72"/>
        <v>#NUM!</v>
      </c>
      <c r="D489" s="171" t="e">
        <f t="shared" si="75"/>
        <v>#NUM!</v>
      </c>
      <c r="E489" s="171" t="e">
        <f t="shared" si="76"/>
        <v>#NUM!</v>
      </c>
      <c r="F489" s="171" t="e">
        <f t="shared" si="77"/>
        <v>#NUM!</v>
      </c>
      <c r="G489" s="186">
        <f>IF('prijem - EUR'!$I$87=TRUE,IF($C$11&gt;0,0.00025*C488,0),IF('prijem - EUR'!$I$88=TRUE,IF('prijem - EUR'!$F$88&gt;0,0.00025*C488,0),0))</f>
        <v>0</v>
      </c>
      <c r="K489" s="89">
        <v>473</v>
      </c>
      <c r="L489" s="186" t="e">
        <f t="shared" si="71"/>
        <v>#DIV/0!</v>
      </c>
      <c r="M489" s="171" t="e">
        <f t="shared" si="73"/>
        <v>#DIV/0!</v>
      </c>
      <c r="N489" s="171" t="e">
        <f t="shared" si="74"/>
        <v>#DIV/0!</v>
      </c>
      <c r="O489" s="171" t="e">
        <f t="shared" si="78"/>
        <v>#DIV/0!</v>
      </c>
      <c r="P489" s="171" t="e">
        <f t="shared" si="79"/>
        <v>#DIV/0!</v>
      </c>
      <c r="Q489" s="186">
        <f>IF('prijem - EUR'!$I$87=TRUE,IF($C$11&gt;0,0.00025*M488,0),IF('prijem - EUR'!$I$88=TRUE,IF('prijem - EUR'!$F$88&gt;0,0.00025*M488*-1,0),0))</f>
        <v>0</v>
      </c>
    </row>
    <row r="490" spans="1:17" x14ac:dyDescent="0.2">
      <c r="A490" s="89">
        <v>474</v>
      </c>
      <c r="B490" s="186" t="e">
        <f t="shared" ref="B490:B496" si="80">IF(C489&gt;0.00001,F490-G490,0)</f>
        <v>#NUM!</v>
      </c>
      <c r="C490" s="171" t="e">
        <f t="shared" si="72"/>
        <v>#NUM!</v>
      </c>
      <c r="D490" s="171" t="e">
        <f t="shared" si="75"/>
        <v>#NUM!</v>
      </c>
      <c r="E490" s="171" t="e">
        <f t="shared" si="76"/>
        <v>#NUM!</v>
      </c>
      <c r="F490" s="171" t="e">
        <f t="shared" si="77"/>
        <v>#NUM!</v>
      </c>
      <c r="G490" s="186">
        <f>IF('prijem - EUR'!$I$87=TRUE,IF($C$11&gt;0,0.00025*C489,0),IF('prijem - EUR'!$I$88=TRUE,IF('prijem - EUR'!$F$88&gt;0,0.00025*C489,0),0))</f>
        <v>0</v>
      </c>
      <c r="K490" s="89">
        <v>474</v>
      </c>
      <c r="L490" s="186" t="e">
        <f t="shared" ref="L490:L496" si="81">IF(M489&gt;0.00001,P490-Q490,0)*-1</f>
        <v>#DIV/0!</v>
      </c>
      <c r="M490" s="171" t="e">
        <f t="shared" si="73"/>
        <v>#DIV/0!</v>
      </c>
      <c r="N490" s="171" t="e">
        <f t="shared" si="74"/>
        <v>#DIV/0!</v>
      </c>
      <c r="O490" s="171" t="e">
        <f t="shared" si="78"/>
        <v>#DIV/0!</v>
      </c>
      <c r="P490" s="171" t="e">
        <f t="shared" si="79"/>
        <v>#DIV/0!</v>
      </c>
      <c r="Q490" s="186">
        <f>IF('prijem - EUR'!$I$87=TRUE,IF($C$11&gt;0,0.00025*M489,0),IF('prijem - EUR'!$I$88=TRUE,IF('prijem - EUR'!$F$88&gt;0,0.00025*M489*-1,0),0))</f>
        <v>0</v>
      </c>
    </row>
    <row r="491" spans="1:17" x14ac:dyDescent="0.2">
      <c r="A491" s="89">
        <v>475</v>
      </c>
      <c r="B491" s="186" t="e">
        <f t="shared" si="80"/>
        <v>#NUM!</v>
      </c>
      <c r="C491" s="171" t="e">
        <f t="shared" si="72"/>
        <v>#NUM!</v>
      </c>
      <c r="D491" s="171" t="e">
        <f t="shared" si="75"/>
        <v>#NUM!</v>
      </c>
      <c r="E491" s="171" t="e">
        <f t="shared" si="76"/>
        <v>#NUM!</v>
      </c>
      <c r="F491" s="171" t="e">
        <f t="shared" si="77"/>
        <v>#NUM!</v>
      </c>
      <c r="G491" s="186">
        <f>IF('prijem - EUR'!$I$87=TRUE,IF($C$11&gt;0,0.00025*C490,0),IF('prijem - EUR'!$I$88=TRUE,IF('prijem - EUR'!$F$88&gt;0,0.00025*C490,0),0))</f>
        <v>0</v>
      </c>
      <c r="K491" s="89">
        <v>475</v>
      </c>
      <c r="L491" s="186" t="e">
        <f t="shared" si="81"/>
        <v>#DIV/0!</v>
      </c>
      <c r="M491" s="171" t="e">
        <f t="shared" si="73"/>
        <v>#DIV/0!</v>
      </c>
      <c r="N491" s="171" t="e">
        <f t="shared" si="74"/>
        <v>#DIV/0!</v>
      </c>
      <c r="O491" s="171" t="e">
        <f t="shared" si="78"/>
        <v>#DIV/0!</v>
      </c>
      <c r="P491" s="171" t="e">
        <f t="shared" si="79"/>
        <v>#DIV/0!</v>
      </c>
      <c r="Q491" s="186">
        <f>IF('prijem - EUR'!$I$87=TRUE,IF($C$11&gt;0,0.00025*M490,0),IF('prijem - EUR'!$I$88=TRUE,IF('prijem - EUR'!$F$88&gt;0,0.00025*M490*-1,0),0))</f>
        <v>0</v>
      </c>
    </row>
    <row r="492" spans="1:17" x14ac:dyDescent="0.2">
      <c r="A492" s="89">
        <v>476</v>
      </c>
      <c r="B492" s="186" t="e">
        <f t="shared" si="80"/>
        <v>#NUM!</v>
      </c>
      <c r="C492" s="171" t="e">
        <f t="shared" si="72"/>
        <v>#NUM!</v>
      </c>
      <c r="D492" s="171" t="e">
        <f t="shared" si="75"/>
        <v>#NUM!</v>
      </c>
      <c r="E492" s="171" t="e">
        <f t="shared" si="76"/>
        <v>#NUM!</v>
      </c>
      <c r="F492" s="171" t="e">
        <f t="shared" si="77"/>
        <v>#NUM!</v>
      </c>
      <c r="G492" s="186">
        <f>IF('prijem - EUR'!$I$87=TRUE,IF($C$11&gt;0,0.00025*C491,0),IF('prijem - EUR'!$I$88=TRUE,IF('prijem - EUR'!$F$88&gt;0,0.00025*C491,0),0))</f>
        <v>0</v>
      </c>
      <c r="K492" s="89">
        <v>476</v>
      </c>
      <c r="L492" s="186" t="e">
        <f t="shared" si="81"/>
        <v>#DIV/0!</v>
      </c>
      <c r="M492" s="171" t="e">
        <f t="shared" si="73"/>
        <v>#DIV/0!</v>
      </c>
      <c r="N492" s="171" t="e">
        <f t="shared" si="74"/>
        <v>#DIV/0!</v>
      </c>
      <c r="O492" s="171" t="e">
        <f t="shared" si="78"/>
        <v>#DIV/0!</v>
      </c>
      <c r="P492" s="171" t="e">
        <f t="shared" si="79"/>
        <v>#DIV/0!</v>
      </c>
      <c r="Q492" s="186">
        <f>IF('prijem - EUR'!$I$87=TRUE,IF($C$11&gt;0,0.00025*M491,0),IF('prijem - EUR'!$I$88=TRUE,IF('prijem - EUR'!$F$88&gt;0,0.00025*M491*-1,0),0))</f>
        <v>0</v>
      </c>
    </row>
    <row r="493" spans="1:17" x14ac:dyDescent="0.2">
      <c r="A493" s="89">
        <v>477</v>
      </c>
      <c r="B493" s="186" t="e">
        <f t="shared" si="80"/>
        <v>#NUM!</v>
      </c>
      <c r="C493" s="171" t="e">
        <f t="shared" si="72"/>
        <v>#NUM!</v>
      </c>
      <c r="D493" s="171" t="e">
        <f t="shared" si="75"/>
        <v>#NUM!</v>
      </c>
      <c r="E493" s="171" t="e">
        <f t="shared" si="76"/>
        <v>#NUM!</v>
      </c>
      <c r="F493" s="171" t="e">
        <f t="shared" si="77"/>
        <v>#NUM!</v>
      </c>
      <c r="G493" s="186">
        <f>IF('prijem - EUR'!$I$87=TRUE,IF($C$11&gt;0,0.00025*C492,0),IF('prijem - EUR'!$I$88=TRUE,IF('prijem - EUR'!$F$88&gt;0,0.00025*C492,0),0))</f>
        <v>0</v>
      </c>
      <c r="K493" s="89">
        <v>477</v>
      </c>
      <c r="L493" s="186" t="e">
        <f t="shared" si="81"/>
        <v>#DIV/0!</v>
      </c>
      <c r="M493" s="171" t="e">
        <f t="shared" si="73"/>
        <v>#DIV/0!</v>
      </c>
      <c r="N493" s="171" t="e">
        <f t="shared" si="74"/>
        <v>#DIV/0!</v>
      </c>
      <c r="O493" s="171" t="e">
        <f t="shared" si="78"/>
        <v>#DIV/0!</v>
      </c>
      <c r="P493" s="171" t="e">
        <f t="shared" si="79"/>
        <v>#DIV/0!</v>
      </c>
      <c r="Q493" s="186">
        <f>IF('prijem - EUR'!$I$87=TRUE,IF($C$11&gt;0,0.00025*M492,0),IF('prijem - EUR'!$I$88=TRUE,IF('prijem - EUR'!$F$88&gt;0,0.00025*M492*-1,0),0))</f>
        <v>0</v>
      </c>
    </row>
    <row r="494" spans="1:17" x14ac:dyDescent="0.2">
      <c r="A494" s="89">
        <v>478</v>
      </c>
      <c r="B494" s="186" t="e">
        <f t="shared" si="80"/>
        <v>#NUM!</v>
      </c>
      <c r="C494" s="171" t="e">
        <f t="shared" si="72"/>
        <v>#NUM!</v>
      </c>
      <c r="D494" s="171" t="e">
        <f t="shared" si="75"/>
        <v>#NUM!</v>
      </c>
      <c r="E494" s="171" t="e">
        <f t="shared" si="76"/>
        <v>#NUM!</v>
      </c>
      <c r="F494" s="171" t="e">
        <f t="shared" si="77"/>
        <v>#NUM!</v>
      </c>
      <c r="G494" s="186">
        <f>IF('prijem - EUR'!$I$87=TRUE,IF($C$11&gt;0,0.00025*C493,0),IF('prijem - EUR'!$I$88=TRUE,IF('prijem - EUR'!$F$88&gt;0,0.00025*C493,0),0))</f>
        <v>0</v>
      </c>
      <c r="K494" s="89">
        <v>478</v>
      </c>
      <c r="L494" s="186" t="e">
        <f t="shared" si="81"/>
        <v>#DIV/0!</v>
      </c>
      <c r="M494" s="171" t="e">
        <f t="shared" si="73"/>
        <v>#DIV/0!</v>
      </c>
      <c r="N494" s="171" t="e">
        <f t="shared" si="74"/>
        <v>#DIV/0!</v>
      </c>
      <c r="O494" s="171" t="e">
        <f t="shared" si="78"/>
        <v>#DIV/0!</v>
      </c>
      <c r="P494" s="171" t="e">
        <f t="shared" si="79"/>
        <v>#DIV/0!</v>
      </c>
      <c r="Q494" s="186">
        <f>IF('prijem - EUR'!$I$87=TRUE,IF($C$11&gt;0,0.00025*M493,0),IF('prijem - EUR'!$I$88=TRUE,IF('prijem - EUR'!$F$88&gt;0,0.00025*M493*-1,0),0))</f>
        <v>0</v>
      </c>
    </row>
    <row r="495" spans="1:17" x14ac:dyDescent="0.2">
      <c r="A495" s="89">
        <v>479</v>
      </c>
      <c r="B495" s="186" t="e">
        <f t="shared" si="80"/>
        <v>#NUM!</v>
      </c>
      <c r="C495" s="171" t="e">
        <f t="shared" si="72"/>
        <v>#NUM!</v>
      </c>
      <c r="D495" s="171" t="e">
        <f t="shared" si="75"/>
        <v>#NUM!</v>
      </c>
      <c r="E495" s="171" t="e">
        <f t="shared" si="76"/>
        <v>#NUM!</v>
      </c>
      <c r="F495" s="171" t="e">
        <f t="shared" si="77"/>
        <v>#NUM!</v>
      </c>
      <c r="G495" s="186">
        <f>IF('prijem - EUR'!$I$87=TRUE,IF($C$11&gt;0,0.00025*C494,0),IF('prijem - EUR'!$I$88=TRUE,IF('prijem - EUR'!$F$88&gt;0,0.00025*C494,0),0))</f>
        <v>0</v>
      </c>
      <c r="K495" s="89">
        <v>479</v>
      </c>
      <c r="L495" s="186" t="e">
        <f t="shared" si="81"/>
        <v>#DIV/0!</v>
      </c>
      <c r="M495" s="171" t="e">
        <f t="shared" si="73"/>
        <v>#DIV/0!</v>
      </c>
      <c r="N495" s="171" t="e">
        <f t="shared" si="74"/>
        <v>#DIV/0!</v>
      </c>
      <c r="O495" s="171" t="e">
        <f t="shared" si="78"/>
        <v>#DIV/0!</v>
      </c>
      <c r="P495" s="171" t="e">
        <f t="shared" si="79"/>
        <v>#DIV/0!</v>
      </c>
      <c r="Q495" s="186">
        <f>IF('prijem - EUR'!$I$87=TRUE,IF($C$11&gt;0,0.00025*M494,0),IF('prijem - EUR'!$I$88=TRUE,IF('prijem - EUR'!$F$88&gt;0,0.00025*M494*-1,0),0))</f>
        <v>0</v>
      </c>
    </row>
    <row r="496" spans="1:17" x14ac:dyDescent="0.2">
      <c r="A496" s="89">
        <v>480</v>
      </c>
      <c r="B496" s="186" t="e">
        <f t="shared" si="80"/>
        <v>#NUM!</v>
      </c>
      <c r="C496" s="171" t="e">
        <f t="shared" si="72"/>
        <v>#NUM!</v>
      </c>
      <c r="D496" s="171" t="e">
        <f t="shared" si="75"/>
        <v>#NUM!</v>
      </c>
      <c r="E496" s="171" t="e">
        <f t="shared" si="76"/>
        <v>#NUM!</v>
      </c>
      <c r="F496" s="171" t="e">
        <f t="shared" si="77"/>
        <v>#NUM!</v>
      </c>
      <c r="G496" s="186">
        <f>IF('prijem - EUR'!$I$87=TRUE,IF($C$11&gt;0,0.00025*C495,0),IF('prijem - EUR'!$I$88=TRUE,IF('prijem - EUR'!$F$88&gt;0,0.00025*C495,0),0))</f>
        <v>0</v>
      </c>
      <c r="K496" s="89">
        <v>480</v>
      </c>
      <c r="L496" s="186" t="e">
        <f t="shared" si="81"/>
        <v>#DIV/0!</v>
      </c>
      <c r="M496" s="171" t="e">
        <f t="shared" si="73"/>
        <v>#DIV/0!</v>
      </c>
      <c r="N496" s="171" t="e">
        <f t="shared" si="74"/>
        <v>#DIV/0!</v>
      </c>
      <c r="O496" s="171" t="e">
        <f t="shared" si="78"/>
        <v>#DIV/0!</v>
      </c>
      <c r="P496" s="171" t="e">
        <f t="shared" si="79"/>
        <v>#DIV/0!</v>
      </c>
      <c r="Q496" s="186">
        <f>IF('prijem - EUR'!$I$87=TRUE,IF($C$11&gt;0,0.00025*M495,0),IF('prijem - EUR'!$I$88=TRUE,IF('prijem - EUR'!$F$88&gt;0,0.00025*M495*-1,0),0))</f>
        <v>0</v>
      </c>
    </row>
    <row r="497" spans="1:17" x14ac:dyDescent="0.2">
      <c r="A497" s="89">
        <v>481</v>
      </c>
      <c r="B497" s="171"/>
      <c r="C497" s="171"/>
      <c r="D497" s="171"/>
      <c r="E497" s="171"/>
      <c r="F497" s="171"/>
      <c r="G497" s="171"/>
      <c r="K497" s="89">
        <v>481</v>
      </c>
      <c r="L497" s="171"/>
      <c r="M497" s="171"/>
      <c r="N497" s="171"/>
      <c r="O497" s="171"/>
      <c r="P497" s="171"/>
      <c r="Q497" s="171"/>
    </row>
  </sheetData>
  <pageMargins left="0.7" right="0.7" top="0.78740157499999996" bottom="0.78740157499999996" header="0.3" footer="0.3"/>
  <pageSetup paperSize="9" orientation="portrait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"/>
  <dimension ref="A1:R144"/>
  <sheetViews>
    <sheetView showGridLines="0" topLeftCell="A10" workbookViewId="0">
      <selection activeCell="F86" sqref="F86"/>
    </sheetView>
  </sheetViews>
  <sheetFormatPr defaultColWidth="0" defaultRowHeight="12.75" customHeight="1" outlineLevelRow="2" x14ac:dyDescent="0.2"/>
  <cols>
    <col min="1" max="1" width="6" customWidth="1"/>
    <col min="2" max="2" width="1.42578125" customWidth="1"/>
    <col min="3" max="3" width="2.7109375" customWidth="1"/>
    <col min="4" max="4" width="16.5703125" style="1" customWidth="1"/>
    <col min="5" max="5" width="40.5703125" style="1" customWidth="1"/>
    <col min="6" max="6" width="23.85546875" customWidth="1"/>
    <col min="7" max="7" width="2.7109375" customWidth="1"/>
    <col min="8" max="8" width="1.42578125" customWidth="1"/>
    <col min="9" max="9" width="9.140625" customWidth="1"/>
    <col min="10" max="10" width="2.42578125" customWidth="1"/>
    <col min="11" max="11" width="44.85546875" hidden="1" customWidth="1"/>
  </cols>
  <sheetData>
    <row r="1" spans="2:12" ht="54" customHeight="1" thickBot="1" x14ac:dyDescent="0.25">
      <c r="C1" s="380" t="s">
        <v>0</v>
      </c>
      <c r="D1" s="380"/>
      <c r="E1" s="380"/>
      <c r="F1" s="380"/>
      <c r="G1" s="380"/>
    </row>
    <row r="2" spans="2:12" x14ac:dyDescent="0.2">
      <c r="B2" s="5"/>
      <c r="C2" s="13"/>
      <c r="D2" s="14"/>
      <c r="E2" s="14"/>
      <c r="F2" s="13"/>
      <c r="G2" s="13"/>
      <c r="H2" s="11"/>
    </row>
    <row r="3" spans="2:12" ht="19.5" customHeight="1" x14ac:dyDescent="0.4">
      <c r="B3" s="6"/>
      <c r="C3" s="271"/>
      <c r="D3" s="272" t="s">
        <v>21</v>
      </c>
      <c r="E3" s="273"/>
      <c r="F3" s="276"/>
      <c r="G3" s="271"/>
      <c r="H3" s="12"/>
      <c r="I3" s="76"/>
    </row>
    <row r="4" spans="2:12" ht="19.5" customHeight="1" x14ac:dyDescent="0.4">
      <c r="B4" s="6"/>
      <c r="C4" s="267"/>
      <c r="D4" s="268"/>
      <c r="E4" s="274"/>
      <c r="F4" s="275" t="str">
        <f>IF(ISBLANK(F3),"DÁTUM PODANIA!","OK")</f>
        <v>DÁTUM PODANIA!</v>
      </c>
      <c r="G4" s="267"/>
      <c r="H4" s="12"/>
      <c r="I4" s="76"/>
    </row>
    <row r="5" spans="2:12" ht="19.5" customHeight="1" x14ac:dyDescent="0.2">
      <c r="B5" s="6"/>
      <c r="C5" s="267"/>
      <c r="D5" s="268" t="s">
        <v>22</v>
      </c>
      <c r="E5" s="274"/>
      <c r="F5" s="270"/>
      <c r="G5" s="267"/>
      <c r="H5" s="12"/>
    </row>
    <row r="6" spans="2:12" x14ac:dyDescent="0.2">
      <c r="B6" s="6"/>
      <c r="C6" s="15"/>
      <c r="D6" s="16"/>
      <c r="E6" s="16"/>
      <c r="F6" s="15"/>
      <c r="G6" s="15"/>
      <c r="H6" s="12"/>
    </row>
    <row r="7" spans="2:12" ht="15" x14ac:dyDescent="0.2">
      <c r="B7" s="6"/>
      <c r="C7" s="23"/>
      <c r="D7" s="390" t="s">
        <v>146</v>
      </c>
      <c r="E7" s="429"/>
      <c r="F7" s="32">
        <f>F9+F11+F12+F14+F15+F17+F18+F20</f>
        <v>0</v>
      </c>
      <c r="G7" s="30"/>
      <c r="H7" s="12"/>
      <c r="L7" s="4"/>
    </row>
    <row r="8" spans="2:12" ht="15" x14ac:dyDescent="0.2">
      <c r="B8" s="6"/>
      <c r="C8" s="23"/>
      <c r="D8" s="194" t="s">
        <v>147</v>
      </c>
      <c r="E8" s="241"/>
      <c r="F8" s="32">
        <f>F10+F11+F13+F14+F16+F17+F19+F20</f>
        <v>0</v>
      </c>
      <c r="G8" s="30"/>
      <c r="H8" s="12"/>
      <c r="L8" s="4"/>
    </row>
    <row r="9" spans="2:12" ht="15.75" thickBot="1" x14ac:dyDescent="0.25">
      <c r="B9" s="6"/>
      <c r="C9" s="23"/>
      <c r="D9" s="194" t="s">
        <v>113</v>
      </c>
      <c r="E9" s="195"/>
      <c r="F9" s="32" t="str">
        <f>IF(F24="","0",(F10*(F55-MIN(MAX(F24+F55-744,0),F55))/F55)+(F10*0.85*MIN(MAX(F24+F55-744,0),F55)/F55))</f>
        <v>0</v>
      </c>
      <c r="G9" s="30"/>
      <c r="H9" s="12"/>
      <c r="L9" s="4"/>
    </row>
    <row r="10" spans="2:12" ht="15" x14ac:dyDescent="0.2">
      <c r="B10" s="6"/>
      <c r="C10" s="23"/>
      <c r="D10" s="196" t="s">
        <v>142</v>
      </c>
      <c r="E10" s="197"/>
      <c r="F10" s="193"/>
      <c r="G10" s="30"/>
      <c r="H10" s="12"/>
      <c r="L10" s="4"/>
    </row>
    <row r="11" spans="2:12" ht="15.75" thickBot="1" x14ac:dyDescent="0.25">
      <c r="B11" s="6"/>
      <c r="C11" s="23"/>
      <c r="D11" s="198" t="s">
        <v>114</v>
      </c>
      <c r="E11" s="199"/>
      <c r="F11" s="193">
        <v>0</v>
      </c>
      <c r="G11" s="30"/>
      <c r="H11" s="12"/>
      <c r="L11" s="4"/>
    </row>
    <row r="12" spans="2:12" ht="15.75" thickBot="1" x14ac:dyDescent="0.25">
      <c r="B12" s="6"/>
      <c r="C12" s="23"/>
      <c r="D12" s="200" t="s">
        <v>115</v>
      </c>
      <c r="E12" s="201"/>
      <c r="F12" s="32" t="str">
        <f>IF(F27="","0",(F13*(F55-MIN(MAX(F27+F55-744,0),F55))/F55)+(F13*0.85*MIN(MAX(F27+F55-744,0),F55)/F55))</f>
        <v>0</v>
      </c>
      <c r="G12" s="30"/>
      <c r="H12" s="12"/>
      <c r="L12" s="4"/>
    </row>
    <row r="13" spans="2:12" ht="15" x14ac:dyDescent="0.2">
      <c r="B13" s="6"/>
      <c r="C13" s="23"/>
      <c r="D13" s="196" t="s">
        <v>144</v>
      </c>
      <c r="E13" s="197"/>
      <c r="F13" s="193"/>
      <c r="G13" s="30"/>
      <c r="H13" s="12"/>
      <c r="L13" s="4"/>
    </row>
    <row r="14" spans="2:12" ht="15.75" thickBot="1" x14ac:dyDescent="0.25">
      <c r="B14" s="6"/>
      <c r="C14" s="23"/>
      <c r="D14" s="198" t="s">
        <v>116</v>
      </c>
      <c r="E14" s="199"/>
      <c r="F14" s="193"/>
      <c r="G14" s="30"/>
      <c r="H14" s="12"/>
      <c r="L14" s="4"/>
    </row>
    <row r="15" spans="2:12" ht="15.75" thickBot="1" x14ac:dyDescent="0.25">
      <c r="B15" s="6"/>
      <c r="C15" s="23"/>
      <c r="D15" s="200" t="s">
        <v>119</v>
      </c>
      <c r="E15" s="201"/>
      <c r="F15" s="32" t="str">
        <f>IF(F30="","0",(F16*(F55-MIN(MAX(F30+F55-744,0),F55))/F55)+(F16*0.85*MIN(MAX(F30+F55-744,0),F55)/F55))</f>
        <v>0</v>
      </c>
      <c r="G15" s="30"/>
      <c r="H15" s="12"/>
      <c r="L15" s="4"/>
    </row>
    <row r="16" spans="2:12" ht="15" x14ac:dyDescent="0.2">
      <c r="B16" s="6"/>
      <c r="C16" s="23"/>
      <c r="D16" s="196" t="s">
        <v>143</v>
      </c>
      <c r="E16" s="197"/>
      <c r="F16" s="193"/>
      <c r="G16" s="30"/>
      <c r="H16" s="12"/>
      <c r="L16" s="4"/>
    </row>
    <row r="17" spans="2:12" ht="15.75" thickBot="1" x14ac:dyDescent="0.25">
      <c r="B17" s="6"/>
      <c r="C17" s="23"/>
      <c r="D17" s="198" t="s">
        <v>120</v>
      </c>
      <c r="E17" s="199"/>
      <c r="F17" s="193"/>
      <c r="G17" s="30"/>
      <c r="H17" s="12"/>
      <c r="L17" s="4"/>
    </row>
    <row r="18" spans="2:12" ht="15.75" thickBot="1" x14ac:dyDescent="0.25">
      <c r="B18" s="6"/>
      <c r="C18" s="23"/>
      <c r="D18" s="200" t="s">
        <v>135</v>
      </c>
      <c r="E18" s="201"/>
      <c r="F18" s="32" t="str">
        <f>IF(F33="","0",(F19*(F55-MIN(MAX(F33+F55-744,0),F55))/F55)+(F19*0.85*MIN(MAX(F33+F55-744,0),F55)/F55))</f>
        <v>0</v>
      </c>
      <c r="G18" s="30"/>
      <c r="H18" s="12"/>
      <c r="L18" s="4"/>
    </row>
    <row r="19" spans="2:12" ht="15" x14ac:dyDescent="0.2">
      <c r="B19" s="6"/>
      <c r="C19" s="23"/>
      <c r="D19" s="196" t="s">
        <v>145</v>
      </c>
      <c r="E19" s="197"/>
      <c r="F19" s="193"/>
      <c r="G19" s="30"/>
      <c r="H19" s="12"/>
      <c r="L19" s="4"/>
    </row>
    <row r="20" spans="2:12" ht="15.75" thickBot="1" x14ac:dyDescent="0.25">
      <c r="B20" s="6"/>
      <c r="C20" s="23"/>
      <c r="D20" s="198" t="s">
        <v>136</v>
      </c>
      <c r="E20" s="199"/>
      <c r="F20" s="193"/>
      <c r="G20" s="30"/>
      <c r="H20" s="12"/>
      <c r="L20" s="4"/>
    </row>
    <row r="21" spans="2:12" ht="15" x14ac:dyDescent="0.2">
      <c r="B21" s="6"/>
      <c r="C21" s="23"/>
      <c r="D21" s="381" t="s">
        <v>23</v>
      </c>
      <c r="E21" s="382"/>
      <c r="F21" s="148">
        <v>0</v>
      </c>
      <c r="G21" s="30"/>
      <c r="H21" s="12"/>
    </row>
    <row r="22" spans="2:12" ht="15" x14ac:dyDescent="0.2">
      <c r="B22" s="6"/>
      <c r="C22" s="23"/>
      <c r="D22" s="387" t="s">
        <v>117</v>
      </c>
      <c r="E22" s="389"/>
      <c r="F22" s="147"/>
      <c r="G22" s="30"/>
      <c r="H22" s="12"/>
    </row>
    <row r="23" spans="2:12" ht="15" x14ac:dyDescent="0.2">
      <c r="B23" s="6"/>
      <c r="C23" s="23"/>
      <c r="D23" s="390" t="s">
        <v>122</v>
      </c>
      <c r="E23" s="375"/>
      <c r="F23" s="33" t="str">
        <f>IF(F22="","",YEAR(F3)-YEAR(F22))</f>
        <v/>
      </c>
      <c r="G23" s="30"/>
      <c r="H23" s="12"/>
    </row>
    <row r="24" spans="2:12" ht="15" x14ac:dyDescent="0.2">
      <c r="B24" s="6"/>
      <c r="C24" s="23"/>
      <c r="D24" s="390" t="s">
        <v>123</v>
      </c>
      <c r="E24" s="375"/>
      <c r="F24" s="33" t="str">
        <f>IF(F22="","",(DATEDIF(F22,F3,"M"))+(IF((DAY(F22)-DAY(F3))&lt;=0,0,1)))</f>
        <v/>
      </c>
      <c r="G24" s="30"/>
      <c r="H24" s="12"/>
    </row>
    <row r="25" spans="2:12" ht="15" x14ac:dyDescent="0.2">
      <c r="B25" s="6"/>
      <c r="C25" s="23"/>
      <c r="D25" s="387" t="s">
        <v>118</v>
      </c>
      <c r="E25" s="389"/>
      <c r="F25" s="147"/>
      <c r="G25" s="30"/>
      <c r="H25" s="12"/>
    </row>
    <row r="26" spans="2:12" ht="15" x14ac:dyDescent="0.2">
      <c r="B26" s="6"/>
      <c r="C26" s="23"/>
      <c r="D26" s="390" t="s">
        <v>130</v>
      </c>
      <c r="E26" s="375"/>
      <c r="F26" s="33" t="str">
        <f>IF(F25="","",YEAR(F3)-YEAR(F25))</f>
        <v/>
      </c>
      <c r="G26" s="30"/>
      <c r="H26" s="12"/>
    </row>
    <row r="27" spans="2:12" ht="15" x14ac:dyDescent="0.2">
      <c r="B27" s="6"/>
      <c r="C27" s="23"/>
      <c r="D27" s="390" t="s">
        <v>124</v>
      </c>
      <c r="E27" s="375"/>
      <c r="F27" s="33" t="str">
        <f>IF(F25="","",(DATEDIF(F25,F3,"M"))+(IF((DAY(F25)-DAY(F3))&lt;=0,0,1)))</f>
        <v/>
      </c>
      <c r="G27" s="30"/>
      <c r="H27" s="12"/>
    </row>
    <row r="28" spans="2:12" ht="15" x14ac:dyDescent="0.2">
      <c r="B28" s="6"/>
      <c r="C28" s="23"/>
      <c r="D28" s="387" t="s">
        <v>121</v>
      </c>
      <c r="E28" s="389"/>
      <c r="F28" s="147"/>
      <c r="G28" s="30"/>
      <c r="H28" s="12"/>
    </row>
    <row r="29" spans="2:12" ht="15" x14ac:dyDescent="0.2">
      <c r="B29" s="6"/>
      <c r="C29" s="23"/>
      <c r="D29" s="390" t="s">
        <v>131</v>
      </c>
      <c r="E29" s="375"/>
      <c r="F29" s="33" t="str">
        <f>IF(F28="","",YEAR(F3)-YEAR(F28))</f>
        <v/>
      </c>
      <c r="G29" s="30"/>
      <c r="H29" s="12"/>
    </row>
    <row r="30" spans="2:12" ht="15" x14ac:dyDescent="0.2">
      <c r="B30" s="6"/>
      <c r="C30" s="23"/>
      <c r="D30" s="390" t="s">
        <v>125</v>
      </c>
      <c r="E30" s="375"/>
      <c r="F30" s="33" t="str">
        <f>IF(F28="","",(DATEDIF(F28,F3,"M"))+(IF((DAY(F28)-DAY(F3))&lt;=0,0,1)))</f>
        <v/>
      </c>
      <c r="G30" s="30"/>
      <c r="H30" s="12"/>
    </row>
    <row r="31" spans="2:12" ht="15" x14ac:dyDescent="0.2">
      <c r="B31" s="6"/>
      <c r="C31" s="23"/>
      <c r="D31" s="387" t="s">
        <v>132</v>
      </c>
      <c r="E31" s="389"/>
      <c r="F31" s="277"/>
      <c r="G31" s="30"/>
      <c r="H31" s="12"/>
    </row>
    <row r="32" spans="2:12" ht="15" x14ac:dyDescent="0.2">
      <c r="B32" s="6"/>
      <c r="C32" s="23"/>
      <c r="D32" s="390" t="s">
        <v>133</v>
      </c>
      <c r="E32" s="375"/>
      <c r="F32" s="33" t="str">
        <f>IF(F31="","",YEAR(F3)-YEAR(F31))</f>
        <v/>
      </c>
      <c r="G32" s="30"/>
      <c r="H32" s="12"/>
    </row>
    <row r="33" spans="2:12" ht="15" x14ac:dyDescent="0.2">
      <c r="B33" s="6"/>
      <c r="C33" s="23"/>
      <c r="D33" s="390" t="s">
        <v>134</v>
      </c>
      <c r="E33" s="375"/>
      <c r="F33" s="33" t="str">
        <f>IF(F31="","",(DATEDIF(F31,F3,"M"))+(IF((DAY(F31)-DAY(F3))&lt;=0,0,1)))</f>
        <v/>
      </c>
      <c r="G33" s="30"/>
      <c r="H33" s="12"/>
    </row>
    <row r="34" spans="2:12" ht="15" x14ac:dyDescent="0.2">
      <c r="B34" s="6"/>
      <c r="C34" s="23"/>
      <c r="D34" s="383" t="s">
        <v>24</v>
      </c>
      <c r="E34" s="384"/>
      <c r="F34" s="33">
        <v>0</v>
      </c>
      <c r="G34" s="30"/>
      <c r="H34" s="12"/>
      <c r="L34" s="1"/>
    </row>
    <row r="35" spans="2:12" ht="15" x14ac:dyDescent="0.2">
      <c r="B35" s="6"/>
      <c r="C35" s="23"/>
      <c r="D35" s="385" t="s">
        <v>4</v>
      </c>
      <c r="E35" s="386"/>
      <c r="F35" s="20">
        <f>$F$21+$F$34</f>
        <v>0</v>
      </c>
      <c r="G35" s="30"/>
      <c r="H35" s="12"/>
      <c r="J35" s="35"/>
      <c r="L35" s="1"/>
    </row>
    <row r="36" spans="2:12" ht="15" x14ac:dyDescent="0.2">
      <c r="B36" s="6"/>
      <c r="C36" s="23"/>
      <c r="D36" s="387" t="s">
        <v>47</v>
      </c>
      <c r="E36" s="388"/>
      <c r="F36" s="33">
        <v>0</v>
      </c>
      <c r="G36" s="30"/>
      <c r="H36" s="12"/>
    </row>
    <row r="37" spans="2:12" ht="15" x14ac:dyDescent="0.2">
      <c r="B37" s="6"/>
      <c r="C37" s="23"/>
      <c r="D37" s="385" t="s">
        <v>1</v>
      </c>
      <c r="E37" s="386"/>
      <c r="F37" s="36">
        <f>MAX(0.95*(F7-MAX($F$38,$F$39)),0)</f>
        <v>0</v>
      </c>
      <c r="G37" s="30"/>
      <c r="H37" s="12"/>
    </row>
    <row r="38" spans="2:12" ht="15" x14ac:dyDescent="0.2">
      <c r="B38" s="6"/>
      <c r="C38" s="23"/>
      <c r="D38" s="385" t="s">
        <v>152</v>
      </c>
      <c r="E38" s="386"/>
      <c r="F38" s="19">
        <f>IF($F$35=0,0,0.2*(F7-(210.2+($F$35-$F$36-1)*146.64+($F$36)*95.96+$F$48))+(210.2+($F$35-$F$36-1)*146.64+($F$36)*95.96+$F$48))</f>
        <v>0</v>
      </c>
      <c r="G38" s="30"/>
      <c r="H38" s="12"/>
    </row>
    <row r="39" spans="2:12" ht="15" x14ac:dyDescent="0.2">
      <c r="B39" s="6"/>
      <c r="C39" s="23"/>
      <c r="D39" s="385" t="s">
        <v>153</v>
      </c>
      <c r="E39" s="386"/>
      <c r="F39" s="19">
        <f>IF($F$35=0,0,$F$35*((185*($F$35^(-0.4)))^(1-0.4))*(($F$8/$F$35)^(0.4)))</f>
        <v>0</v>
      </c>
      <c r="G39" s="30"/>
      <c r="H39" s="12"/>
    </row>
    <row r="40" spans="2:12" ht="13.5" thickBot="1" x14ac:dyDescent="0.25">
      <c r="B40" s="6"/>
      <c r="C40" s="24"/>
      <c r="D40" s="25"/>
      <c r="E40" s="25"/>
      <c r="F40" s="28"/>
      <c r="G40" s="29"/>
      <c r="H40" s="12"/>
    </row>
    <row r="41" spans="2:12" ht="13.5" thickBot="1" x14ac:dyDescent="0.25">
      <c r="B41" s="6"/>
      <c r="C41" s="15"/>
      <c r="D41" s="16"/>
      <c r="E41" s="16"/>
      <c r="F41" s="15"/>
      <c r="G41" s="15"/>
      <c r="H41" s="12"/>
    </row>
    <row r="42" spans="2:12" x14ac:dyDescent="0.2">
      <c r="B42" s="6"/>
      <c r="C42" s="21"/>
      <c r="D42" s="22"/>
      <c r="E42" s="22"/>
      <c r="F42" s="26"/>
      <c r="G42" s="27"/>
      <c r="H42" s="12"/>
    </row>
    <row r="43" spans="2:12" ht="15" x14ac:dyDescent="0.2">
      <c r="B43" s="6"/>
      <c r="C43" s="23"/>
      <c r="D43" s="383" t="s">
        <v>43</v>
      </c>
      <c r="E43" s="384"/>
      <c r="F43" s="32">
        <v>0</v>
      </c>
      <c r="G43" s="30"/>
      <c r="H43" s="12"/>
    </row>
    <row r="44" spans="2:12" ht="15" x14ac:dyDescent="0.2">
      <c r="B44" s="6"/>
      <c r="C44" s="23"/>
      <c r="D44" s="383" t="s">
        <v>44</v>
      </c>
      <c r="E44" s="384"/>
      <c r="F44" s="32">
        <v>0</v>
      </c>
      <c r="G44" s="30"/>
      <c r="H44" s="12"/>
    </row>
    <row r="45" spans="2:12" ht="15" x14ac:dyDescent="0.2">
      <c r="B45" s="6"/>
      <c r="C45" s="23"/>
      <c r="D45" s="384" t="s">
        <v>26</v>
      </c>
      <c r="E45" s="384"/>
      <c r="F45" s="32">
        <v>0</v>
      </c>
      <c r="G45" s="30"/>
      <c r="H45" s="12"/>
    </row>
    <row r="46" spans="2:12" ht="15" x14ac:dyDescent="0.2">
      <c r="B46" s="6"/>
      <c r="C46" s="23"/>
      <c r="D46" s="384" t="s">
        <v>27</v>
      </c>
      <c r="E46" s="384"/>
      <c r="F46" s="32">
        <v>0</v>
      </c>
      <c r="G46" s="30"/>
      <c r="H46" s="12"/>
    </row>
    <row r="47" spans="2:12" ht="15" x14ac:dyDescent="0.2">
      <c r="B47" s="6"/>
      <c r="C47" s="23"/>
      <c r="D47" s="384" t="s">
        <v>28</v>
      </c>
      <c r="E47" s="384"/>
      <c r="F47" s="32">
        <v>0</v>
      </c>
      <c r="G47" s="30"/>
      <c r="H47" s="12"/>
    </row>
    <row r="48" spans="2:12" ht="15" x14ac:dyDescent="0.2">
      <c r="B48" s="6"/>
      <c r="C48" s="23"/>
      <c r="D48" s="247" t="s">
        <v>154</v>
      </c>
      <c r="E48" s="246"/>
      <c r="F48" s="250">
        <f>IF($F$47=0,0,IF($F$47&gt;30,$F$47,30))</f>
        <v>0</v>
      </c>
      <c r="G48" s="30"/>
      <c r="H48" s="12"/>
    </row>
    <row r="49" spans="2:8" ht="15" x14ac:dyDescent="0.2">
      <c r="B49" s="6"/>
      <c r="C49" s="23"/>
      <c r="D49" s="385" t="s">
        <v>2</v>
      </c>
      <c r="E49" s="386"/>
      <c r="F49" s="19">
        <f>MAX((MIN($F$37,0.75*F7)-$F$43-($F$44*1.2)-0.03*$F$45-0.03*$F$46),0)</f>
        <v>0</v>
      </c>
      <c r="G49" s="30"/>
      <c r="H49" s="12"/>
    </row>
    <row r="50" spans="2:8" ht="13.5" thickBot="1" x14ac:dyDescent="0.25">
      <c r="B50" s="6"/>
      <c r="C50" s="24"/>
      <c r="D50" s="25"/>
      <c r="E50" s="25"/>
      <c r="F50" s="28"/>
      <c r="G50" s="29"/>
      <c r="H50" s="12"/>
    </row>
    <row r="51" spans="2:8" ht="13.5" thickBot="1" x14ac:dyDescent="0.25">
      <c r="B51" s="6"/>
      <c r="C51" s="15"/>
      <c r="D51" s="16"/>
      <c r="E51" s="16"/>
      <c r="F51" s="15"/>
      <c r="G51" s="15"/>
      <c r="H51" s="12"/>
    </row>
    <row r="52" spans="2:8" x14ac:dyDescent="0.2">
      <c r="B52" s="6"/>
      <c r="C52" s="21"/>
      <c r="D52" s="22"/>
      <c r="E52" s="22"/>
      <c r="F52" s="26"/>
      <c r="G52" s="27"/>
      <c r="H52" s="12"/>
    </row>
    <row r="53" spans="2:8" ht="15" x14ac:dyDescent="0.2">
      <c r="B53" s="6"/>
      <c r="C53" s="23"/>
      <c r="D53" s="383" t="s">
        <v>29</v>
      </c>
      <c r="E53" s="384"/>
      <c r="F53" s="32"/>
      <c r="G53" s="30"/>
      <c r="H53" s="12"/>
    </row>
    <row r="54" spans="2:8" ht="15" x14ac:dyDescent="0.2">
      <c r="B54" s="6"/>
      <c r="C54" s="23"/>
      <c r="D54" s="383" t="s">
        <v>30</v>
      </c>
      <c r="E54" s="384"/>
      <c r="F54" s="36">
        <f>vyska_uveru_z+F90</f>
        <v>0</v>
      </c>
      <c r="G54" s="30"/>
      <c r="H54" s="12"/>
    </row>
    <row r="55" spans="2:8" ht="15" x14ac:dyDescent="0.2">
      <c r="B55" s="6"/>
      <c r="C55" s="23"/>
      <c r="D55" s="383" t="s">
        <v>31</v>
      </c>
      <c r="E55" s="384"/>
      <c r="F55" s="33">
        <v>0</v>
      </c>
      <c r="G55" s="30"/>
      <c r="H55" s="12"/>
    </row>
    <row r="56" spans="2:8" ht="15" x14ac:dyDescent="0.2">
      <c r="B56" s="6"/>
      <c r="C56" s="23"/>
      <c r="D56" s="387" t="s">
        <v>81</v>
      </c>
      <c r="E56" s="389"/>
      <c r="F56" s="32"/>
      <c r="G56" s="30"/>
      <c r="H56" s="12"/>
    </row>
    <row r="57" spans="2:8" ht="15" x14ac:dyDescent="0.2">
      <c r="B57" s="6"/>
      <c r="C57" s="23"/>
      <c r="D57" s="387" t="s">
        <v>82</v>
      </c>
      <c r="E57" s="389"/>
      <c r="F57" s="32"/>
      <c r="G57" s="30"/>
      <c r="H57" s="12"/>
    </row>
    <row r="58" spans="2:8" ht="15" x14ac:dyDescent="0.2">
      <c r="B58" s="6"/>
      <c r="C58" s="23"/>
      <c r="D58" s="419" t="s">
        <v>98</v>
      </c>
      <c r="E58" s="407"/>
      <c r="F58" s="190"/>
      <c r="G58" s="30"/>
      <c r="H58" s="12"/>
    </row>
    <row r="59" spans="2:8" ht="15" x14ac:dyDescent="0.2">
      <c r="B59" s="6"/>
      <c r="C59" s="23"/>
      <c r="D59" s="419" t="s">
        <v>138</v>
      </c>
      <c r="E59" s="407"/>
      <c r="F59" s="190">
        <v>0</v>
      </c>
      <c r="G59" s="30"/>
      <c r="H59" s="12"/>
    </row>
    <row r="60" spans="2:8" ht="15" x14ac:dyDescent="0.2">
      <c r="B60" s="6"/>
      <c r="C60" s="23"/>
      <c r="D60" s="418" t="s">
        <v>106</v>
      </c>
      <c r="E60" s="373"/>
      <c r="F60" s="187">
        <f>(F59/12)*F55</f>
        <v>0</v>
      </c>
      <c r="G60" s="30"/>
      <c r="H60" s="12"/>
    </row>
    <row r="61" spans="2:8" ht="15" x14ac:dyDescent="0.2">
      <c r="B61" s="6"/>
      <c r="C61" s="23"/>
      <c r="D61" s="149" t="s">
        <v>32</v>
      </c>
      <c r="E61" s="150"/>
      <c r="F61" s="175">
        <v>0.8</v>
      </c>
      <c r="G61" s="30"/>
      <c r="H61" s="12"/>
    </row>
    <row r="62" spans="2:8" ht="15" x14ac:dyDescent="0.2">
      <c r="B62" s="6"/>
      <c r="C62" s="23"/>
      <c r="D62" s="383" t="s">
        <v>79</v>
      </c>
      <c r="E62" s="384"/>
      <c r="F62" s="178">
        <f>IF(ltv_high_z=80%,100%,IF(ltv_high_z=70%,"80%",IF(C100=2,"75%","90%")))</f>
        <v>1</v>
      </c>
      <c r="G62" s="30"/>
      <c r="H62" s="12"/>
    </row>
    <row r="63" spans="2:8" ht="15" outlineLevel="1" x14ac:dyDescent="0.2">
      <c r="B63" s="6"/>
      <c r="C63" s="23"/>
      <c r="D63" s="387" t="s">
        <v>83</v>
      </c>
      <c r="E63" s="389"/>
      <c r="F63" s="176"/>
      <c r="G63" s="30"/>
      <c r="H63" s="12"/>
    </row>
    <row r="64" spans="2:8" ht="15" outlineLevel="1" x14ac:dyDescent="0.2">
      <c r="B64" s="6"/>
      <c r="C64" s="23"/>
      <c r="D64" s="387" t="s">
        <v>84</v>
      </c>
      <c r="E64" s="389"/>
      <c r="F64" s="176"/>
      <c r="G64" s="30"/>
      <c r="H64" s="12"/>
    </row>
    <row r="65" spans="2:8" ht="15" outlineLevel="1" x14ac:dyDescent="0.2">
      <c r="B65" s="6"/>
      <c r="C65" s="23"/>
      <c r="D65" s="419" t="s">
        <v>99</v>
      </c>
      <c r="E65" s="407"/>
      <c r="F65" s="192"/>
      <c r="G65" s="30"/>
      <c r="H65" s="12"/>
    </row>
    <row r="66" spans="2:8" ht="15" outlineLevel="1" x14ac:dyDescent="0.2">
      <c r="B66" s="6"/>
      <c r="C66" s="23"/>
      <c r="D66" s="419" t="s">
        <v>137</v>
      </c>
      <c r="E66" s="407"/>
      <c r="F66" s="192"/>
      <c r="G66" s="30"/>
      <c r="H66" s="12"/>
    </row>
    <row r="67" spans="2:8" ht="15" outlineLevel="1" x14ac:dyDescent="0.2">
      <c r="B67" s="6"/>
      <c r="C67" s="23"/>
      <c r="D67" s="418" t="s">
        <v>107</v>
      </c>
      <c r="E67" s="373"/>
      <c r="F67" s="188">
        <f>(F66/12)*F55</f>
        <v>0</v>
      </c>
      <c r="G67" s="30"/>
      <c r="H67" s="12"/>
    </row>
    <row r="68" spans="2:8" ht="15" outlineLevel="1" x14ac:dyDescent="0.2">
      <c r="B68" s="6"/>
      <c r="C68" s="23"/>
      <c r="D68" s="387" t="s">
        <v>80</v>
      </c>
      <c r="E68" s="373"/>
      <c r="F68" s="174">
        <v>0.7</v>
      </c>
      <c r="G68" s="30"/>
      <c r="H68" s="12"/>
    </row>
    <row r="69" spans="2:8" ht="15" outlineLevel="1" x14ac:dyDescent="0.2">
      <c r="B69" s="6"/>
      <c r="C69" s="23"/>
      <c r="D69" s="383" t="s">
        <v>79</v>
      </c>
      <c r="E69" s="384"/>
      <c r="F69" s="178" t="str">
        <f>IF(F68=80%,100%,IF(F68=70%,"80%",IF(C100=2,"75%","90%")))</f>
        <v>80%</v>
      </c>
      <c r="G69" s="30"/>
      <c r="H69" s="12"/>
    </row>
    <row r="70" spans="2:8" ht="15" outlineLevel="2" x14ac:dyDescent="0.2">
      <c r="B70" s="6"/>
      <c r="C70" s="23"/>
      <c r="D70" s="387" t="s">
        <v>85</v>
      </c>
      <c r="E70" s="389"/>
      <c r="F70" s="176"/>
      <c r="G70" s="30"/>
      <c r="H70" s="12"/>
    </row>
    <row r="71" spans="2:8" ht="15" outlineLevel="2" x14ac:dyDescent="0.2">
      <c r="B71" s="6"/>
      <c r="C71" s="23"/>
      <c r="D71" s="387" t="s">
        <v>86</v>
      </c>
      <c r="E71" s="389"/>
      <c r="F71" s="176"/>
      <c r="G71" s="30"/>
      <c r="H71" s="12"/>
    </row>
    <row r="72" spans="2:8" ht="15" outlineLevel="2" x14ac:dyDescent="0.2">
      <c r="B72" s="6"/>
      <c r="C72" s="23"/>
      <c r="D72" s="419" t="s">
        <v>100</v>
      </c>
      <c r="E72" s="407"/>
      <c r="F72" s="192"/>
      <c r="G72" s="30"/>
      <c r="H72" s="12"/>
    </row>
    <row r="73" spans="2:8" ht="15" outlineLevel="2" x14ac:dyDescent="0.2">
      <c r="B73" s="6"/>
      <c r="C73" s="23"/>
      <c r="D73" s="419" t="s">
        <v>139</v>
      </c>
      <c r="E73" s="407"/>
      <c r="F73" s="192"/>
      <c r="G73" s="30"/>
      <c r="H73" s="12"/>
    </row>
    <row r="74" spans="2:8" ht="15" outlineLevel="2" x14ac:dyDescent="0.2">
      <c r="B74" s="6"/>
      <c r="C74" s="23"/>
      <c r="D74" s="418" t="s">
        <v>110</v>
      </c>
      <c r="E74" s="373"/>
      <c r="F74" s="188">
        <f>(F73/12)*F55</f>
        <v>0</v>
      </c>
      <c r="G74" s="30"/>
      <c r="H74" s="12"/>
    </row>
    <row r="75" spans="2:8" ht="15" outlineLevel="2" x14ac:dyDescent="0.2">
      <c r="B75" s="6"/>
      <c r="C75" s="23"/>
      <c r="D75" s="387" t="s">
        <v>80</v>
      </c>
      <c r="E75" s="373"/>
      <c r="F75" s="174">
        <v>0.65</v>
      </c>
      <c r="G75" s="30"/>
      <c r="H75" s="12"/>
    </row>
    <row r="76" spans="2:8" ht="15" outlineLevel="2" x14ac:dyDescent="0.2">
      <c r="B76" s="6"/>
      <c r="C76" s="23"/>
      <c r="D76" s="383" t="s">
        <v>79</v>
      </c>
      <c r="E76" s="384"/>
      <c r="F76" s="179" t="str">
        <f>IF(F75=80%,100%,IF(F75=70%,"80%",IF(C100=2,"75%","90%")))</f>
        <v>90%</v>
      </c>
      <c r="G76" s="30"/>
      <c r="H76" s="12"/>
    </row>
    <row r="77" spans="2:8" ht="15" x14ac:dyDescent="0.2">
      <c r="B77" s="6"/>
      <c r="C77" s="23"/>
      <c r="D77" s="387" t="s">
        <v>33</v>
      </c>
      <c r="E77" s="389"/>
      <c r="F77" s="62">
        <f>IFERROR(IF(ISBLANK($F$57)=TRUE,IF(ISBLANK($F$61)=TRUE,0,(F54/(F56+F63+F70))),((zabezpecenie_z-F57+F63-F64+F70-F71+vyska_uveru_LI_z)/(zabezpecenie_z+F63+F70))),0)</f>
        <v>0</v>
      </c>
      <c r="G77" s="30"/>
      <c r="H77" s="12"/>
    </row>
    <row r="78" spans="2:8" ht="15" x14ac:dyDescent="0.2">
      <c r="B78" s="6"/>
      <c r="C78" s="23"/>
      <c r="D78" s="394" t="s">
        <v>34</v>
      </c>
      <c r="E78" s="395"/>
      <c r="F78" s="34"/>
      <c r="G78" s="30"/>
      <c r="H78" s="12"/>
    </row>
    <row r="79" spans="2:8" ht="15" x14ac:dyDescent="0.2">
      <c r="B79" s="6"/>
      <c r="C79" s="23"/>
      <c r="D79" s="396" t="s">
        <v>75</v>
      </c>
      <c r="E79" s="397"/>
      <c r="F79" s="41">
        <v>2.4900000000000002</v>
      </c>
      <c r="G79" s="45"/>
      <c r="H79" s="12"/>
    </row>
    <row r="80" spans="2:8" ht="15" x14ac:dyDescent="0.2">
      <c r="B80" s="6"/>
      <c r="C80" s="23"/>
      <c r="D80" s="387" t="s">
        <v>20</v>
      </c>
      <c r="E80" s="389"/>
      <c r="F80" s="41"/>
      <c r="G80" s="30"/>
      <c r="H80" s="12"/>
    </row>
    <row r="81" spans="1:10" ht="13.5" thickBot="1" x14ac:dyDescent="0.25">
      <c r="B81" s="6"/>
      <c r="C81" s="24"/>
      <c r="D81" s="43"/>
      <c r="E81" s="43"/>
      <c r="F81" s="44"/>
      <c r="G81" s="29"/>
      <c r="H81" s="12"/>
    </row>
    <row r="82" spans="1:10" ht="13.5" thickBot="1" x14ac:dyDescent="0.25">
      <c r="B82" s="7"/>
      <c r="C82" s="8"/>
      <c r="D82" s="9"/>
      <c r="E82" s="9"/>
      <c r="F82" s="8"/>
      <c r="G82" s="8"/>
      <c r="H82" s="10"/>
    </row>
    <row r="83" spans="1:10" ht="13.5" thickBot="1" x14ac:dyDescent="0.25">
      <c r="A83" s="2"/>
      <c r="B83" s="2"/>
      <c r="C83" s="2"/>
      <c r="D83" s="3"/>
      <c r="E83" s="3"/>
      <c r="F83" s="2"/>
      <c r="G83" s="2"/>
      <c r="H83" s="2"/>
      <c r="I83" s="2"/>
      <c r="J83" s="2"/>
    </row>
    <row r="84" spans="1:10" ht="13.5" thickBot="1" x14ac:dyDescent="0.25">
      <c r="A84" s="2"/>
      <c r="B84" s="55"/>
      <c r="C84" s="47"/>
      <c r="D84" s="46"/>
      <c r="E84" s="46"/>
      <c r="F84" s="47"/>
      <c r="G84" s="47"/>
      <c r="H84" s="48"/>
      <c r="I84" s="2"/>
      <c r="J84" s="2"/>
    </row>
    <row r="85" spans="1:10" x14ac:dyDescent="0.2">
      <c r="A85" s="2"/>
      <c r="B85" s="54"/>
      <c r="C85" s="21"/>
      <c r="D85" s="22"/>
      <c r="E85" s="22"/>
      <c r="F85" s="26"/>
      <c r="G85" s="27"/>
      <c r="H85" s="49"/>
      <c r="I85" s="2"/>
      <c r="J85" s="2"/>
    </row>
    <row r="86" spans="1:10" ht="30.75" customHeight="1" x14ac:dyDescent="0.25">
      <c r="A86" s="2"/>
      <c r="B86" s="54"/>
      <c r="C86" s="23"/>
      <c r="D86" s="376" t="s">
        <v>35</v>
      </c>
      <c r="E86" s="391"/>
      <c r="F86" s="71">
        <f>IFERROR(IF(MIN(F23,F26,F29,F32)&lt;60,(IF(ISBLANK($F$55)=TRUE,"",MAX(($F$49/((E101/12)/(1-(1+(E101/12))^(-$F$55))))/E104,0))),(IF(doba_m_z&gt;60,IF(ISBLANK($F$55)=TRUE,"",MAX(($F$49/((E101/12)/(1-(1+(E101/12))^(-60))))/E104,0)),IF(ISBLANK($F$55)=TRUE,"",MAX(($F$49/((E101/12)/(1-(1+(E101/12))^(-doba_m_z))))/E104,0))))),0)</f>
        <v>0</v>
      </c>
      <c r="G86" s="30"/>
      <c r="H86" s="49"/>
      <c r="I86" s="2"/>
      <c r="J86" s="2"/>
    </row>
    <row r="87" spans="1:10" ht="30.75" customHeight="1" x14ac:dyDescent="0.25">
      <c r="A87" s="2"/>
      <c r="B87" s="54"/>
      <c r="C87" s="23"/>
      <c r="D87" s="376" t="s">
        <v>36</v>
      </c>
      <c r="E87" s="391"/>
      <c r="F87" s="71">
        <f>IFERROR(MIN(IF(F7&lt;750,IF(ISBLANK($F$55)=TRUE,"",MIN(0.9*$F$57+0.9*$F$64+0.9*$F$71,$F$86)),IF(ISBLANK($F$55)=TRUE,"",MIN($F$62*$F$57+$F$69*$F$64+$F$76*$F$71,$F$86))),MIN($F$62*$F$57+$F$69*$F$64+$F$76*$F$71,$F$86)),"")</f>
        <v>0</v>
      </c>
      <c r="G87" s="30"/>
      <c r="H87" s="49"/>
      <c r="I87" s="2"/>
      <c r="J87" s="2"/>
    </row>
    <row r="88" spans="1:10" x14ac:dyDescent="0.2">
      <c r="A88" s="2"/>
      <c r="B88" s="54"/>
      <c r="C88" s="23"/>
      <c r="D88" s="31"/>
      <c r="E88" s="31"/>
      <c r="F88" s="72"/>
      <c r="G88" s="30"/>
      <c r="H88" s="49"/>
      <c r="I88" s="2"/>
      <c r="J88" s="2"/>
    </row>
    <row r="89" spans="1:10" ht="15.75" x14ac:dyDescent="0.25">
      <c r="A89" s="2"/>
      <c r="B89" s="54"/>
      <c r="C89" s="23"/>
      <c r="D89" s="372" t="s">
        <v>37</v>
      </c>
      <c r="E89" s="370"/>
      <c r="F89" s="71">
        <f>IF(ISERR(ROUND(IF(ISBLANK($F$55)=TRUE,"",(IF(ISBLANK($F$78)=TRUE,"",$F$54*(($F$78/12)/(1-(1+($F$78/12))^(-$F$55)))))),2)),0,(ROUND(IF(ISBLANK($F$55)=TRUE,"",(IF(ISBLANK($F$78)=TRUE,"",$F$54*(($F$78/12)/(1-(1+($F$78/12))^(-$F$55)))))),2)))</f>
        <v>0</v>
      </c>
      <c r="G89" s="30"/>
      <c r="H89" s="49"/>
      <c r="I89" s="2"/>
      <c r="J89" s="2"/>
    </row>
    <row r="90" spans="1:10" ht="15.75" x14ac:dyDescent="0.25">
      <c r="A90" s="2"/>
      <c r="B90" s="54"/>
      <c r="C90" s="23"/>
      <c r="D90" s="370" t="s">
        <v>38</v>
      </c>
      <c r="E90" s="373"/>
      <c r="F90" s="111">
        <f>ROUND(IF(I90,F114,0),2)</f>
        <v>0</v>
      </c>
      <c r="G90" s="30"/>
      <c r="H90" s="49"/>
      <c r="I90" s="65" t="b">
        <v>0</v>
      </c>
      <c r="J90" s="2"/>
    </row>
    <row r="91" spans="1:10" ht="15.75" x14ac:dyDescent="0.25">
      <c r="A91" s="2"/>
      <c r="B91" s="54"/>
      <c r="C91" s="23"/>
      <c r="D91" s="370" t="s">
        <v>39</v>
      </c>
      <c r="E91" s="373"/>
      <c r="F91" s="111">
        <f>ROUND(IF(I91,F115,0),2)</f>
        <v>0</v>
      </c>
      <c r="G91" s="30"/>
      <c r="H91" s="49"/>
      <c r="I91" s="65" t="b">
        <v>0</v>
      </c>
      <c r="J91" s="2"/>
    </row>
    <row r="92" spans="1:10" ht="15.75" x14ac:dyDescent="0.25">
      <c r="A92" s="2"/>
      <c r="B92" s="54"/>
      <c r="C92" s="23"/>
      <c r="D92" s="370" t="s">
        <v>40</v>
      </c>
      <c r="E92" s="373"/>
      <c r="F92" s="75">
        <f>IF(ISERR(ROUND(IF(ISBLANK($F$55)=TRUE,"",IF(ISBLANK($F$78)=TRUE,"",$F$54/$F$55+$F$54*$F$78/12)),2)),0,(ROUND(IF(ISBLANK($F$55)=TRUE,"",IF(ISBLANK($F$78)=TRUE,"",$F$54/$F$55+$F$54*$F$78/12)),2)))</f>
        <v>0</v>
      </c>
      <c r="G92" s="30"/>
      <c r="H92" s="49"/>
      <c r="I92" s="65"/>
      <c r="J92" s="2"/>
    </row>
    <row r="93" spans="1:10" ht="15.75" x14ac:dyDescent="0.25">
      <c r="A93" s="2"/>
      <c r="B93" s="54"/>
      <c r="C93" s="23"/>
      <c r="D93" s="370" t="s">
        <v>111</v>
      </c>
      <c r="E93" s="371"/>
      <c r="F93" s="75">
        <f>IF(ISERR(RPSN_zahranicie!C13),0,(RPSN_zahranicie!C13))</f>
        <v>0</v>
      </c>
      <c r="G93" s="30"/>
      <c r="H93" s="49"/>
      <c r="I93" s="65"/>
      <c r="J93" s="2"/>
    </row>
    <row r="94" spans="1:10" ht="17.100000000000001" customHeight="1" x14ac:dyDescent="0.25">
      <c r="A94" s="2"/>
      <c r="B94" s="54"/>
      <c r="C94" s="23"/>
      <c r="D94" s="370" t="s">
        <v>112</v>
      </c>
      <c r="E94" s="371"/>
      <c r="F94" s="74">
        <f>IF(ISERR(RPSN_zahranicie!N13),0,(RPSN_zahranicie!N13))</f>
        <v>0</v>
      </c>
      <c r="G94" s="30"/>
      <c r="H94" s="49"/>
      <c r="I94" s="2"/>
      <c r="J94" s="2"/>
    </row>
    <row r="95" spans="1:10" ht="17.100000000000001" customHeight="1" x14ac:dyDescent="0.25">
      <c r="A95" s="2"/>
      <c r="B95" s="54"/>
      <c r="C95" s="23"/>
      <c r="D95" s="372" t="s">
        <v>42</v>
      </c>
      <c r="E95" s="372"/>
      <c r="F95" s="112">
        <f>IF(ISERR(RPSN_zahranicie!C12),0,(RPSN_zahranicie!C12))</f>
        <v>0</v>
      </c>
      <c r="G95" s="30"/>
      <c r="H95" s="49"/>
      <c r="I95" s="2"/>
      <c r="J95" s="2"/>
    </row>
    <row r="96" spans="1:10" ht="17.100000000000001" customHeight="1" x14ac:dyDescent="0.25">
      <c r="A96" s="2"/>
      <c r="B96" s="54"/>
      <c r="C96" s="23"/>
      <c r="D96" s="372" t="s">
        <v>41</v>
      </c>
      <c r="E96" s="372"/>
      <c r="F96" s="112">
        <f>IF(ISERR(RPSN_zahranicie!N12),0,(RPSN_zahranicie!N12))</f>
        <v>0</v>
      </c>
      <c r="G96" s="30"/>
      <c r="H96" s="49"/>
      <c r="I96" s="2"/>
      <c r="J96" s="2"/>
    </row>
    <row r="97" spans="1:18" ht="7.5" customHeight="1" thickBot="1" x14ac:dyDescent="0.25">
      <c r="A97" s="2"/>
      <c r="B97" s="54"/>
      <c r="C97" s="24"/>
      <c r="D97" s="25"/>
      <c r="E97" s="25"/>
      <c r="F97" s="28"/>
      <c r="G97" s="29"/>
      <c r="H97" s="49"/>
      <c r="I97" s="2"/>
      <c r="J97" s="2"/>
    </row>
    <row r="98" spans="1:18" ht="7.5" customHeight="1" thickBot="1" x14ac:dyDescent="0.25">
      <c r="A98" s="2"/>
      <c r="B98" s="53"/>
      <c r="C98" s="51"/>
      <c r="D98" s="52"/>
      <c r="E98" s="52"/>
      <c r="F98" s="51"/>
      <c r="G98" s="51"/>
      <c r="H98" s="50"/>
      <c r="I98" s="2"/>
      <c r="J98" s="2"/>
    </row>
    <row r="99" spans="1:18" x14ac:dyDescent="0.2">
      <c r="A99" s="2"/>
      <c r="B99" s="2"/>
      <c r="C99" s="2"/>
      <c r="D99" s="3"/>
      <c r="E99" s="3"/>
      <c r="F99" s="2"/>
      <c r="G99" s="2"/>
      <c r="H99" s="2"/>
      <c r="I99" s="2"/>
      <c r="J99" s="2"/>
    </row>
    <row r="100" spans="1:18" ht="15.75" x14ac:dyDescent="0.2">
      <c r="C100" s="145">
        <v>1</v>
      </c>
      <c r="E100" s="3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8"/>
    </row>
    <row r="101" spans="1:18" ht="16.5" thickBot="1" x14ac:dyDescent="0.25">
      <c r="B101" s="56"/>
      <c r="C101" s="70">
        <v>2</v>
      </c>
      <c r="D101" s="58" t="s">
        <v>76</v>
      </c>
      <c r="E101" s="66">
        <f>IF(C100=1,0.0384,IF(C100=2,0.042,0.0384))</f>
        <v>3.8399999999999997E-2</v>
      </c>
      <c r="I101" s="59"/>
      <c r="J101" s="37"/>
      <c r="K101" s="39"/>
      <c r="L101" s="39"/>
      <c r="M101" s="39"/>
      <c r="N101" s="39"/>
      <c r="O101" s="39"/>
      <c r="P101" s="39"/>
      <c r="Q101" s="39"/>
      <c r="R101" s="40"/>
    </row>
    <row r="102" spans="1:18" ht="13.5" thickTop="1" x14ac:dyDescent="0.2">
      <c r="B102" s="56"/>
      <c r="C102" s="57"/>
      <c r="D102" s="58" t="s">
        <v>77</v>
      </c>
      <c r="E102" s="69"/>
      <c r="I102" s="61"/>
    </row>
    <row r="103" spans="1:18" x14ac:dyDescent="0.2">
      <c r="B103" s="56"/>
      <c r="C103" s="57"/>
      <c r="D103" s="58" t="s">
        <v>78</v>
      </c>
      <c r="E103" s="69"/>
      <c r="I103" s="61"/>
    </row>
    <row r="104" spans="1:18" x14ac:dyDescent="0.2">
      <c r="B104" s="56"/>
      <c r="C104" s="70">
        <v>2</v>
      </c>
      <c r="D104" s="60" t="s">
        <v>45</v>
      </c>
      <c r="E104" s="67">
        <f>IF(C104=1,1,1.2)</f>
        <v>1.2</v>
      </c>
      <c r="I104" s="61"/>
    </row>
    <row r="105" spans="1:18" x14ac:dyDescent="0.2">
      <c r="B105" s="56"/>
      <c r="C105" s="57"/>
      <c r="D105" s="60" t="s">
        <v>46</v>
      </c>
      <c r="E105" s="69"/>
      <c r="F105" s="57"/>
      <c r="G105" s="57"/>
      <c r="H105" s="57"/>
      <c r="I105" s="61"/>
    </row>
    <row r="106" spans="1:18" x14ac:dyDescent="0.2">
      <c r="B106" s="56"/>
      <c r="C106" s="57"/>
      <c r="D106" s="60"/>
      <c r="E106" s="69"/>
      <c r="F106" s="57"/>
      <c r="G106" s="57"/>
      <c r="H106" s="57"/>
      <c r="I106" s="61"/>
    </row>
    <row r="107" spans="1:18" x14ac:dyDescent="0.2">
      <c r="B107" s="56"/>
      <c r="C107" s="180">
        <v>1</v>
      </c>
      <c r="D107" s="181" t="s">
        <v>103</v>
      </c>
      <c r="E107" s="185">
        <f>IF(F57=0,0,IF(ISBLANK(F57)=TRUE,0,66))</f>
        <v>0</v>
      </c>
      <c r="F107" s="57"/>
      <c r="G107" s="57"/>
      <c r="H107" s="57"/>
      <c r="I107" s="61"/>
    </row>
    <row r="108" spans="1:18" x14ac:dyDescent="0.2">
      <c r="B108" s="56"/>
      <c r="C108" s="180">
        <v>2</v>
      </c>
      <c r="D108" s="181" t="s">
        <v>104</v>
      </c>
      <c r="E108" s="185">
        <f>IF(F64=0,0,IF(ISBLANK(F64)=TRUE,0,66))</f>
        <v>0</v>
      </c>
      <c r="F108" s="57"/>
      <c r="G108" s="57"/>
      <c r="H108" s="57"/>
      <c r="I108" s="61"/>
    </row>
    <row r="109" spans="1:18" x14ac:dyDescent="0.2">
      <c r="B109" s="56"/>
      <c r="C109" s="180">
        <v>3</v>
      </c>
      <c r="D109" s="181" t="s">
        <v>105</v>
      </c>
      <c r="E109" s="185">
        <f>IF(F71=0,0,IF(ISBLANK(F71)=TRUE,0,66))</f>
        <v>0</v>
      </c>
      <c r="F109" s="57"/>
      <c r="G109" s="57"/>
      <c r="H109" s="57"/>
      <c r="I109" s="61"/>
    </row>
    <row r="110" spans="1:18" x14ac:dyDescent="0.2">
      <c r="B110" s="56"/>
      <c r="C110" s="57"/>
      <c r="D110" s="60"/>
      <c r="E110" s="69"/>
      <c r="F110" s="57"/>
      <c r="G110" s="57"/>
      <c r="H110" s="57"/>
      <c r="I110" s="61"/>
    </row>
    <row r="111" spans="1:18" x14ac:dyDescent="0.2">
      <c r="B111" s="56"/>
      <c r="C111" s="57"/>
      <c r="D111" s="60"/>
      <c r="E111" s="60"/>
      <c r="F111" s="57"/>
      <c r="G111" s="57"/>
      <c r="H111" s="57"/>
      <c r="I111" s="61"/>
    </row>
    <row r="112" spans="1:18" x14ac:dyDescent="0.2">
      <c r="B112" s="56"/>
      <c r="C112" s="57"/>
      <c r="D112" s="60"/>
      <c r="E112" s="60"/>
      <c r="F112" s="57"/>
      <c r="G112" s="57"/>
      <c r="H112" s="57"/>
      <c r="I112" s="61"/>
    </row>
    <row r="113" spans="4:6" x14ac:dyDescent="0.2">
      <c r="D113" s="42" t="s">
        <v>60</v>
      </c>
      <c r="E113" s="77" t="s">
        <v>61</v>
      </c>
      <c r="F113" s="63">
        <f>MAX((vyska_uveru_LI_z-zabezpecenie_z*ltv_high_z)*0.045,0)</f>
        <v>0</v>
      </c>
    </row>
    <row r="114" spans="4:6" x14ac:dyDescent="0.2">
      <c r="D114" s="42"/>
      <c r="E114" s="77" t="s">
        <v>62</v>
      </c>
      <c r="F114" s="63">
        <f>(0.015/0.985)*vyska_uveru_z</f>
        <v>0</v>
      </c>
    </row>
    <row r="115" spans="4:6" x14ac:dyDescent="0.2">
      <c r="D115" s="42"/>
      <c r="E115" s="77" t="s">
        <v>63</v>
      </c>
      <c r="F115" s="63">
        <f>vyska_uveru_z*0.015</f>
        <v>0</v>
      </c>
    </row>
    <row r="116" spans="4:6" x14ac:dyDescent="0.2">
      <c r="D116" s="42"/>
      <c r="E116" s="77"/>
    </row>
    <row r="117" spans="4:6" x14ac:dyDescent="0.2">
      <c r="D117" s="42" t="s">
        <v>64</v>
      </c>
      <c r="E117" s="77" t="s">
        <v>65</v>
      </c>
      <c r="F117" s="63">
        <f>MAX(0.045/0.955*(vyska_uveru_z-zabezpecenie_z*ltv_high_z),0)</f>
        <v>0</v>
      </c>
    </row>
    <row r="118" spans="4:6" x14ac:dyDescent="0.2">
      <c r="D118" s="42" t="s">
        <v>66</v>
      </c>
      <c r="E118" s="77" t="s">
        <v>63</v>
      </c>
      <c r="F118" s="63" t="e">
        <f>#REF!*0.015</f>
        <v>#REF!</v>
      </c>
    </row>
    <row r="119" spans="4:6" x14ac:dyDescent="0.2">
      <c r="D119" s="42"/>
      <c r="F119" s="63"/>
    </row>
    <row r="120" spans="4:6" x14ac:dyDescent="0.2">
      <c r="D120" s="42" t="s">
        <v>67</v>
      </c>
      <c r="E120" s="77" t="s">
        <v>68</v>
      </c>
      <c r="F120" s="63">
        <f>0.015/0.985*vyska_uveru_z</f>
        <v>0</v>
      </c>
    </row>
    <row r="121" spans="4:6" x14ac:dyDescent="0.2">
      <c r="D121" s="42" t="s">
        <v>69</v>
      </c>
      <c r="E121" s="77" t="s">
        <v>70</v>
      </c>
      <c r="F121" s="63">
        <f>(0.015/0.94)*vyska_uveru_z-(0.015*0.045/0.94)*ltv_high_z*zabezpecenie_z</f>
        <v>0</v>
      </c>
    </row>
    <row r="122" spans="4:6" x14ac:dyDescent="0.2">
      <c r="D122" s="42"/>
      <c r="E122" s="77" t="s">
        <v>71</v>
      </c>
      <c r="F122" s="77" t="b">
        <f>F120&lt;(ltv_high_z*zabezpecenie-vyska_uveru_z)</f>
        <v>0</v>
      </c>
    </row>
    <row r="123" spans="4:6" x14ac:dyDescent="0.2">
      <c r="D123" s="42"/>
      <c r="E123" s="77" t="s">
        <v>72</v>
      </c>
      <c r="F123">
        <f>IF(F122,F120,F121)</f>
        <v>0</v>
      </c>
    </row>
    <row r="124" spans="4:6" x14ac:dyDescent="0.2">
      <c r="D124" s="42"/>
      <c r="E124" s="77" t="s">
        <v>65</v>
      </c>
      <c r="F124">
        <f>MAX(((vyska_uveru_z+F123-0.045*ltv_high_z*zabezpecenie_z)/(1-0.045)-ltv_high_z*zabezpecenie_z)*0.045,0)</f>
        <v>0</v>
      </c>
    </row>
    <row r="125" spans="4:6" x14ac:dyDescent="0.2">
      <c r="D125" s="42"/>
      <c r="E125" s="77"/>
    </row>
    <row r="126" spans="4:6" x14ac:dyDescent="0.2">
      <c r="D126" s="42" t="s">
        <v>73</v>
      </c>
      <c r="E126" s="77" t="s">
        <v>65</v>
      </c>
      <c r="F126">
        <f>MAX(0.045/0.955*(vyska_uveru_z-zabezpecenie_z*ltv_high_z),0)</f>
        <v>0</v>
      </c>
    </row>
    <row r="127" spans="4:6" ht="13.5" thickBot="1" x14ac:dyDescent="0.25">
      <c r="D127" s="42" t="s">
        <v>74</v>
      </c>
      <c r="E127" s="77"/>
    </row>
    <row r="128" spans="4:6" ht="16.5" thickBot="1" x14ac:dyDescent="0.25">
      <c r="D128" s="42"/>
      <c r="E128" s="255" t="s">
        <v>156</v>
      </c>
      <c r="F128" s="264">
        <v>500000</v>
      </c>
    </row>
    <row r="129" spans="3:7" ht="15.75" x14ac:dyDescent="0.25">
      <c r="D129" s="42"/>
      <c r="E129" s="253" t="s">
        <v>157</v>
      </c>
      <c r="F129" s="265">
        <f>$F$45</f>
        <v>0</v>
      </c>
    </row>
    <row r="130" spans="3:7" ht="15" x14ac:dyDescent="0.2">
      <c r="D130" s="42"/>
      <c r="E130" s="262" t="s">
        <v>158</v>
      </c>
      <c r="F130" s="254">
        <v>0</v>
      </c>
    </row>
    <row r="131" spans="3:7" ht="15.75" thickBot="1" x14ac:dyDescent="0.25">
      <c r="D131" s="42"/>
      <c r="E131" s="263" t="s">
        <v>159</v>
      </c>
      <c r="F131" s="256">
        <f>$F$129-$F$130</f>
        <v>0</v>
      </c>
    </row>
    <row r="132" spans="3:7" ht="15.75" x14ac:dyDescent="0.25">
      <c r="D132" s="42"/>
      <c r="E132" s="253" t="s">
        <v>160</v>
      </c>
      <c r="F132" s="265">
        <f>$F$46</f>
        <v>0</v>
      </c>
    </row>
    <row r="133" spans="3:7" ht="15" x14ac:dyDescent="0.2">
      <c r="D133" s="42"/>
      <c r="E133" s="262" t="s">
        <v>161</v>
      </c>
      <c r="F133" s="254">
        <v>0</v>
      </c>
    </row>
    <row r="134" spans="3:7" ht="15.75" thickBot="1" x14ac:dyDescent="0.25">
      <c r="D134" s="42"/>
      <c r="E134" s="263" t="s">
        <v>162</v>
      </c>
      <c r="F134" s="256">
        <f>$F$132-$F$133</f>
        <v>0</v>
      </c>
    </row>
    <row r="135" spans="3:7" ht="16.5" thickBot="1" x14ac:dyDescent="0.3">
      <c r="D135" s="42"/>
      <c r="E135" s="257" t="s">
        <v>163</v>
      </c>
      <c r="F135" s="266">
        <f>MIN(vyska_uveru_LI_z,F86)</f>
        <v>0</v>
      </c>
    </row>
    <row r="136" spans="3:7" ht="16.5" thickBot="1" x14ac:dyDescent="0.25">
      <c r="D136" s="42"/>
      <c r="E136" s="258" t="s">
        <v>155</v>
      </c>
      <c r="F136" s="259" t="e">
        <f>($F$128+$F$130+$F$133+$F$135+0.2*($F$131+$F$134))/(12*$F$8)</f>
        <v>#DIV/0!</v>
      </c>
    </row>
    <row r="137" spans="3:7" ht="16.5" thickBot="1" x14ac:dyDescent="0.25">
      <c r="D137" s="42"/>
      <c r="E137" s="260" t="s">
        <v>164</v>
      </c>
      <c r="F137" s="261" t="e">
        <f>IF(F136&gt;8,"Překročen limit DTI","OK")</f>
        <v>#DIV/0!</v>
      </c>
    </row>
    <row r="138" spans="3:7" ht="13.5" hidden="1" thickBot="1" x14ac:dyDescent="0.25">
      <c r="D138" s="42"/>
      <c r="E138" s="77"/>
    </row>
    <row r="139" spans="3:7" hidden="1" x14ac:dyDescent="0.2">
      <c r="C139" s="420"/>
      <c r="D139" s="421"/>
      <c r="E139" s="421"/>
      <c r="F139" s="421"/>
      <c r="G139" s="422"/>
    </row>
    <row r="140" spans="3:7" hidden="1" x14ac:dyDescent="0.2">
      <c r="C140" s="423"/>
      <c r="D140" s="424"/>
      <c r="E140" s="424"/>
      <c r="F140" s="424"/>
      <c r="G140" s="425"/>
    </row>
    <row r="141" spans="3:7" hidden="1" x14ac:dyDescent="0.2">
      <c r="C141" s="423"/>
      <c r="D141" s="424"/>
      <c r="E141" s="424"/>
      <c r="F141" s="424"/>
      <c r="G141" s="425"/>
    </row>
    <row r="142" spans="3:7" hidden="1" x14ac:dyDescent="0.2">
      <c r="C142" s="423"/>
      <c r="D142" s="424"/>
      <c r="E142" s="424"/>
      <c r="F142" s="424"/>
      <c r="G142" s="425"/>
    </row>
    <row r="143" spans="3:7" ht="12.75" hidden="1" customHeight="1" thickBot="1" x14ac:dyDescent="0.25">
      <c r="C143" s="426"/>
      <c r="D143" s="427"/>
      <c r="E143" s="427"/>
      <c r="F143" s="427"/>
      <c r="G143" s="428"/>
    </row>
    <row r="144" spans="3:7" x14ac:dyDescent="0.2">
      <c r="D144" s="42" t="s">
        <v>165</v>
      </c>
    </row>
  </sheetData>
  <mergeCells count="65">
    <mergeCell ref="D79:E79"/>
    <mergeCell ref="D96:E96"/>
    <mergeCell ref="D80:E80"/>
    <mergeCell ref="D86:E86"/>
    <mergeCell ref="D87:E87"/>
    <mergeCell ref="D89:E89"/>
    <mergeCell ref="D90:E90"/>
    <mergeCell ref="D91:E91"/>
    <mergeCell ref="D92:E92"/>
    <mergeCell ref="D93:E93"/>
    <mergeCell ref="D94:E94"/>
    <mergeCell ref="D95:E95"/>
    <mergeCell ref="D71:E71"/>
    <mergeCell ref="D58:E58"/>
    <mergeCell ref="D59:E59"/>
    <mergeCell ref="D65:E65"/>
    <mergeCell ref="D46:E46"/>
    <mergeCell ref="D47:E47"/>
    <mergeCell ref="D49:E49"/>
    <mergeCell ref="D53:E53"/>
    <mergeCell ref="D54:E54"/>
    <mergeCell ref="D66:E66"/>
    <mergeCell ref="D67:E67"/>
    <mergeCell ref="D60:E60"/>
    <mergeCell ref="C1:G1"/>
    <mergeCell ref="D7:E7"/>
    <mergeCell ref="D21:E21"/>
    <mergeCell ref="D34:E34"/>
    <mergeCell ref="D35:E35"/>
    <mergeCell ref="D24:E24"/>
    <mergeCell ref="D25:E25"/>
    <mergeCell ref="D27:E27"/>
    <mergeCell ref="D28:E28"/>
    <mergeCell ref="D30:E30"/>
    <mergeCell ref="D26:E26"/>
    <mergeCell ref="D29:E29"/>
    <mergeCell ref="D31:E31"/>
    <mergeCell ref="D32:E32"/>
    <mergeCell ref="D33:E33"/>
    <mergeCell ref="D44:E44"/>
    <mergeCell ref="D22:E22"/>
    <mergeCell ref="D23:E23"/>
    <mergeCell ref="D55:E55"/>
    <mergeCell ref="D56:E56"/>
    <mergeCell ref="D36:E36"/>
    <mergeCell ref="D37:E37"/>
    <mergeCell ref="D38:E38"/>
    <mergeCell ref="D39:E39"/>
    <mergeCell ref="D43:E43"/>
    <mergeCell ref="D74:E74"/>
    <mergeCell ref="D72:E72"/>
    <mergeCell ref="D73:E73"/>
    <mergeCell ref="C139:G143"/>
    <mergeCell ref="D45:E45"/>
    <mergeCell ref="D64:E64"/>
    <mergeCell ref="D62:E62"/>
    <mergeCell ref="D77:E77"/>
    <mergeCell ref="D78:E78"/>
    <mergeCell ref="D57:E57"/>
    <mergeCell ref="D63:E63"/>
    <mergeCell ref="D76:E76"/>
    <mergeCell ref="D68:E68"/>
    <mergeCell ref="D69:E69"/>
    <mergeCell ref="D75:E75"/>
    <mergeCell ref="D70:E70"/>
  </mergeCells>
  <conditionalFormatting sqref="F89 F94">
    <cfRule type="expression" dxfId="16" priority="26" stopIfTrue="1">
      <formula>ISBLANK($F$55)=TRUE</formula>
    </cfRule>
    <cfRule type="expression" dxfId="15" priority="27" stopIfTrue="1">
      <formula>ISBLANK($F$78)=TRUE</formula>
    </cfRule>
  </conditionalFormatting>
  <conditionalFormatting sqref="F131 F134">
    <cfRule type="cellIs" dxfId="14" priority="2" operator="lessThan">
      <formula>0</formula>
    </cfRule>
  </conditionalFormatting>
  <conditionalFormatting sqref="F137">
    <cfRule type="containsText" dxfId="13" priority="1" operator="containsText" text="Překročen limit DTI">
      <formula>NOT(ISERROR(SEARCH("Překročen limit DTI",F137)))</formula>
    </cfRule>
  </conditionalFormatting>
  <dataValidations count="1">
    <dataValidation allowBlank="1" showInputMessage="1" showErrorMessage="1" promptTitle="Poznámka pri schvalovaní" prompt="Pi úverovej analýze vložiť dátum podania žiadosti podľa dátumu v UF" sqref="F3:F4" xr:uid="{00000000-0002-0000-0300-000000000000}"/>
  </dataValidations>
  <pageMargins left="0.70866141732283472" right="0.70866141732283472" top="0.78740157480314965" bottom="0.78740157480314965" header="0.31496062992125984" footer="0.31496062992125984"/>
  <pageSetup paperSize="9" scale="80" orientation="portrait" horizontalDpi="200" verticalDpi="200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78</xdr:row>
                    <xdr:rowOff>0</xdr:rowOff>
                  </from>
                  <to>
                    <xdr:col>5</xdr:col>
                    <xdr:colOff>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Drop Down 2">
              <controlPr defaultSize="0" autoLine="0" autoPict="0">
                <anchor moveWithCells="1">
                  <from>
                    <xdr:col>5</xdr:col>
                    <xdr:colOff>0</xdr:colOff>
                    <xdr:row>79</xdr:row>
                    <xdr:rowOff>0</xdr:rowOff>
                  </from>
                  <to>
                    <xdr:col>5</xdr:col>
                    <xdr:colOff>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4</xdr:col>
                    <xdr:colOff>2419350</xdr:colOff>
                    <xdr:row>89</xdr:row>
                    <xdr:rowOff>0</xdr:rowOff>
                  </from>
                  <to>
                    <xdr:col>5</xdr:col>
                    <xdr:colOff>19050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4</xdr:col>
                    <xdr:colOff>2419350</xdr:colOff>
                    <xdr:row>90</xdr:row>
                    <xdr:rowOff>0</xdr:rowOff>
                  </from>
                  <to>
                    <xdr:col>5</xdr:col>
                    <xdr:colOff>19050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Drop Down 6">
              <controlPr defaultSize="0" autoLine="0" autoPict="0">
                <anchor moveWithCells="1">
                  <from>
                    <xdr:col>5</xdr:col>
                    <xdr:colOff>9525</xdr:colOff>
                    <xdr:row>78</xdr:row>
                    <xdr:rowOff>19050</xdr:rowOff>
                  </from>
                  <to>
                    <xdr:col>6</xdr:col>
                    <xdr:colOff>19050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4</xdr:col>
                    <xdr:colOff>2419350</xdr:colOff>
                    <xdr:row>89</xdr:row>
                    <xdr:rowOff>0</xdr:rowOff>
                  </from>
                  <to>
                    <xdr:col>5</xdr:col>
                    <xdr:colOff>19050</xdr:colOff>
                    <xdr:row>90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3"/>
  <dimension ref="A2:S497"/>
  <sheetViews>
    <sheetView workbookViewId="0">
      <selection activeCell="R16" sqref="R16"/>
    </sheetView>
  </sheetViews>
  <sheetFormatPr defaultColWidth="9.140625" defaultRowHeight="12.75" x14ac:dyDescent="0.2"/>
  <cols>
    <col min="1" max="1" width="9.140625" style="89"/>
    <col min="2" max="2" width="17.85546875" style="89" bestFit="1" customWidth="1"/>
    <col min="3" max="3" width="16.5703125" style="89" bestFit="1" customWidth="1"/>
    <col min="4" max="4" width="16" style="89" bestFit="1" customWidth="1"/>
    <col min="5" max="6" width="12.85546875" style="89" bestFit="1" customWidth="1"/>
    <col min="7" max="7" width="10.7109375" style="89" bestFit="1" customWidth="1"/>
    <col min="8" max="8" width="11.5703125" style="89" customWidth="1"/>
    <col min="9" max="12" width="9.140625" style="89"/>
    <col min="13" max="13" width="16" style="89" bestFit="1" customWidth="1"/>
    <col min="14" max="14" width="16.42578125" style="89" bestFit="1" customWidth="1"/>
    <col min="15" max="15" width="12.28515625" style="89" bestFit="1" customWidth="1"/>
    <col min="16" max="17" width="12.85546875" style="89" bestFit="1" customWidth="1"/>
    <col min="18" max="18" width="11.28515625" style="89" bestFit="1" customWidth="1"/>
    <col min="19" max="19" width="13.28515625" style="89" customWidth="1"/>
    <col min="20" max="16384" width="9.140625" style="89"/>
  </cols>
  <sheetData>
    <row r="2" spans="1:19" x14ac:dyDescent="0.2">
      <c r="A2" s="138" t="s">
        <v>17</v>
      </c>
      <c r="L2" s="138" t="s">
        <v>18</v>
      </c>
    </row>
    <row r="3" spans="1:19" x14ac:dyDescent="0.2">
      <c r="B3" s="89" t="s">
        <v>5</v>
      </c>
      <c r="C3" s="139">
        <f>'prijem -inna mena'!F54</f>
        <v>0</v>
      </c>
      <c r="M3" s="89" t="s">
        <v>5</v>
      </c>
      <c r="N3" s="139">
        <f>'prijem -inna mena'!F54</f>
        <v>0</v>
      </c>
    </row>
    <row r="4" spans="1:19" x14ac:dyDescent="0.2">
      <c r="B4" s="89" t="s">
        <v>6</v>
      </c>
      <c r="C4" s="140">
        <f>urokova_sadzba_z</f>
        <v>0</v>
      </c>
      <c r="M4" s="89" t="s">
        <v>6</v>
      </c>
      <c r="N4" s="140">
        <f>urokova_sadzba_z</f>
        <v>0</v>
      </c>
    </row>
    <row r="5" spans="1:19" x14ac:dyDescent="0.2">
      <c r="B5" s="89" t="s">
        <v>7</v>
      </c>
      <c r="C5" s="89">
        <f>doba_m_z</f>
        <v>0</v>
      </c>
      <c r="M5" s="89" t="s">
        <v>7</v>
      </c>
      <c r="N5" s="89">
        <f>doba_m_z</f>
        <v>0</v>
      </c>
    </row>
    <row r="6" spans="1:19" x14ac:dyDescent="0.2">
      <c r="B6" s="235" t="s">
        <v>101</v>
      </c>
      <c r="C6" s="236">
        <f>'prijem -inna mena'!F58+'prijem -inna mena'!F65+'prijem -inna mena'!F72</f>
        <v>0</v>
      </c>
      <c r="M6" s="235" t="s">
        <v>101</v>
      </c>
      <c r="N6" s="236">
        <f>'prijem -inna mena'!F58+'prijem -inna mena'!F65+'prijem -inna mena'!F72</f>
        <v>0</v>
      </c>
    </row>
    <row r="7" spans="1:19" x14ac:dyDescent="0.2">
      <c r="B7" s="235" t="s">
        <v>108</v>
      </c>
      <c r="C7" s="236">
        <f>'prijem -inna mena'!F59+'prijem -inna mena'!F66+'prijem -inna mena'!F73</f>
        <v>0</v>
      </c>
      <c r="M7" s="235" t="s">
        <v>108</v>
      </c>
      <c r="N7" s="236">
        <f>'prijem -inna mena'!F59+'prijem -inna mena'!F66+'prijem -inna mena'!F73</f>
        <v>0</v>
      </c>
    </row>
    <row r="8" spans="1:19" x14ac:dyDescent="0.2">
      <c r="B8" s="235" t="s">
        <v>109</v>
      </c>
      <c r="C8" s="236">
        <f>'prijem -inna mena'!F60+'prijem -inna mena'!F67+'prijem -inna mena'!F74</f>
        <v>0</v>
      </c>
      <c r="M8" s="235" t="s">
        <v>109</v>
      </c>
      <c r="N8" s="236">
        <f>'prijem -inna mena'!F60+'prijem -inna mena'!F67+'prijem -inna mena'!F74</f>
        <v>0</v>
      </c>
    </row>
    <row r="9" spans="1:19" x14ac:dyDescent="0.2">
      <c r="B9" s="235" t="s">
        <v>102</v>
      </c>
      <c r="C9" s="110">
        <f>'prijem -inna mena'!E107+'prijem -inna mena'!E108+'prijem -inna mena'!E109</f>
        <v>0</v>
      </c>
      <c r="M9" s="235" t="s">
        <v>102</v>
      </c>
      <c r="N9" s="110">
        <f>'prijem -inna mena'!E107+'prijem -inna mena'!E108+'prijem -inna mena'!E109</f>
        <v>0</v>
      </c>
    </row>
    <row r="10" spans="1:19" x14ac:dyDescent="0.2">
      <c r="B10" s="89" t="s">
        <v>8</v>
      </c>
      <c r="C10" s="141" t="e">
        <f>LCI_z</f>
        <v>#REF!</v>
      </c>
      <c r="M10" s="89" t="s">
        <v>8</v>
      </c>
      <c r="N10" s="141" t="e">
        <f>LCI_z</f>
        <v>#REF!</v>
      </c>
    </row>
    <row r="11" spans="1:19" x14ac:dyDescent="0.2">
      <c r="B11" s="89" t="s">
        <v>9</v>
      </c>
      <c r="C11" s="141">
        <f>'prijem -inna mena'!F90</f>
        <v>0</v>
      </c>
      <c r="M11" s="89" t="s">
        <v>9</v>
      </c>
      <c r="N11" s="141">
        <f>'prijem -inna mena'!F90</f>
        <v>0</v>
      </c>
    </row>
    <row r="12" spans="1:19" x14ac:dyDescent="0.2">
      <c r="B12" s="138" t="s">
        <v>16</v>
      </c>
      <c r="C12" s="140" t="e">
        <f>(1+IRR(B16:B496,1%))^12-1</f>
        <v>#VALUE!</v>
      </c>
      <c r="D12" s="140"/>
      <c r="M12" s="138" t="s">
        <v>16</v>
      </c>
      <c r="N12" s="140" t="e">
        <f>(1+IRR(M16:M496,1%))^12-1</f>
        <v>#VALUE!</v>
      </c>
    </row>
    <row r="13" spans="1:19" x14ac:dyDescent="0.2">
      <c r="B13" s="138" t="s">
        <v>19</v>
      </c>
      <c r="C13" s="237" t="e">
        <f>(SUM(B17:B496)*-1)+C6+C8+C9+H17</f>
        <v>#NUM!</v>
      </c>
      <c r="M13" s="138" t="s">
        <v>19</v>
      </c>
      <c r="N13" s="183" t="e">
        <f>(SUM(M17:M496)*-1)+N6+N8+N9+S17</f>
        <v>#DIV/0!</v>
      </c>
    </row>
    <row r="14" spans="1:19" x14ac:dyDescent="0.2">
      <c r="D14" s="142"/>
    </row>
    <row r="15" spans="1:19" x14ac:dyDescent="0.2">
      <c r="B15" s="89" t="s">
        <v>11</v>
      </c>
      <c r="C15" s="143" t="s">
        <v>13</v>
      </c>
      <c r="M15" s="89" t="s">
        <v>11</v>
      </c>
      <c r="N15" s="143" t="s">
        <v>13</v>
      </c>
    </row>
    <row r="16" spans="1:19" x14ac:dyDescent="0.2">
      <c r="A16" s="89" t="s">
        <v>10</v>
      </c>
      <c r="B16" s="184">
        <f>C3-C6-C7-C9-C11-H17</f>
        <v>0</v>
      </c>
      <c r="C16" s="144">
        <f>C3</f>
        <v>0</v>
      </c>
      <c r="D16" s="143" t="s">
        <v>12</v>
      </c>
      <c r="E16" s="143" t="s">
        <v>14</v>
      </c>
      <c r="F16" s="143" t="s">
        <v>15</v>
      </c>
      <c r="G16" s="182" t="s">
        <v>141</v>
      </c>
      <c r="H16" s="232" t="s">
        <v>140</v>
      </c>
      <c r="L16" s="89" t="s">
        <v>10</v>
      </c>
      <c r="M16" s="184">
        <f>N3-N6-N7-N9-N11-S17</f>
        <v>0</v>
      </c>
      <c r="N16" s="144">
        <f>N3</f>
        <v>0</v>
      </c>
      <c r="O16" s="143" t="s">
        <v>12</v>
      </c>
      <c r="P16" s="143" t="s">
        <v>14</v>
      </c>
      <c r="Q16" s="143" t="s">
        <v>15</v>
      </c>
      <c r="R16" s="182" t="s">
        <v>141</v>
      </c>
      <c r="S16" s="232" t="s">
        <v>140</v>
      </c>
    </row>
    <row r="17" spans="1:19" x14ac:dyDescent="0.2">
      <c r="A17" s="89">
        <v>1</v>
      </c>
      <c r="B17" s="237">
        <f>IF(C16&gt;0.00001,F17-G17,0)</f>
        <v>0</v>
      </c>
      <c r="C17" s="142" t="e">
        <f t="shared" ref="C17:C80" si="0">MAX(C16-D17,0)</f>
        <v>#NUM!</v>
      </c>
      <c r="D17" s="142" t="e">
        <f>(F17-E17)*-1</f>
        <v>#NUM!</v>
      </c>
      <c r="E17" s="142" t="e">
        <f>IPMT($C$4/12,1,$C$5,C16)</f>
        <v>#NUM!</v>
      </c>
      <c r="F17" s="142" t="e">
        <f t="shared" ref="F17:F80" si="1">PMT($C$4/12,$C$5,$C$3)</f>
        <v>#NUM!</v>
      </c>
      <c r="H17" s="233">
        <f>'prijem -inna mena'!F91</f>
        <v>0</v>
      </c>
      <c r="L17" s="89">
        <v>1</v>
      </c>
      <c r="M17" s="237">
        <f>IF(N16&gt;0.00001,Q17-R17,0)*-1</f>
        <v>0</v>
      </c>
      <c r="N17" s="142" t="e">
        <f t="shared" ref="N17:N80" si="2">MAX(N16-O17,0)</f>
        <v>#DIV/0!</v>
      </c>
      <c r="O17" s="142" t="e">
        <f t="shared" ref="O17:O80" si="3">$N$16/$N$5</f>
        <v>#DIV/0!</v>
      </c>
      <c r="P17" s="142">
        <f>N16*$N$4/12</f>
        <v>0</v>
      </c>
      <c r="Q17" s="142" t="e">
        <f>P17+O17</f>
        <v>#DIV/0!</v>
      </c>
      <c r="S17" s="233">
        <f>'prijem -inna mena'!F91</f>
        <v>0</v>
      </c>
    </row>
    <row r="18" spans="1:19" x14ac:dyDescent="0.2">
      <c r="A18" s="89">
        <v>2</v>
      </c>
      <c r="B18" s="237" t="e">
        <f t="shared" ref="B18:B81" si="4">IF(C17&gt;0.00001,F18-G18,0)</f>
        <v>#NUM!</v>
      </c>
      <c r="C18" s="142" t="e">
        <f t="shared" si="0"/>
        <v>#NUM!</v>
      </c>
      <c r="D18" s="142" t="e">
        <f t="shared" ref="D18:D81" si="5">(F18-E18)*-1</f>
        <v>#NUM!</v>
      </c>
      <c r="E18" s="142" t="e">
        <f t="shared" ref="E18:E81" si="6">IPMT($C$4/12,1,$C$5,C17)</f>
        <v>#NUM!</v>
      </c>
      <c r="F18" s="142" t="e">
        <f t="shared" si="1"/>
        <v>#NUM!</v>
      </c>
      <c r="L18" s="89">
        <v>2</v>
      </c>
      <c r="M18" s="237" t="e">
        <f t="shared" ref="M18:M81" si="7">IF(N17&gt;0.00001,Q18-R18,0)*-1</f>
        <v>#DIV/0!</v>
      </c>
      <c r="N18" s="142" t="e">
        <f t="shared" si="2"/>
        <v>#DIV/0!</v>
      </c>
      <c r="O18" s="142" t="e">
        <f t="shared" si="3"/>
        <v>#DIV/0!</v>
      </c>
      <c r="P18" s="142" t="e">
        <f t="shared" ref="P18:P81" si="8">N17*$N$4/12</f>
        <v>#DIV/0!</v>
      </c>
      <c r="Q18" s="142" t="e">
        <f t="shared" ref="Q18:Q81" si="9">P18+O18</f>
        <v>#DIV/0!</v>
      </c>
    </row>
    <row r="19" spans="1:19" x14ac:dyDescent="0.2">
      <c r="A19" s="89">
        <v>3</v>
      </c>
      <c r="B19" s="237" t="e">
        <f t="shared" si="4"/>
        <v>#NUM!</v>
      </c>
      <c r="C19" s="142" t="e">
        <f t="shared" si="0"/>
        <v>#NUM!</v>
      </c>
      <c r="D19" s="142" t="e">
        <f t="shared" si="5"/>
        <v>#NUM!</v>
      </c>
      <c r="E19" s="142" t="e">
        <f t="shared" si="6"/>
        <v>#NUM!</v>
      </c>
      <c r="F19" s="142" t="e">
        <f t="shared" si="1"/>
        <v>#NUM!</v>
      </c>
      <c r="L19" s="89">
        <v>3</v>
      </c>
      <c r="M19" s="237" t="e">
        <f t="shared" si="7"/>
        <v>#DIV/0!</v>
      </c>
      <c r="N19" s="142" t="e">
        <f t="shared" si="2"/>
        <v>#DIV/0!</v>
      </c>
      <c r="O19" s="142" t="e">
        <f t="shared" si="3"/>
        <v>#DIV/0!</v>
      </c>
      <c r="P19" s="142" t="e">
        <f t="shared" si="8"/>
        <v>#DIV/0!</v>
      </c>
      <c r="Q19" s="142" t="e">
        <f t="shared" si="9"/>
        <v>#DIV/0!</v>
      </c>
    </row>
    <row r="20" spans="1:19" x14ac:dyDescent="0.2">
      <c r="A20" s="89">
        <v>4</v>
      </c>
      <c r="B20" s="237" t="e">
        <f t="shared" si="4"/>
        <v>#NUM!</v>
      </c>
      <c r="C20" s="142" t="e">
        <f t="shared" si="0"/>
        <v>#NUM!</v>
      </c>
      <c r="D20" s="142" t="e">
        <f t="shared" si="5"/>
        <v>#NUM!</v>
      </c>
      <c r="E20" s="142" t="e">
        <f t="shared" si="6"/>
        <v>#NUM!</v>
      </c>
      <c r="F20" s="142" t="e">
        <f t="shared" si="1"/>
        <v>#NUM!</v>
      </c>
      <c r="L20" s="89">
        <v>4</v>
      </c>
      <c r="M20" s="237" t="e">
        <f t="shared" si="7"/>
        <v>#DIV/0!</v>
      </c>
      <c r="N20" s="142" t="e">
        <f t="shared" si="2"/>
        <v>#DIV/0!</v>
      </c>
      <c r="O20" s="142" t="e">
        <f t="shared" si="3"/>
        <v>#DIV/0!</v>
      </c>
      <c r="P20" s="142" t="e">
        <f t="shared" si="8"/>
        <v>#DIV/0!</v>
      </c>
      <c r="Q20" s="142" t="e">
        <f t="shared" si="9"/>
        <v>#DIV/0!</v>
      </c>
    </row>
    <row r="21" spans="1:19" x14ac:dyDescent="0.2">
      <c r="A21" s="89">
        <v>5</v>
      </c>
      <c r="B21" s="237" t="e">
        <f t="shared" si="4"/>
        <v>#NUM!</v>
      </c>
      <c r="C21" s="142" t="e">
        <f t="shared" si="0"/>
        <v>#NUM!</v>
      </c>
      <c r="D21" s="142" t="e">
        <f t="shared" si="5"/>
        <v>#NUM!</v>
      </c>
      <c r="E21" s="142" t="e">
        <f t="shared" si="6"/>
        <v>#NUM!</v>
      </c>
      <c r="F21" s="142" t="e">
        <f t="shared" si="1"/>
        <v>#NUM!</v>
      </c>
      <c r="L21" s="89">
        <v>5</v>
      </c>
      <c r="M21" s="237" t="e">
        <f t="shared" si="7"/>
        <v>#DIV/0!</v>
      </c>
      <c r="N21" s="142" t="e">
        <f t="shared" si="2"/>
        <v>#DIV/0!</v>
      </c>
      <c r="O21" s="142" t="e">
        <f t="shared" si="3"/>
        <v>#DIV/0!</v>
      </c>
      <c r="P21" s="142" t="e">
        <f t="shared" si="8"/>
        <v>#DIV/0!</v>
      </c>
      <c r="Q21" s="142" t="e">
        <f t="shared" si="9"/>
        <v>#DIV/0!</v>
      </c>
    </row>
    <row r="22" spans="1:19" x14ac:dyDescent="0.2">
      <c r="A22" s="89">
        <v>6</v>
      </c>
      <c r="B22" s="237" t="e">
        <f t="shared" si="4"/>
        <v>#NUM!</v>
      </c>
      <c r="C22" s="142" t="e">
        <f t="shared" si="0"/>
        <v>#NUM!</v>
      </c>
      <c r="D22" s="142" t="e">
        <f t="shared" si="5"/>
        <v>#NUM!</v>
      </c>
      <c r="E22" s="142" t="e">
        <f t="shared" si="6"/>
        <v>#NUM!</v>
      </c>
      <c r="F22" s="142" t="e">
        <f t="shared" si="1"/>
        <v>#NUM!</v>
      </c>
      <c r="L22" s="89">
        <v>6</v>
      </c>
      <c r="M22" s="237" t="e">
        <f t="shared" si="7"/>
        <v>#DIV/0!</v>
      </c>
      <c r="N22" s="142" t="e">
        <f t="shared" si="2"/>
        <v>#DIV/0!</v>
      </c>
      <c r="O22" s="142" t="e">
        <f t="shared" si="3"/>
        <v>#DIV/0!</v>
      </c>
      <c r="P22" s="142" t="e">
        <f t="shared" si="8"/>
        <v>#DIV/0!</v>
      </c>
      <c r="Q22" s="142" t="e">
        <f t="shared" si="9"/>
        <v>#DIV/0!</v>
      </c>
    </row>
    <row r="23" spans="1:19" x14ac:dyDescent="0.2">
      <c r="A23" s="89">
        <v>7</v>
      </c>
      <c r="B23" s="237" t="e">
        <f t="shared" si="4"/>
        <v>#NUM!</v>
      </c>
      <c r="C23" s="142" t="e">
        <f t="shared" si="0"/>
        <v>#NUM!</v>
      </c>
      <c r="D23" s="142" t="e">
        <f t="shared" si="5"/>
        <v>#NUM!</v>
      </c>
      <c r="E23" s="142" t="e">
        <f t="shared" si="6"/>
        <v>#NUM!</v>
      </c>
      <c r="F23" s="142" t="e">
        <f t="shared" si="1"/>
        <v>#NUM!</v>
      </c>
      <c r="L23" s="89">
        <v>7</v>
      </c>
      <c r="M23" s="237" t="e">
        <f t="shared" si="7"/>
        <v>#DIV/0!</v>
      </c>
      <c r="N23" s="142" t="e">
        <f t="shared" si="2"/>
        <v>#DIV/0!</v>
      </c>
      <c r="O23" s="142" t="e">
        <f t="shared" si="3"/>
        <v>#DIV/0!</v>
      </c>
      <c r="P23" s="142" t="e">
        <f t="shared" si="8"/>
        <v>#DIV/0!</v>
      </c>
      <c r="Q23" s="142" t="e">
        <f t="shared" si="9"/>
        <v>#DIV/0!</v>
      </c>
    </row>
    <row r="24" spans="1:19" x14ac:dyDescent="0.2">
      <c r="A24" s="89">
        <v>8</v>
      </c>
      <c r="B24" s="237" t="e">
        <f t="shared" si="4"/>
        <v>#NUM!</v>
      </c>
      <c r="C24" s="142" t="e">
        <f t="shared" si="0"/>
        <v>#NUM!</v>
      </c>
      <c r="D24" s="142" t="e">
        <f t="shared" si="5"/>
        <v>#NUM!</v>
      </c>
      <c r="E24" s="142" t="e">
        <f t="shared" si="6"/>
        <v>#NUM!</v>
      </c>
      <c r="F24" s="142" t="e">
        <f t="shared" si="1"/>
        <v>#NUM!</v>
      </c>
      <c r="L24" s="89">
        <v>8</v>
      </c>
      <c r="M24" s="237" t="e">
        <f t="shared" si="7"/>
        <v>#DIV/0!</v>
      </c>
      <c r="N24" s="142" t="e">
        <f t="shared" si="2"/>
        <v>#DIV/0!</v>
      </c>
      <c r="O24" s="142" t="e">
        <f t="shared" si="3"/>
        <v>#DIV/0!</v>
      </c>
      <c r="P24" s="142" t="e">
        <f t="shared" si="8"/>
        <v>#DIV/0!</v>
      </c>
      <c r="Q24" s="142" t="e">
        <f t="shared" si="9"/>
        <v>#DIV/0!</v>
      </c>
    </row>
    <row r="25" spans="1:19" x14ac:dyDescent="0.2">
      <c r="A25" s="89">
        <v>9</v>
      </c>
      <c r="B25" s="237" t="e">
        <f t="shared" si="4"/>
        <v>#NUM!</v>
      </c>
      <c r="C25" s="142" t="e">
        <f t="shared" si="0"/>
        <v>#NUM!</v>
      </c>
      <c r="D25" s="142" t="e">
        <f t="shared" si="5"/>
        <v>#NUM!</v>
      </c>
      <c r="E25" s="142" t="e">
        <f t="shared" si="6"/>
        <v>#NUM!</v>
      </c>
      <c r="F25" s="142" t="e">
        <f t="shared" si="1"/>
        <v>#NUM!</v>
      </c>
      <c r="L25" s="89">
        <v>9</v>
      </c>
      <c r="M25" s="237" t="e">
        <f t="shared" si="7"/>
        <v>#DIV/0!</v>
      </c>
      <c r="N25" s="142" t="e">
        <f t="shared" si="2"/>
        <v>#DIV/0!</v>
      </c>
      <c r="O25" s="142" t="e">
        <f t="shared" si="3"/>
        <v>#DIV/0!</v>
      </c>
      <c r="P25" s="142" t="e">
        <f t="shared" si="8"/>
        <v>#DIV/0!</v>
      </c>
      <c r="Q25" s="142" t="e">
        <f t="shared" si="9"/>
        <v>#DIV/0!</v>
      </c>
    </row>
    <row r="26" spans="1:19" x14ac:dyDescent="0.2">
      <c r="A26" s="89">
        <v>10</v>
      </c>
      <c r="B26" s="237" t="e">
        <f t="shared" si="4"/>
        <v>#NUM!</v>
      </c>
      <c r="C26" s="142" t="e">
        <f t="shared" si="0"/>
        <v>#NUM!</v>
      </c>
      <c r="D26" s="142" t="e">
        <f t="shared" si="5"/>
        <v>#NUM!</v>
      </c>
      <c r="E26" s="142" t="e">
        <f t="shared" si="6"/>
        <v>#NUM!</v>
      </c>
      <c r="F26" s="142" t="e">
        <f t="shared" si="1"/>
        <v>#NUM!</v>
      </c>
      <c r="L26" s="89">
        <v>10</v>
      </c>
      <c r="M26" s="237" t="e">
        <f t="shared" si="7"/>
        <v>#DIV/0!</v>
      </c>
      <c r="N26" s="142" t="e">
        <f t="shared" si="2"/>
        <v>#DIV/0!</v>
      </c>
      <c r="O26" s="142" t="e">
        <f t="shared" si="3"/>
        <v>#DIV/0!</v>
      </c>
      <c r="P26" s="142" t="e">
        <f t="shared" si="8"/>
        <v>#DIV/0!</v>
      </c>
      <c r="Q26" s="142" t="e">
        <f t="shared" si="9"/>
        <v>#DIV/0!</v>
      </c>
    </row>
    <row r="27" spans="1:19" x14ac:dyDescent="0.2">
      <c r="A27" s="89">
        <v>11</v>
      </c>
      <c r="B27" s="237" t="e">
        <f t="shared" si="4"/>
        <v>#NUM!</v>
      </c>
      <c r="C27" s="142" t="e">
        <f t="shared" si="0"/>
        <v>#NUM!</v>
      </c>
      <c r="D27" s="142" t="e">
        <f t="shared" si="5"/>
        <v>#NUM!</v>
      </c>
      <c r="E27" s="142" t="e">
        <f t="shared" si="6"/>
        <v>#NUM!</v>
      </c>
      <c r="F27" s="142" t="e">
        <f t="shared" si="1"/>
        <v>#NUM!</v>
      </c>
      <c r="L27" s="89">
        <v>11</v>
      </c>
      <c r="M27" s="237" t="e">
        <f t="shared" si="7"/>
        <v>#DIV/0!</v>
      </c>
      <c r="N27" s="142" t="e">
        <f t="shared" si="2"/>
        <v>#DIV/0!</v>
      </c>
      <c r="O27" s="142" t="e">
        <f t="shared" si="3"/>
        <v>#DIV/0!</v>
      </c>
      <c r="P27" s="142" t="e">
        <f t="shared" si="8"/>
        <v>#DIV/0!</v>
      </c>
      <c r="Q27" s="142" t="e">
        <f t="shared" si="9"/>
        <v>#DIV/0!</v>
      </c>
    </row>
    <row r="28" spans="1:19" x14ac:dyDescent="0.2">
      <c r="A28" s="89">
        <v>12</v>
      </c>
      <c r="B28" s="237" t="e">
        <f t="shared" si="4"/>
        <v>#NUM!</v>
      </c>
      <c r="C28" s="142" t="e">
        <f t="shared" si="0"/>
        <v>#NUM!</v>
      </c>
      <c r="D28" s="142" t="e">
        <f t="shared" si="5"/>
        <v>#NUM!</v>
      </c>
      <c r="E28" s="142" t="e">
        <f t="shared" si="6"/>
        <v>#NUM!</v>
      </c>
      <c r="F28" s="142" t="e">
        <f t="shared" si="1"/>
        <v>#NUM!</v>
      </c>
      <c r="L28" s="89">
        <v>12</v>
      </c>
      <c r="M28" s="237" t="e">
        <f t="shared" si="7"/>
        <v>#DIV/0!</v>
      </c>
      <c r="N28" s="142" t="e">
        <f t="shared" si="2"/>
        <v>#DIV/0!</v>
      </c>
      <c r="O28" s="142" t="e">
        <f t="shared" si="3"/>
        <v>#DIV/0!</v>
      </c>
      <c r="P28" s="142" t="e">
        <f t="shared" si="8"/>
        <v>#DIV/0!</v>
      </c>
      <c r="Q28" s="142" t="e">
        <f t="shared" si="9"/>
        <v>#DIV/0!</v>
      </c>
    </row>
    <row r="29" spans="1:19" x14ac:dyDescent="0.2">
      <c r="A29" s="89">
        <v>13</v>
      </c>
      <c r="B29" s="237" t="e">
        <f t="shared" si="4"/>
        <v>#NUM!</v>
      </c>
      <c r="C29" s="142" t="e">
        <f t="shared" si="0"/>
        <v>#NUM!</v>
      </c>
      <c r="D29" s="142" t="e">
        <f t="shared" si="5"/>
        <v>#NUM!</v>
      </c>
      <c r="E29" s="142" t="e">
        <f t="shared" si="6"/>
        <v>#NUM!</v>
      </c>
      <c r="F29" s="142" t="e">
        <f t="shared" si="1"/>
        <v>#NUM!</v>
      </c>
      <c r="L29" s="89">
        <v>13</v>
      </c>
      <c r="M29" s="237" t="e">
        <f t="shared" si="7"/>
        <v>#DIV/0!</v>
      </c>
      <c r="N29" s="142" t="e">
        <f t="shared" si="2"/>
        <v>#DIV/0!</v>
      </c>
      <c r="O29" s="142" t="e">
        <f t="shared" si="3"/>
        <v>#DIV/0!</v>
      </c>
      <c r="P29" s="142" t="e">
        <f t="shared" si="8"/>
        <v>#DIV/0!</v>
      </c>
      <c r="Q29" s="142" t="e">
        <f t="shared" si="9"/>
        <v>#DIV/0!</v>
      </c>
    </row>
    <row r="30" spans="1:19" x14ac:dyDescent="0.2">
      <c r="A30" s="89">
        <v>14</v>
      </c>
      <c r="B30" s="237" t="e">
        <f t="shared" si="4"/>
        <v>#NUM!</v>
      </c>
      <c r="C30" s="142" t="e">
        <f t="shared" si="0"/>
        <v>#NUM!</v>
      </c>
      <c r="D30" s="142" t="e">
        <f t="shared" si="5"/>
        <v>#NUM!</v>
      </c>
      <c r="E30" s="142" t="e">
        <f t="shared" si="6"/>
        <v>#NUM!</v>
      </c>
      <c r="F30" s="142" t="e">
        <f t="shared" si="1"/>
        <v>#NUM!</v>
      </c>
      <c r="L30" s="89">
        <v>14</v>
      </c>
      <c r="M30" s="237" t="e">
        <f t="shared" si="7"/>
        <v>#DIV/0!</v>
      </c>
      <c r="N30" s="142" t="e">
        <f t="shared" si="2"/>
        <v>#DIV/0!</v>
      </c>
      <c r="O30" s="142" t="e">
        <f t="shared" si="3"/>
        <v>#DIV/0!</v>
      </c>
      <c r="P30" s="142" t="e">
        <f t="shared" si="8"/>
        <v>#DIV/0!</v>
      </c>
      <c r="Q30" s="142" t="e">
        <f t="shared" si="9"/>
        <v>#DIV/0!</v>
      </c>
    </row>
    <row r="31" spans="1:19" x14ac:dyDescent="0.2">
      <c r="A31" s="89">
        <v>15</v>
      </c>
      <c r="B31" s="237" t="e">
        <f t="shared" si="4"/>
        <v>#NUM!</v>
      </c>
      <c r="C31" s="142" t="e">
        <f t="shared" si="0"/>
        <v>#NUM!</v>
      </c>
      <c r="D31" s="142" t="e">
        <f t="shared" si="5"/>
        <v>#NUM!</v>
      </c>
      <c r="E31" s="142" t="e">
        <f t="shared" si="6"/>
        <v>#NUM!</v>
      </c>
      <c r="F31" s="142" t="e">
        <f t="shared" si="1"/>
        <v>#NUM!</v>
      </c>
      <c r="L31" s="89">
        <v>15</v>
      </c>
      <c r="M31" s="237" t="e">
        <f t="shared" si="7"/>
        <v>#DIV/0!</v>
      </c>
      <c r="N31" s="142" t="e">
        <f t="shared" si="2"/>
        <v>#DIV/0!</v>
      </c>
      <c r="O31" s="142" t="e">
        <f t="shared" si="3"/>
        <v>#DIV/0!</v>
      </c>
      <c r="P31" s="142" t="e">
        <f t="shared" si="8"/>
        <v>#DIV/0!</v>
      </c>
      <c r="Q31" s="142" t="e">
        <f t="shared" si="9"/>
        <v>#DIV/0!</v>
      </c>
    </row>
    <row r="32" spans="1:19" x14ac:dyDescent="0.2">
      <c r="A32" s="89">
        <v>16</v>
      </c>
      <c r="B32" s="237" t="e">
        <f t="shared" si="4"/>
        <v>#NUM!</v>
      </c>
      <c r="C32" s="142" t="e">
        <f t="shared" si="0"/>
        <v>#NUM!</v>
      </c>
      <c r="D32" s="142" t="e">
        <f t="shared" si="5"/>
        <v>#NUM!</v>
      </c>
      <c r="E32" s="142" t="e">
        <f t="shared" si="6"/>
        <v>#NUM!</v>
      </c>
      <c r="F32" s="142" t="e">
        <f t="shared" si="1"/>
        <v>#NUM!</v>
      </c>
      <c r="L32" s="89">
        <v>16</v>
      </c>
      <c r="M32" s="237" t="e">
        <f t="shared" si="7"/>
        <v>#DIV/0!</v>
      </c>
      <c r="N32" s="142" t="e">
        <f t="shared" si="2"/>
        <v>#DIV/0!</v>
      </c>
      <c r="O32" s="142" t="e">
        <f t="shared" si="3"/>
        <v>#DIV/0!</v>
      </c>
      <c r="P32" s="142" t="e">
        <f t="shared" si="8"/>
        <v>#DIV/0!</v>
      </c>
      <c r="Q32" s="142" t="e">
        <f t="shared" si="9"/>
        <v>#DIV/0!</v>
      </c>
    </row>
    <row r="33" spans="1:18" x14ac:dyDescent="0.2">
      <c r="A33" s="89">
        <v>17</v>
      </c>
      <c r="B33" s="237" t="e">
        <f t="shared" si="4"/>
        <v>#NUM!</v>
      </c>
      <c r="C33" s="142" t="e">
        <f t="shared" si="0"/>
        <v>#NUM!</v>
      </c>
      <c r="D33" s="142" t="e">
        <f t="shared" si="5"/>
        <v>#NUM!</v>
      </c>
      <c r="E33" s="142" t="e">
        <f t="shared" si="6"/>
        <v>#NUM!</v>
      </c>
      <c r="F33" s="142" t="e">
        <f t="shared" si="1"/>
        <v>#NUM!</v>
      </c>
      <c r="L33" s="89">
        <v>17</v>
      </c>
      <c r="M33" s="237" t="e">
        <f t="shared" si="7"/>
        <v>#DIV/0!</v>
      </c>
      <c r="N33" s="142" t="e">
        <f t="shared" si="2"/>
        <v>#DIV/0!</v>
      </c>
      <c r="O33" s="142" t="e">
        <f t="shared" si="3"/>
        <v>#DIV/0!</v>
      </c>
      <c r="P33" s="142" t="e">
        <f t="shared" si="8"/>
        <v>#DIV/0!</v>
      </c>
      <c r="Q33" s="142" t="e">
        <f t="shared" si="9"/>
        <v>#DIV/0!</v>
      </c>
    </row>
    <row r="34" spans="1:18" x14ac:dyDescent="0.2">
      <c r="A34" s="89">
        <v>18</v>
      </c>
      <c r="B34" s="237" t="e">
        <f t="shared" si="4"/>
        <v>#NUM!</v>
      </c>
      <c r="C34" s="142" t="e">
        <f t="shared" si="0"/>
        <v>#NUM!</v>
      </c>
      <c r="D34" s="142" t="e">
        <f t="shared" si="5"/>
        <v>#NUM!</v>
      </c>
      <c r="E34" s="142" t="e">
        <f t="shared" si="6"/>
        <v>#NUM!</v>
      </c>
      <c r="F34" s="142" t="e">
        <f t="shared" si="1"/>
        <v>#NUM!</v>
      </c>
      <c r="L34" s="89">
        <v>18</v>
      </c>
      <c r="M34" s="237" t="e">
        <f t="shared" si="7"/>
        <v>#DIV/0!</v>
      </c>
      <c r="N34" s="142" t="e">
        <f t="shared" si="2"/>
        <v>#DIV/0!</v>
      </c>
      <c r="O34" s="142" t="e">
        <f t="shared" si="3"/>
        <v>#DIV/0!</v>
      </c>
      <c r="P34" s="142" t="e">
        <f t="shared" si="8"/>
        <v>#DIV/0!</v>
      </c>
      <c r="Q34" s="142" t="e">
        <f t="shared" si="9"/>
        <v>#DIV/0!</v>
      </c>
    </row>
    <row r="35" spans="1:18" x14ac:dyDescent="0.2">
      <c r="A35" s="89">
        <v>19</v>
      </c>
      <c r="B35" s="237" t="e">
        <f t="shared" si="4"/>
        <v>#NUM!</v>
      </c>
      <c r="C35" s="142" t="e">
        <f t="shared" si="0"/>
        <v>#NUM!</v>
      </c>
      <c r="D35" s="142" t="e">
        <f t="shared" si="5"/>
        <v>#NUM!</v>
      </c>
      <c r="E35" s="142" t="e">
        <f t="shared" si="6"/>
        <v>#NUM!</v>
      </c>
      <c r="F35" s="142" t="e">
        <f t="shared" si="1"/>
        <v>#NUM!</v>
      </c>
      <c r="L35" s="89">
        <v>19</v>
      </c>
      <c r="M35" s="237" t="e">
        <f t="shared" si="7"/>
        <v>#DIV/0!</v>
      </c>
      <c r="N35" s="142" t="e">
        <f t="shared" si="2"/>
        <v>#DIV/0!</v>
      </c>
      <c r="O35" s="142" t="e">
        <f t="shared" si="3"/>
        <v>#DIV/0!</v>
      </c>
      <c r="P35" s="142" t="e">
        <f t="shared" si="8"/>
        <v>#DIV/0!</v>
      </c>
      <c r="Q35" s="142" t="e">
        <f t="shared" si="9"/>
        <v>#DIV/0!</v>
      </c>
    </row>
    <row r="36" spans="1:18" x14ac:dyDescent="0.2">
      <c r="A36" s="89">
        <v>20</v>
      </c>
      <c r="B36" s="237" t="e">
        <f t="shared" si="4"/>
        <v>#NUM!</v>
      </c>
      <c r="C36" s="142" t="e">
        <f t="shared" si="0"/>
        <v>#NUM!</v>
      </c>
      <c r="D36" s="142" t="e">
        <f t="shared" si="5"/>
        <v>#NUM!</v>
      </c>
      <c r="E36" s="142" t="e">
        <f t="shared" si="6"/>
        <v>#NUM!</v>
      </c>
      <c r="F36" s="142" t="e">
        <f t="shared" si="1"/>
        <v>#NUM!</v>
      </c>
      <c r="L36" s="89">
        <v>20</v>
      </c>
      <c r="M36" s="237" t="e">
        <f t="shared" si="7"/>
        <v>#DIV/0!</v>
      </c>
      <c r="N36" s="142" t="e">
        <f t="shared" si="2"/>
        <v>#DIV/0!</v>
      </c>
      <c r="O36" s="142" t="e">
        <f t="shared" si="3"/>
        <v>#DIV/0!</v>
      </c>
      <c r="P36" s="142" t="e">
        <f t="shared" si="8"/>
        <v>#DIV/0!</v>
      </c>
      <c r="Q36" s="142" t="e">
        <f t="shared" si="9"/>
        <v>#DIV/0!</v>
      </c>
    </row>
    <row r="37" spans="1:18" x14ac:dyDescent="0.2">
      <c r="A37" s="89">
        <v>21</v>
      </c>
      <c r="B37" s="237" t="e">
        <f t="shared" si="4"/>
        <v>#NUM!</v>
      </c>
      <c r="C37" s="142" t="e">
        <f t="shared" si="0"/>
        <v>#NUM!</v>
      </c>
      <c r="D37" s="142" t="e">
        <f t="shared" si="5"/>
        <v>#NUM!</v>
      </c>
      <c r="E37" s="142" t="e">
        <f t="shared" si="6"/>
        <v>#NUM!</v>
      </c>
      <c r="F37" s="142" t="e">
        <f t="shared" si="1"/>
        <v>#NUM!</v>
      </c>
      <c r="L37" s="89">
        <v>21</v>
      </c>
      <c r="M37" s="237" t="e">
        <f t="shared" si="7"/>
        <v>#DIV/0!</v>
      </c>
      <c r="N37" s="142" t="e">
        <f t="shared" si="2"/>
        <v>#DIV/0!</v>
      </c>
      <c r="O37" s="142" t="e">
        <f t="shared" si="3"/>
        <v>#DIV/0!</v>
      </c>
      <c r="P37" s="142" t="e">
        <f t="shared" si="8"/>
        <v>#DIV/0!</v>
      </c>
      <c r="Q37" s="142" t="e">
        <f t="shared" si="9"/>
        <v>#DIV/0!</v>
      </c>
    </row>
    <row r="38" spans="1:18" x14ac:dyDescent="0.2">
      <c r="A38" s="89">
        <v>22</v>
      </c>
      <c r="B38" s="237" t="e">
        <f t="shared" si="4"/>
        <v>#NUM!</v>
      </c>
      <c r="C38" s="142" t="e">
        <f t="shared" si="0"/>
        <v>#NUM!</v>
      </c>
      <c r="D38" s="142" t="e">
        <f t="shared" si="5"/>
        <v>#NUM!</v>
      </c>
      <c r="E38" s="142" t="e">
        <f t="shared" si="6"/>
        <v>#NUM!</v>
      </c>
      <c r="F38" s="142" t="e">
        <f t="shared" si="1"/>
        <v>#NUM!</v>
      </c>
      <c r="L38" s="89">
        <v>22</v>
      </c>
      <c r="M38" s="237" t="e">
        <f t="shared" si="7"/>
        <v>#DIV/0!</v>
      </c>
      <c r="N38" s="142" t="e">
        <f t="shared" si="2"/>
        <v>#DIV/0!</v>
      </c>
      <c r="O38" s="142" t="e">
        <f t="shared" si="3"/>
        <v>#DIV/0!</v>
      </c>
      <c r="P38" s="142" t="e">
        <f t="shared" si="8"/>
        <v>#DIV/0!</v>
      </c>
      <c r="Q38" s="142" t="e">
        <f t="shared" si="9"/>
        <v>#DIV/0!</v>
      </c>
    </row>
    <row r="39" spans="1:18" x14ac:dyDescent="0.2">
      <c r="A39" s="89">
        <v>23</v>
      </c>
      <c r="B39" s="237" t="e">
        <f t="shared" si="4"/>
        <v>#NUM!</v>
      </c>
      <c r="C39" s="142" t="e">
        <f t="shared" si="0"/>
        <v>#NUM!</v>
      </c>
      <c r="D39" s="142" t="e">
        <f t="shared" si="5"/>
        <v>#NUM!</v>
      </c>
      <c r="E39" s="142" t="e">
        <f t="shared" si="6"/>
        <v>#NUM!</v>
      </c>
      <c r="F39" s="142" t="e">
        <f t="shared" si="1"/>
        <v>#NUM!</v>
      </c>
      <c r="L39" s="89">
        <v>23</v>
      </c>
      <c r="M39" s="237" t="e">
        <f t="shared" si="7"/>
        <v>#DIV/0!</v>
      </c>
      <c r="N39" s="142" t="e">
        <f t="shared" si="2"/>
        <v>#DIV/0!</v>
      </c>
      <c r="O39" s="142" t="e">
        <f t="shared" si="3"/>
        <v>#DIV/0!</v>
      </c>
      <c r="P39" s="142" t="e">
        <f t="shared" si="8"/>
        <v>#DIV/0!</v>
      </c>
      <c r="Q39" s="142" t="e">
        <f t="shared" si="9"/>
        <v>#DIV/0!</v>
      </c>
    </row>
    <row r="40" spans="1:18" x14ac:dyDescent="0.2">
      <c r="A40" s="89">
        <v>24</v>
      </c>
      <c r="B40" s="237" t="e">
        <f t="shared" si="4"/>
        <v>#NUM!</v>
      </c>
      <c r="C40" s="142" t="e">
        <f t="shared" si="0"/>
        <v>#NUM!</v>
      </c>
      <c r="D40" s="142" t="e">
        <f t="shared" si="5"/>
        <v>#NUM!</v>
      </c>
      <c r="E40" s="142" t="e">
        <f t="shared" si="6"/>
        <v>#NUM!</v>
      </c>
      <c r="F40" s="142" t="e">
        <f t="shared" si="1"/>
        <v>#NUM!</v>
      </c>
      <c r="L40" s="89">
        <v>24</v>
      </c>
      <c r="M40" s="237" t="e">
        <f t="shared" si="7"/>
        <v>#DIV/0!</v>
      </c>
      <c r="N40" s="142" t="e">
        <f t="shared" si="2"/>
        <v>#DIV/0!</v>
      </c>
      <c r="O40" s="142" t="e">
        <f t="shared" si="3"/>
        <v>#DIV/0!</v>
      </c>
      <c r="P40" s="142" t="e">
        <f t="shared" si="8"/>
        <v>#DIV/0!</v>
      </c>
      <c r="Q40" s="142" t="e">
        <f t="shared" si="9"/>
        <v>#DIV/0!</v>
      </c>
    </row>
    <row r="41" spans="1:18" x14ac:dyDescent="0.2">
      <c r="A41" s="89">
        <v>25</v>
      </c>
      <c r="B41" s="237" t="e">
        <f t="shared" si="4"/>
        <v>#NUM!</v>
      </c>
      <c r="C41" s="142" t="e">
        <f t="shared" si="0"/>
        <v>#NUM!</v>
      </c>
      <c r="D41" s="142" t="e">
        <f t="shared" si="5"/>
        <v>#NUM!</v>
      </c>
      <c r="E41" s="142" t="e">
        <f t="shared" si="6"/>
        <v>#NUM!</v>
      </c>
      <c r="F41" s="142" t="e">
        <f t="shared" si="1"/>
        <v>#NUM!</v>
      </c>
      <c r="G41" s="184">
        <f>IF('prijem -inna mena'!$I$90=TRUE,IF($C$11&gt;0,0.00025*C40,0),IF('prijem -inna mena'!$I$91=TRUE,IF('prijem -inna mena'!$F$91&gt;0,0.00025*C40,0),0))</f>
        <v>0</v>
      </c>
      <c r="L41" s="89">
        <v>25</v>
      </c>
      <c r="M41" s="237" t="e">
        <f t="shared" si="7"/>
        <v>#DIV/0!</v>
      </c>
      <c r="N41" s="142" t="e">
        <f t="shared" si="2"/>
        <v>#DIV/0!</v>
      </c>
      <c r="O41" s="142" t="e">
        <f t="shared" si="3"/>
        <v>#DIV/0!</v>
      </c>
      <c r="P41" s="142" t="e">
        <f t="shared" si="8"/>
        <v>#DIV/0!</v>
      </c>
      <c r="Q41" s="142" t="e">
        <f t="shared" si="9"/>
        <v>#DIV/0!</v>
      </c>
      <c r="R41" s="184">
        <f>IF('prijem -inna mena'!$I$90=TRUE,IF($C$11&gt;0,0.00025*N40,0),IF('prijem -inna mena'!$I$91=TRUE,IF('prijem -inna mena'!$F$91&gt;0,0.00025*N40*-1,0),0))</f>
        <v>0</v>
      </c>
    </row>
    <row r="42" spans="1:18" x14ac:dyDescent="0.2">
      <c r="A42" s="89">
        <v>26</v>
      </c>
      <c r="B42" s="237" t="e">
        <f t="shared" si="4"/>
        <v>#NUM!</v>
      </c>
      <c r="C42" s="142" t="e">
        <f t="shared" si="0"/>
        <v>#NUM!</v>
      </c>
      <c r="D42" s="142" t="e">
        <f t="shared" si="5"/>
        <v>#NUM!</v>
      </c>
      <c r="E42" s="142" t="e">
        <f t="shared" si="6"/>
        <v>#NUM!</v>
      </c>
      <c r="F42" s="142" t="e">
        <f t="shared" si="1"/>
        <v>#NUM!</v>
      </c>
      <c r="G42" s="184">
        <f>IF('prijem -inna mena'!$I$90=TRUE,IF($C$11&gt;0,0.00025*C41,0),IF('prijem -inna mena'!$I$91=TRUE,IF('prijem -inna mena'!$F$91&gt;0,0.00025*C41,0),0))</f>
        <v>0</v>
      </c>
      <c r="L42" s="89">
        <v>26</v>
      </c>
      <c r="M42" s="237" t="e">
        <f t="shared" si="7"/>
        <v>#DIV/0!</v>
      </c>
      <c r="N42" s="142" t="e">
        <f t="shared" si="2"/>
        <v>#DIV/0!</v>
      </c>
      <c r="O42" s="142" t="e">
        <f t="shared" si="3"/>
        <v>#DIV/0!</v>
      </c>
      <c r="P42" s="142" t="e">
        <f t="shared" si="8"/>
        <v>#DIV/0!</v>
      </c>
      <c r="Q42" s="142" t="e">
        <f t="shared" si="9"/>
        <v>#DIV/0!</v>
      </c>
      <c r="R42" s="184">
        <f>IF('prijem -inna mena'!$I$90=TRUE,IF($C$11&gt;0,0.00025*N41,0),IF('prijem -inna mena'!$I$91=TRUE,IF('prijem -inna mena'!$F$91&gt;0,0.00025*N41*-1,0),0))</f>
        <v>0</v>
      </c>
    </row>
    <row r="43" spans="1:18" x14ac:dyDescent="0.2">
      <c r="A43" s="89">
        <v>27</v>
      </c>
      <c r="B43" s="237" t="e">
        <f t="shared" si="4"/>
        <v>#NUM!</v>
      </c>
      <c r="C43" s="142" t="e">
        <f t="shared" si="0"/>
        <v>#NUM!</v>
      </c>
      <c r="D43" s="142" t="e">
        <f t="shared" si="5"/>
        <v>#NUM!</v>
      </c>
      <c r="E43" s="142" t="e">
        <f t="shared" si="6"/>
        <v>#NUM!</v>
      </c>
      <c r="F43" s="142" t="e">
        <f t="shared" si="1"/>
        <v>#NUM!</v>
      </c>
      <c r="G43" s="184">
        <f>IF('prijem -inna mena'!$I$90=TRUE,IF($C$11&gt;0,0.00025*C42,0),IF('prijem -inna mena'!$I$91=TRUE,IF('prijem -inna mena'!$F$91&gt;0,0.00025*C42,0),0))</f>
        <v>0</v>
      </c>
      <c r="L43" s="89">
        <v>27</v>
      </c>
      <c r="M43" s="237" t="e">
        <f t="shared" si="7"/>
        <v>#DIV/0!</v>
      </c>
      <c r="N43" s="142" t="e">
        <f t="shared" si="2"/>
        <v>#DIV/0!</v>
      </c>
      <c r="O43" s="142" t="e">
        <f t="shared" si="3"/>
        <v>#DIV/0!</v>
      </c>
      <c r="P43" s="142" t="e">
        <f t="shared" si="8"/>
        <v>#DIV/0!</v>
      </c>
      <c r="Q43" s="142" t="e">
        <f t="shared" si="9"/>
        <v>#DIV/0!</v>
      </c>
      <c r="R43" s="184">
        <f>IF('prijem -inna mena'!$I$90=TRUE,IF($C$11&gt;0,0.00025*N42,0),IF('prijem -inna mena'!$I$91=TRUE,IF('prijem -inna mena'!$F$91&gt;0,0.00025*N42*-1,0),0))</f>
        <v>0</v>
      </c>
    </row>
    <row r="44" spans="1:18" x14ac:dyDescent="0.2">
      <c r="A44" s="89">
        <v>28</v>
      </c>
      <c r="B44" s="237" t="e">
        <f t="shared" si="4"/>
        <v>#NUM!</v>
      </c>
      <c r="C44" s="142" t="e">
        <f t="shared" si="0"/>
        <v>#NUM!</v>
      </c>
      <c r="D44" s="142" t="e">
        <f t="shared" si="5"/>
        <v>#NUM!</v>
      </c>
      <c r="E44" s="142" t="e">
        <f t="shared" si="6"/>
        <v>#NUM!</v>
      </c>
      <c r="F44" s="142" t="e">
        <f t="shared" si="1"/>
        <v>#NUM!</v>
      </c>
      <c r="G44" s="184">
        <f>IF('prijem -inna mena'!$I$90=TRUE,IF($C$11&gt;0,0.00025*C43,0),IF('prijem -inna mena'!$I$91=TRUE,IF('prijem -inna mena'!$F$91&gt;0,0.00025*C43,0),0))</f>
        <v>0</v>
      </c>
      <c r="L44" s="89">
        <v>28</v>
      </c>
      <c r="M44" s="237" t="e">
        <f t="shared" si="7"/>
        <v>#DIV/0!</v>
      </c>
      <c r="N44" s="142" t="e">
        <f t="shared" si="2"/>
        <v>#DIV/0!</v>
      </c>
      <c r="O44" s="142" t="e">
        <f t="shared" si="3"/>
        <v>#DIV/0!</v>
      </c>
      <c r="P44" s="142" t="e">
        <f t="shared" si="8"/>
        <v>#DIV/0!</v>
      </c>
      <c r="Q44" s="142" t="e">
        <f t="shared" si="9"/>
        <v>#DIV/0!</v>
      </c>
      <c r="R44" s="184">
        <f>IF('prijem -inna mena'!$I$90=TRUE,IF($C$11&gt;0,0.00025*N43,0),IF('prijem -inna mena'!$I$91=TRUE,IF('prijem -inna mena'!$F$91&gt;0,0.00025*N43*-1,0),0))</f>
        <v>0</v>
      </c>
    </row>
    <row r="45" spans="1:18" x14ac:dyDescent="0.2">
      <c r="A45" s="89">
        <v>29</v>
      </c>
      <c r="B45" s="237" t="e">
        <f t="shared" si="4"/>
        <v>#NUM!</v>
      </c>
      <c r="C45" s="142" t="e">
        <f t="shared" si="0"/>
        <v>#NUM!</v>
      </c>
      <c r="D45" s="142" t="e">
        <f t="shared" si="5"/>
        <v>#NUM!</v>
      </c>
      <c r="E45" s="142" t="e">
        <f t="shared" si="6"/>
        <v>#NUM!</v>
      </c>
      <c r="F45" s="142" t="e">
        <f t="shared" si="1"/>
        <v>#NUM!</v>
      </c>
      <c r="G45" s="184">
        <f>IF('prijem -inna mena'!$I$90=TRUE,IF($C$11&gt;0,0.00025*C44,0),IF('prijem -inna mena'!$I$91=TRUE,IF('prijem -inna mena'!$F$91&gt;0,0.00025*C44,0),0))</f>
        <v>0</v>
      </c>
      <c r="L45" s="89">
        <v>29</v>
      </c>
      <c r="M45" s="237" t="e">
        <f t="shared" si="7"/>
        <v>#DIV/0!</v>
      </c>
      <c r="N45" s="142" t="e">
        <f t="shared" si="2"/>
        <v>#DIV/0!</v>
      </c>
      <c r="O45" s="142" t="e">
        <f t="shared" si="3"/>
        <v>#DIV/0!</v>
      </c>
      <c r="P45" s="142" t="e">
        <f t="shared" si="8"/>
        <v>#DIV/0!</v>
      </c>
      <c r="Q45" s="142" t="e">
        <f t="shared" si="9"/>
        <v>#DIV/0!</v>
      </c>
      <c r="R45" s="184">
        <f>IF('prijem -inna mena'!$I$90=TRUE,IF($C$11&gt;0,0.00025*N44,0),IF('prijem -inna mena'!$I$91=TRUE,IF('prijem -inna mena'!$F$91&gt;0,0.00025*N44*-1,0),0))</f>
        <v>0</v>
      </c>
    </row>
    <row r="46" spans="1:18" x14ac:dyDescent="0.2">
      <c r="A46" s="89">
        <v>30</v>
      </c>
      <c r="B46" s="237" t="e">
        <f t="shared" si="4"/>
        <v>#NUM!</v>
      </c>
      <c r="C46" s="142" t="e">
        <f t="shared" si="0"/>
        <v>#NUM!</v>
      </c>
      <c r="D46" s="142" t="e">
        <f t="shared" si="5"/>
        <v>#NUM!</v>
      </c>
      <c r="E46" s="142" t="e">
        <f t="shared" si="6"/>
        <v>#NUM!</v>
      </c>
      <c r="F46" s="142" t="e">
        <f t="shared" si="1"/>
        <v>#NUM!</v>
      </c>
      <c r="G46" s="184">
        <f>IF('prijem -inna mena'!$I$90=TRUE,IF($C$11&gt;0,0.00025*C45,0),IF('prijem -inna mena'!$I$91=TRUE,IF('prijem -inna mena'!$F$91&gt;0,0.00025*C45,0),0))</f>
        <v>0</v>
      </c>
      <c r="L46" s="89">
        <v>30</v>
      </c>
      <c r="M46" s="237" t="e">
        <f t="shared" si="7"/>
        <v>#DIV/0!</v>
      </c>
      <c r="N46" s="142" t="e">
        <f t="shared" si="2"/>
        <v>#DIV/0!</v>
      </c>
      <c r="O46" s="142" t="e">
        <f t="shared" si="3"/>
        <v>#DIV/0!</v>
      </c>
      <c r="P46" s="142" t="e">
        <f t="shared" si="8"/>
        <v>#DIV/0!</v>
      </c>
      <c r="Q46" s="142" t="e">
        <f t="shared" si="9"/>
        <v>#DIV/0!</v>
      </c>
      <c r="R46" s="184">
        <f>IF('prijem -inna mena'!$I$90=TRUE,IF($C$11&gt;0,0.00025*N45,0),IF('prijem -inna mena'!$I$91=TRUE,IF('prijem -inna mena'!$F$91&gt;0,0.00025*N45*-1,0),0))</f>
        <v>0</v>
      </c>
    </row>
    <row r="47" spans="1:18" x14ac:dyDescent="0.2">
      <c r="A47" s="89">
        <v>31</v>
      </c>
      <c r="B47" s="237" t="e">
        <f t="shared" si="4"/>
        <v>#NUM!</v>
      </c>
      <c r="C47" s="142" t="e">
        <f t="shared" si="0"/>
        <v>#NUM!</v>
      </c>
      <c r="D47" s="142" t="e">
        <f t="shared" si="5"/>
        <v>#NUM!</v>
      </c>
      <c r="E47" s="142" t="e">
        <f t="shared" si="6"/>
        <v>#NUM!</v>
      </c>
      <c r="F47" s="142" t="e">
        <f t="shared" si="1"/>
        <v>#NUM!</v>
      </c>
      <c r="G47" s="184">
        <f>IF('prijem -inna mena'!$I$90=TRUE,IF($C$11&gt;0,0.00025*C46,0),IF('prijem -inna mena'!$I$91=TRUE,IF('prijem -inna mena'!$F$91&gt;0,0.00025*C46,0),0))</f>
        <v>0</v>
      </c>
      <c r="L47" s="89">
        <v>31</v>
      </c>
      <c r="M47" s="237" t="e">
        <f t="shared" si="7"/>
        <v>#DIV/0!</v>
      </c>
      <c r="N47" s="142" t="e">
        <f t="shared" si="2"/>
        <v>#DIV/0!</v>
      </c>
      <c r="O47" s="142" t="e">
        <f t="shared" si="3"/>
        <v>#DIV/0!</v>
      </c>
      <c r="P47" s="142" t="e">
        <f t="shared" si="8"/>
        <v>#DIV/0!</v>
      </c>
      <c r="Q47" s="142" t="e">
        <f t="shared" si="9"/>
        <v>#DIV/0!</v>
      </c>
      <c r="R47" s="184">
        <f>IF('prijem -inna mena'!$I$90=TRUE,IF($C$11&gt;0,0.00025*N46,0),IF('prijem -inna mena'!$I$91=TRUE,IF('prijem -inna mena'!$F$91&gt;0,0.00025*N46*-1,0),0))</f>
        <v>0</v>
      </c>
    </row>
    <row r="48" spans="1:18" x14ac:dyDescent="0.2">
      <c r="A48" s="89">
        <v>32</v>
      </c>
      <c r="B48" s="237" t="e">
        <f t="shared" si="4"/>
        <v>#NUM!</v>
      </c>
      <c r="C48" s="142" t="e">
        <f t="shared" si="0"/>
        <v>#NUM!</v>
      </c>
      <c r="D48" s="142" t="e">
        <f t="shared" si="5"/>
        <v>#NUM!</v>
      </c>
      <c r="E48" s="142" t="e">
        <f t="shared" si="6"/>
        <v>#NUM!</v>
      </c>
      <c r="F48" s="142" t="e">
        <f t="shared" si="1"/>
        <v>#NUM!</v>
      </c>
      <c r="G48" s="184">
        <f>IF('prijem -inna mena'!$I$90=TRUE,IF($C$11&gt;0,0.00025*C47,0),IF('prijem -inna mena'!$I$91=TRUE,IF('prijem -inna mena'!$F$91&gt;0,0.00025*C47,0),0))</f>
        <v>0</v>
      </c>
      <c r="L48" s="89">
        <v>32</v>
      </c>
      <c r="M48" s="237" t="e">
        <f t="shared" si="7"/>
        <v>#DIV/0!</v>
      </c>
      <c r="N48" s="142" t="e">
        <f t="shared" si="2"/>
        <v>#DIV/0!</v>
      </c>
      <c r="O48" s="142" t="e">
        <f t="shared" si="3"/>
        <v>#DIV/0!</v>
      </c>
      <c r="P48" s="142" t="e">
        <f t="shared" si="8"/>
        <v>#DIV/0!</v>
      </c>
      <c r="Q48" s="142" t="e">
        <f t="shared" si="9"/>
        <v>#DIV/0!</v>
      </c>
      <c r="R48" s="184">
        <f>IF('prijem -inna mena'!$I$90=TRUE,IF($C$11&gt;0,0.00025*N47,0),IF('prijem -inna mena'!$I$91=TRUE,IF('prijem -inna mena'!$F$91&gt;0,0.00025*N47*-1,0),0))</f>
        <v>0</v>
      </c>
    </row>
    <row r="49" spans="1:18" x14ac:dyDescent="0.2">
      <c r="A49" s="89">
        <v>33</v>
      </c>
      <c r="B49" s="237" t="e">
        <f t="shared" si="4"/>
        <v>#NUM!</v>
      </c>
      <c r="C49" s="142" t="e">
        <f t="shared" si="0"/>
        <v>#NUM!</v>
      </c>
      <c r="D49" s="142" t="e">
        <f t="shared" si="5"/>
        <v>#NUM!</v>
      </c>
      <c r="E49" s="142" t="e">
        <f t="shared" si="6"/>
        <v>#NUM!</v>
      </c>
      <c r="F49" s="142" t="e">
        <f t="shared" si="1"/>
        <v>#NUM!</v>
      </c>
      <c r="G49" s="184">
        <f>IF('prijem -inna mena'!$I$90=TRUE,IF($C$11&gt;0,0.00025*C48,0),IF('prijem -inna mena'!$I$91=TRUE,IF('prijem -inna mena'!$F$91&gt;0,0.00025*C48,0),0))</f>
        <v>0</v>
      </c>
      <c r="L49" s="89">
        <v>33</v>
      </c>
      <c r="M49" s="237" t="e">
        <f t="shared" si="7"/>
        <v>#DIV/0!</v>
      </c>
      <c r="N49" s="142" t="e">
        <f t="shared" si="2"/>
        <v>#DIV/0!</v>
      </c>
      <c r="O49" s="142" t="e">
        <f t="shared" si="3"/>
        <v>#DIV/0!</v>
      </c>
      <c r="P49" s="142" t="e">
        <f t="shared" si="8"/>
        <v>#DIV/0!</v>
      </c>
      <c r="Q49" s="142" t="e">
        <f t="shared" si="9"/>
        <v>#DIV/0!</v>
      </c>
      <c r="R49" s="184">
        <f>IF('prijem -inna mena'!$I$90=TRUE,IF($C$11&gt;0,0.00025*N48,0),IF('prijem -inna mena'!$I$91=TRUE,IF('prijem -inna mena'!$F$91&gt;0,0.00025*N48*-1,0),0))</f>
        <v>0</v>
      </c>
    </row>
    <row r="50" spans="1:18" x14ac:dyDescent="0.2">
      <c r="A50" s="89">
        <v>34</v>
      </c>
      <c r="B50" s="237" t="e">
        <f t="shared" si="4"/>
        <v>#NUM!</v>
      </c>
      <c r="C50" s="142" t="e">
        <f t="shared" si="0"/>
        <v>#NUM!</v>
      </c>
      <c r="D50" s="142" t="e">
        <f t="shared" si="5"/>
        <v>#NUM!</v>
      </c>
      <c r="E50" s="142" t="e">
        <f t="shared" si="6"/>
        <v>#NUM!</v>
      </c>
      <c r="F50" s="142" t="e">
        <f t="shared" si="1"/>
        <v>#NUM!</v>
      </c>
      <c r="G50" s="184">
        <f>IF('prijem -inna mena'!$I$90=TRUE,IF($C$11&gt;0,0.00025*C49,0),IF('prijem -inna mena'!$I$91=TRUE,IF('prijem -inna mena'!$F$91&gt;0,0.00025*C49,0),0))</f>
        <v>0</v>
      </c>
      <c r="L50" s="89">
        <v>34</v>
      </c>
      <c r="M50" s="237" t="e">
        <f t="shared" si="7"/>
        <v>#DIV/0!</v>
      </c>
      <c r="N50" s="142" t="e">
        <f t="shared" si="2"/>
        <v>#DIV/0!</v>
      </c>
      <c r="O50" s="142" t="e">
        <f t="shared" si="3"/>
        <v>#DIV/0!</v>
      </c>
      <c r="P50" s="142" t="e">
        <f t="shared" si="8"/>
        <v>#DIV/0!</v>
      </c>
      <c r="Q50" s="142" t="e">
        <f t="shared" si="9"/>
        <v>#DIV/0!</v>
      </c>
      <c r="R50" s="184">
        <f>IF('prijem -inna mena'!$I$90=TRUE,IF($C$11&gt;0,0.00025*N49,0),IF('prijem -inna mena'!$I$91=TRUE,IF('prijem -inna mena'!$F$91&gt;0,0.00025*N49*-1,0),0))</f>
        <v>0</v>
      </c>
    </row>
    <row r="51" spans="1:18" x14ac:dyDescent="0.2">
      <c r="A51" s="89">
        <v>35</v>
      </c>
      <c r="B51" s="237" t="e">
        <f t="shared" si="4"/>
        <v>#NUM!</v>
      </c>
      <c r="C51" s="142" t="e">
        <f t="shared" si="0"/>
        <v>#NUM!</v>
      </c>
      <c r="D51" s="142" t="e">
        <f t="shared" si="5"/>
        <v>#NUM!</v>
      </c>
      <c r="E51" s="142" t="e">
        <f t="shared" si="6"/>
        <v>#NUM!</v>
      </c>
      <c r="F51" s="142" t="e">
        <f t="shared" si="1"/>
        <v>#NUM!</v>
      </c>
      <c r="G51" s="184">
        <f>IF('prijem -inna mena'!$I$90=TRUE,IF($C$11&gt;0,0.00025*C50,0),IF('prijem -inna mena'!$I$91=TRUE,IF('prijem -inna mena'!$F$91&gt;0,0.00025*C50,0),0))</f>
        <v>0</v>
      </c>
      <c r="L51" s="89">
        <v>35</v>
      </c>
      <c r="M51" s="237" t="e">
        <f t="shared" si="7"/>
        <v>#DIV/0!</v>
      </c>
      <c r="N51" s="142" t="e">
        <f t="shared" si="2"/>
        <v>#DIV/0!</v>
      </c>
      <c r="O51" s="142" t="e">
        <f t="shared" si="3"/>
        <v>#DIV/0!</v>
      </c>
      <c r="P51" s="142" t="e">
        <f t="shared" si="8"/>
        <v>#DIV/0!</v>
      </c>
      <c r="Q51" s="142" t="e">
        <f t="shared" si="9"/>
        <v>#DIV/0!</v>
      </c>
      <c r="R51" s="184">
        <f>IF('prijem -inna mena'!$I$90=TRUE,IF($C$11&gt;0,0.00025*N50,0),IF('prijem -inna mena'!$I$91=TRUE,IF('prijem -inna mena'!$F$91&gt;0,0.00025*N50*-1,0),0))</f>
        <v>0</v>
      </c>
    </row>
    <row r="52" spans="1:18" x14ac:dyDescent="0.2">
      <c r="A52" s="89">
        <v>36</v>
      </c>
      <c r="B52" s="237" t="e">
        <f t="shared" si="4"/>
        <v>#NUM!</v>
      </c>
      <c r="C52" s="142" t="e">
        <f t="shared" si="0"/>
        <v>#NUM!</v>
      </c>
      <c r="D52" s="142" t="e">
        <f t="shared" si="5"/>
        <v>#NUM!</v>
      </c>
      <c r="E52" s="142" t="e">
        <f t="shared" si="6"/>
        <v>#NUM!</v>
      </c>
      <c r="F52" s="142" t="e">
        <f t="shared" si="1"/>
        <v>#NUM!</v>
      </c>
      <c r="G52" s="184">
        <f>IF('prijem -inna mena'!$I$90=TRUE,IF($C$11&gt;0,0.00025*C51,0),IF('prijem -inna mena'!$I$91=TRUE,IF('prijem -inna mena'!$F$91&gt;0,0.00025*C51,0),0))</f>
        <v>0</v>
      </c>
      <c r="L52" s="89">
        <v>36</v>
      </c>
      <c r="M52" s="237" t="e">
        <f t="shared" si="7"/>
        <v>#DIV/0!</v>
      </c>
      <c r="N52" s="142" t="e">
        <f t="shared" si="2"/>
        <v>#DIV/0!</v>
      </c>
      <c r="O52" s="142" t="e">
        <f t="shared" si="3"/>
        <v>#DIV/0!</v>
      </c>
      <c r="P52" s="142" t="e">
        <f t="shared" si="8"/>
        <v>#DIV/0!</v>
      </c>
      <c r="Q52" s="142" t="e">
        <f t="shared" si="9"/>
        <v>#DIV/0!</v>
      </c>
      <c r="R52" s="184">
        <f>IF('prijem -inna mena'!$I$90=TRUE,IF($C$11&gt;0,0.00025*N51,0),IF('prijem -inna mena'!$I$91=TRUE,IF('prijem -inna mena'!$F$91&gt;0,0.00025*N51*-1,0),0))</f>
        <v>0</v>
      </c>
    </row>
    <row r="53" spans="1:18" x14ac:dyDescent="0.2">
      <c r="A53" s="89">
        <v>37</v>
      </c>
      <c r="B53" s="237" t="e">
        <f t="shared" si="4"/>
        <v>#NUM!</v>
      </c>
      <c r="C53" s="142" t="e">
        <f t="shared" si="0"/>
        <v>#NUM!</v>
      </c>
      <c r="D53" s="142" t="e">
        <f t="shared" si="5"/>
        <v>#NUM!</v>
      </c>
      <c r="E53" s="142" t="e">
        <f t="shared" si="6"/>
        <v>#NUM!</v>
      </c>
      <c r="F53" s="142" t="e">
        <f t="shared" si="1"/>
        <v>#NUM!</v>
      </c>
      <c r="G53" s="184">
        <f>IF('prijem -inna mena'!$I$90=TRUE,IF($C$11&gt;0,0.00025*C52,0),IF('prijem -inna mena'!$I$91=TRUE,IF('prijem -inna mena'!$F$91&gt;0,0.00025*C52,0),0))</f>
        <v>0</v>
      </c>
      <c r="L53" s="89">
        <v>37</v>
      </c>
      <c r="M53" s="237" t="e">
        <f t="shared" si="7"/>
        <v>#DIV/0!</v>
      </c>
      <c r="N53" s="142" t="e">
        <f t="shared" si="2"/>
        <v>#DIV/0!</v>
      </c>
      <c r="O53" s="142" t="e">
        <f t="shared" si="3"/>
        <v>#DIV/0!</v>
      </c>
      <c r="P53" s="142" t="e">
        <f t="shared" si="8"/>
        <v>#DIV/0!</v>
      </c>
      <c r="Q53" s="142" t="e">
        <f t="shared" si="9"/>
        <v>#DIV/0!</v>
      </c>
      <c r="R53" s="184">
        <f>IF('prijem -inna mena'!$I$90=TRUE,IF($C$11&gt;0,0.00025*N52,0),IF('prijem -inna mena'!$I$91=TRUE,IF('prijem -inna mena'!$F$91&gt;0,0.00025*N52*-1,0),0))</f>
        <v>0</v>
      </c>
    </row>
    <row r="54" spans="1:18" x14ac:dyDescent="0.2">
      <c r="A54" s="89">
        <v>38</v>
      </c>
      <c r="B54" s="237" t="e">
        <f t="shared" si="4"/>
        <v>#NUM!</v>
      </c>
      <c r="C54" s="142" t="e">
        <f t="shared" si="0"/>
        <v>#NUM!</v>
      </c>
      <c r="D54" s="142" t="e">
        <f t="shared" si="5"/>
        <v>#NUM!</v>
      </c>
      <c r="E54" s="142" t="e">
        <f t="shared" si="6"/>
        <v>#NUM!</v>
      </c>
      <c r="F54" s="142" t="e">
        <f t="shared" si="1"/>
        <v>#NUM!</v>
      </c>
      <c r="G54" s="184">
        <f>IF('prijem -inna mena'!$I$90=TRUE,IF($C$11&gt;0,0.00025*C53,0),IF('prijem -inna mena'!$I$91=TRUE,IF('prijem -inna mena'!$F$91&gt;0,0.00025*C53,0),0))</f>
        <v>0</v>
      </c>
      <c r="L54" s="89">
        <v>38</v>
      </c>
      <c r="M54" s="237" t="e">
        <f t="shared" si="7"/>
        <v>#DIV/0!</v>
      </c>
      <c r="N54" s="142" t="e">
        <f t="shared" si="2"/>
        <v>#DIV/0!</v>
      </c>
      <c r="O54" s="142" t="e">
        <f t="shared" si="3"/>
        <v>#DIV/0!</v>
      </c>
      <c r="P54" s="142" t="e">
        <f t="shared" si="8"/>
        <v>#DIV/0!</v>
      </c>
      <c r="Q54" s="142" t="e">
        <f t="shared" si="9"/>
        <v>#DIV/0!</v>
      </c>
      <c r="R54" s="184">
        <f>IF('prijem -inna mena'!$I$90=TRUE,IF($C$11&gt;0,0.00025*N53,0),IF('prijem -inna mena'!$I$91=TRUE,IF('prijem -inna mena'!$F$91&gt;0,0.00025*N53*-1,0),0))</f>
        <v>0</v>
      </c>
    </row>
    <row r="55" spans="1:18" x14ac:dyDescent="0.2">
      <c r="A55" s="89">
        <v>39</v>
      </c>
      <c r="B55" s="237" t="e">
        <f t="shared" si="4"/>
        <v>#NUM!</v>
      </c>
      <c r="C55" s="142" t="e">
        <f t="shared" si="0"/>
        <v>#NUM!</v>
      </c>
      <c r="D55" s="142" t="e">
        <f t="shared" si="5"/>
        <v>#NUM!</v>
      </c>
      <c r="E55" s="142" t="e">
        <f t="shared" si="6"/>
        <v>#NUM!</v>
      </c>
      <c r="F55" s="142" t="e">
        <f t="shared" si="1"/>
        <v>#NUM!</v>
      </c>
      <c r="G55" s="184">
        <f>IF('prijem -inna mena'!$I$90=TRUE,IF($C$11&gt;0,0.00025*C54,0),IF('prijem -inna mena'!$I$91=TRUE,IF('prijem -inna mena'!$F$91&gt;0,0.00025*C54,0),0))</f>
        <v>0</v>
      </c>
      <c r="L55" s="89">
        <v>39</v>
      </c>
      <c r="M55" s="237" t="e">
        <f t="shared" si="7"/>
        <v>#DIV/0!</v>
      </c>
      <c r="N55" s="142" t="e">
        <f t="shared" si="2"/>
        <v>#DIV/0!</v>
      </c>
      <c r="O55" s="142" t="e">
        <f t="shared" si="3"/>
        <v>#DIV/0!</v>
      </c>
      <c r="P55" s="142" t="e">
        <f t="shared" si="8"/>
        <v>#DIV/0!</v>
      </c>
      <c r="Q55" s="142" t="e">
        <f t="shared" si="9"/>
        <v>#DIV/0!</v>
      </c>
      <c r="R55" s="184">
        <f>IF('prijem -inna mena'!$I$90=TRUE,IF($C$11&gt;0,0.00025*N54,0),IF('prijem -inna mena'!$I$91=TRUE,IF('prijem -inna mena'!$F$91&gt;0,0.00025*N54*-1,0),0))</f>
        <v>0</v>
      </c>
    </row>
    <row r="56" spans="1:18" x14ac:dyDescent="0.2">
      <c r="A56" s="89">
        <v>40</v>
      </c>
      <c r="B56" s="237" t="e">
        <f t="shared" si="4"/>
        <v>#NUM!</v>
      </c>
      <c r="C56" s="142" t="e">
        <f t="shared" si="0"/>
        <v>#NUM!</v>
      </c>
      <c r="D56" s="142" t="e">
        <f t="shared" si="5"/>
        <v>#NUM!</v>
      </c>
      <c r="E56" s="142" t="e">
        <f t="shared" si="6"/>
        <v>#NUM!</v>
      </c>
      <c r="F56" s="142" t="e">
        <f t="shared" si="1"/>
        <v>#NUM!</v>
      </c>
      <c r="G56" s="184">
        <f>IF('prijem -inna mena'!$I$90=TRUE,IF($C$11&gt;0,0.00025*C55,0),IF('prijem -inna mena'!$I$91=TRUE,IF('prijem -inna mena'!$F$91&gt;0,0.00025*C55,0),0))</f>
        <v>0</v>
      </c>
      <c r="L56" s="89">
        <v>40</v>
      </c>
      <c r="M56" s="237" t="e">
        <f t="shared" si="7"/>
        <v>#DIV/0!</v>
      </c>
      <c r="N56" s="142" t="e">
        <f t="shared" si="2"/>
        <v>#DIV/0!</v>
      </c>
      <c r="O56" s="142" t="e">
        <f t="shared" si="3"/>
        <v>#DIV/0!</v>
      </c>
      <c r="P56" s="142" t="e">
        <f t="shared" si="8"/>
        <v>#DIV/0!</v>
      </c>
      <c r="Q56" s="142" t="e">
        <f t="shared" si="9"/>
        <v>#DIV/0!</v>
      </c>
      <c r="R56" s="184">
        <f>IF('prijem -inna mena'!$I$90=TRUE,IF($C$11&gt;0,0.00025*N55,0),IF('prijem -inna mena'!$I$91=TRUE,IF('prijem -inna mena'!$F$91&gt;0,0.00025*N55*-1,0),0))</f>
        <v>0</v>
      </c>
    </row>
    <row r="57" spans="1:18" x14ac:dyDescent="0.2">
      <c r="A57" s="89">
        <v>41</v>
      </c>
      <c r="B57" s="237" t="e">
        <f t="shared" si="4"/>
        <v>#NUM!</v>
      </c>
      <c r="C57" s="142" t="e">
        <f t="shared" si="0"/>
        <v>#NUM!</v>
      </c>
      <c r="D57" s="142" t="e">
        <f t="shared" si="5"/>
        <v>#NUM!</v>
      </c>
      <c r="E57" s="142" t="e">
        <f t="shared" si="6"/>
        <v>#NUM!</v>
      </c>
      <c r="F57" s="142" t="e">
        <f t="shared" si="1"/>
        <v>#NUM!</v>
      </c>
      <c r="G57" s="184">
        <f>IF('prijem -inna mena'!$I$90=TRUE,IF($C$11&gt;0,0.00025*C56,0),IF('prijem -inna mena'!$I$91=TRUE,IF('prijem -inna mena'!$F$91&gt;0,0.00025*C56,0),0))</f>
        <v>0</v>
      </c>
      <c r="L57" s="89">
        <v>41</v>
      </c>
      <c r="M57" s="237" t="e">
        <f t="shared" si="7"/>
        <v>#DIV/0!</v>
      </c>
      <c r="N57" s="142" t="e">
        <f t="shared" si="2"/>
        <v>#DIV/0!</v>
      </c>
      <c r="O57" s="142" t="e">
        <f t="shared" si="3"/>
        <v>#DIV/0!</v>
      </c>
      <c r="P57" s="142" t="e">
        <f t="shared" si="8"/>
        <v>#DIV/0!</v>
      </c>
      <c r="Q57" s="142" t="e">
        <f t="shared" si="9"/>
        <v>#DIV/0!</v>
      </c>
      <c r="R57" s="184">
        <f>IF('prijem -inna mena'!$I$90=TRUE,IF($C$11&gt;0,0.00025*N56,0),IF('prijem -inna mena'!$I$91=TRUE,IF('prijem -inna mena'!$F$91&gt;0,0.00025*N56*-1,0),0))</f>
        <v>0</v>
      </c>
    </row>
    <row r="58" spans="1:18" x14ac:dyDescent="0.2">
      <c r="A58" s="89">
        <v>42</v>
      </c>
      <c r="B58" s="237" t="e">
        <f t="shared" si="4"/>
        <v>#NUM!</v>
      </c>
      <c r="C58" s="142" t="e">
        <f t="shared" si="0"/>
        <v>#NUM!</v>
      </c>
      <c r="D58" s="142" t="e">
        <f t="shared" si="5"/>
        <v>#NUM!</v>
      </c>
      <c r="E58" s="142" t="e">
        <f t="shared" si="6"/>
        <v>#NUM!</v>
      </c>
      <c r="F58" s="142" t="e">
        <f t="shared" si="1"/>
        <v>#NUM!</v>
      </c>
      <c r="G58" s="184">
        <f>IF('prijem -inna mena'!$I$90=TRUE,IF($C$11&gt;0,0.00025*C57,0),IF('prijem -inna mena'!$I$91=TRUE,IF('prijem -inna mena'!$F$91&gt;0,0.00025*C57,0),0))</f>
        <v>0</v>
      </c>
      <c r="L58" s="89">
        <v>42</v>
      </c>
      <c r="M58" s="237" t="e">
        <f t="shared" si="7"/>
        <v>#DIV/0!</v>
      </c>
      <c r="N58" s="142" t="e">
        <f t="shared" si="2"/>
        <v>#DIV/0!</v>
      </c>
      <c r="O58" s="142" t="e">
        <f t="shared" si="3"/>
        <v>#DIV/0!</v>
      </c>
      <c r="P58" s="142" t="e">
        <f t="shared" si="8"/>
        <v>#DIV/0!</v>
      </c>
      <c r="Q58" s="142" t="e">
        <f t="shared" si="9"/>
        <v>#DIV/0!</v>
      </c>
      <c r="R58" s="184">
        <f>IF('prijem -inna mena'!$I$90=TRUE,IF($C$11&gt;0,0.00025*N57,0),IF('prijem -inna mena'!$I$91=TRUE,IF('prijem -inna mena'!$F$91&gt;0,0.00025*N57*-1,0),0))</f>
        <v>0</v>
      </c>
    </row>
    <row r="59" spans="1:18" x14ac:dyDescent="0.2">
      <c r="A59" s="89">
        <v>43</v>
      </c>
      <c r="B59" s="237" t="e">
        <f t="shared" si="4"/>
        <v>#NUM!</v>
      </c>
      <c r="C59" s="142" t="e">
        <f t="shared" si="0"/>
        <v>#NUM!</v>
      </c>
      <c r="D59" s="142" t="e">
        <f t="shared" si="5"/>
        <v>#NUM!</v>
      </c>
      <c r="E59" s="142" t="e">
        <f t="shared" si="6"/>
        <v>#NUM!</v>
      </c>
      <c r="F59" s="142" t="e">
        <f t="shared" si="1"/>
        <v>#NUM!</v>
      </c>
      <c r="G59" s="184">
        <f>IF('prijem -inna mena'!$I$90=TRUE,IF($C$11&gt;0,0.00025*C58,0),IF('prijem -inna mena'!$I$91=TRUE,IF('prijem -inna mena'!$F$91&gt;0,0.00025*C58,0),0))</f>
        <v>0</v>
      </c>
      <c r="L59" s="89">
        <v>43</v>
      </c>
      <c r="M59" s="237" t="e">
        <f t="shared" si="7"/>
        <v>#DIV/0!</v>
      </c>
      <c r="N59" s="142" t="e">
        <f t="shared" si="2"/>
        <v>#DIV/0!</v>
      </c>
      <c r="O59" s="142" t="e">
        <f t="shared" si="3"/>
        <v>#DIV/0!</v>
      </c>
      <c r="P59" s="142" t="e">
        <f t="shared" si="8"/>
        <v>#DIV/0!</v>
      </c>
      <c r="Q59" s="142" t="e">
        <f t="shared" si="9"/>
        <v>#DIV/0!</v>
      </c>
      <c r="R59" s="184">
        <f>IF('prijem -inna mena'!$I$90=TRUE,IF($C$11&gt;0,0.00025*N58,0),IF('prijem -inna mena'!$I$91=TRUE,IF('prijem -inna mena'!$F$91&gt;0,0.00025*N58*-1,0),0))</f>
        <v>0</v>
      </c>
    </row>
    <row r="60" spans="1:18" x14ac:dyDescent="0.2">
      <c r="A60" s="89">
        <v>44</v>
      </c>
      <c r="B60" s="237" t="e">
        <f t="shared" si="4"/>
        <v>#NUM!</v>
      </c>
      <c r="C60" s="142" t="e">
        <f t="shared" si="0"/>
        <v>#NUM!</v>
      </c>
      <c r="D60" s="142" t="e">
        <f t="shared" si="5"/>
        <v>#NUM!</v>
      </c>
      <c r="E60" s="142" t="e">
        <f t="shared" si="6"/>
        <v>#NUM!</v>
      </c>
      <c r="F60" s="142" t="e">
        <f t="shared" si="1"/>
        <v>#NUM!</v>
      </c>
      <c r="G60" s="184">
        <f>IF('prijem -inna mena'!$I$90=TRUE,IF($C$11&gt;0,0.00025*C59,0),IF('prijem -inna mena'!$I$91=TRUE,IF('prijem -inna mena'!$F$91&gt;0,0.00025*C59,0),0))</f>
        <v>0</v>
      </c>
      <c r="L60" s="89">
        <v>44</v>
      </c>
      <c r="M60" s="237" t="e">
        <f t="shared" si="7"/>
        <v>#DIV/0!</v>
      </c>
      <c r="N60" s="142" t="e">
        <f t="shared" si="2"/>
        <v>#DIV/0!</v>
      </c>
      <c r="O60" s="142" t="e">
        <f t="shared" si="3"/>
        <v>#DIV/0!</v>
      </c>
      <c r="P60" s="142" t="e">
        <f t="shared" si="8"/>
        <v>#DIV/0!</v>
      </c>
      <c r="Q60" s="142" t="e">
        <f t="shared" si="9"/>
        <v>#DIV/0!</v>
      </c>
      <c r="R60" s="184">
        <f>IF('prijem -inna mena'!$I$90=TRUE,IF($C$11&gt;0,0.00025*N59,0),IF('prijem -inna mena'!$I$91=TRUE,IF('prijem -inna mena'!$F$91&gt;0,0.00025*N59*-1,0),0))</f>
        <v>0</v>
      </c>
    </row>
    <row r="61" spans="1:18" x14ac:dyDescent="0.2">
      <c r="A61" s="89">
        <v>45</v>
      </c>
      <c r="B61" s="237" t="e">
        <f t="shared" si="4"/>
        <v>#NUM!</v>
      </c>
      <c r="C61" s="142" t="e">
        <f t="shared" si="0"/>
        <v>#NUM!</v>
      </c>
      <c r="D61" s="142" t="e">
        <f t="shared" si="5"/>
        <v>#NUM!</v>
      </c>
      <c r="E61" s="142" t="e">
        <f t="shared" si="6"/>
        <v>#NUM!</v>
      </c>
      <c r="F61" s="142" t="e">
        <f t="shared" si="1"/>
        <v>#NUM!</v>
      </c>
      <c r="G61" s="184">
        <f>IF('prijem -inna mena'!$I$90=TRUE,IF($C$11&gt;0,0.00025*C60,0),IF('prijem -inna mena'!$I$91=TRUE,IF('prijem -inna mena'!$F$91&gt;0,0.00025*C60,0),0))</f>
        <v>0</v>
      </c>
      <c r="L61" s="89">
        <v>45</v>
      </c>
      <c r="M61" s="237" t="e">
        <f t="shared" si="7"/>
        <v>#DIV/0!</v>
      </c>
      <c r="N61" s="142" t="e">
        <f t="shared" si="2"/>
        <v>#DIV/0!</v>
      </c>
      <c r="O61" s="142" t="e">
        <f t="shared" si="3"/>
        <v>#DIV/0!</v>
      </c>
      <c r="P61" s="142" t="e">
        <f t="shared" si="8"/>
        <v>#DIV/0!</v>
      </c>
      <c r="Q61" s="142" t="e">
        <f t="shared" si="9"/>
        <v>#DIV/0!</v>
      </c>
      <c r="R61" s="184">
        <f>IF('prijem -inna mena'!$I$90=TRUE,IF($C$11&gt;0,0.00025*N60,0),IF('prijem -inna mena'!$I$91=TRUE,IF('prijem -inna mena'!$F$91&gt;0,0.00025*N60*-1,0),0))</f>
        <v>0</v>
      </c>
    </row>
    <row r="62" spans="1:18" x14ac:dyDescent="0.2">
      <c r="A62" s="89">
        <v>46</v>
      </c>
      <c r="B62" s="237" t="e">
        <f t="shared" si="4"/>
        <v>#NUM!</v>
      </c>
      <c r="C62" s="142" t="e">
        <f t="shared" si="0"/>
        <v>#NUM!</v>
      </c>
      <c r="D62" s="142" t="e">
        <f t="shared" si="5"/>
        <v>#NUM!</v>
      </c>
      <c r="E62" s="142" t="e">
        <f t="shared" si="6"/>
        <v>#NUM!</v>
      </c>
      <c r="F62" s="142" t="e">
        <f t="shared" si="1"/>
        <v>#NUM!</v>
      </c>
      <c r="G62" s="184">
        <f>IF('prijem -inna mena'!$I$90=TRUE,IF($C$11&gt;0,0.00025*C61,0),IF('prijem -inna mena'!$I$91=TRUE,IF('prijem -inna mena'!$F$91&gt;0,0.00025*C61,0),0))</f>
        <v>0</v>
      </c>
      <c r="L62" s="89">
        <v>46</v>
      </c>
      <c r="M62" s="237" t="e">
        <f t="shared" si="7"/>
        <v>#DIV/0!</v>
      </c>
      <c r="N62" s="142" t="e">
        <f t="shared" si="2"/>
        <v>#DIV/0!</v>
      </c>
      <c r="O62" s="142" t="e">
        <f t="shared" si="3"/>
        <v>#DIV/0!</v>
      </c>
      <c r="P62" s="142" t="e">
        <f t="shared" si="8"/>
        <v>#DIV/0!</v>
      </c>
      <c r="Q62" s="142" t="e">
        <f t="shared" si="9"/>
        <v>#DIV/0!</v>
      </c>
      <c r="R62" s="184">
        <f>IF('prijem -inna mena'!$I$90=TRUE,IF($C$11&gt;0,0.00025*N61,0),IF('prijem -inna mena'!$I$91=TRUE,IF('prijem -inna mena'!$F$91&gt;0,0.00025*N61*-1,0),0))</f>
        <v>0</v>
      </c>
    </row>
    <row r="63" spans="1:18" x14ac:dyDescent="0.2">
      <c r="A63" s="89">
        <v>47</v>
      </c>
      <c r="B63" s="237" t="e">
        <f t="shared" si="4"/>
        <v>#NUM!</v>
      </c>
      <c r="C63" s="142" t="e">
        <f t="shared" si="0"/>
        <v>#NUM!</v>
      </c>
      <c r="D63" s="142" t="e">
        <f t="shared" si="5"/>
        <v>#NUM!</v>
      </c>
      <c r="E63" s="142" t="e">
        <f t="shared" si="6"/>
        <v>#NUM!</v>
      </c>
      <c r="F63" s="142" t="e">
        <f t="shared" si="1"/>
        <v>#NUM!</v>
      </c>
      <c r="G63" s="184">
        <f>IF('prijem -inna mena'!$I$90=TRUE,IF($C$11&gt;0,0.00025*C62,0),IF('prijem -inna mena'!$I$91=TRUE,IF('prijem -inna mena'!$F$91&gt;0,0.00025*C62,0),0))</f>
        <v>0</v>
      </c>
      <c r="L63" s="89">
        <v>47</v>
      </c>
      <c r="M63" s="237" t="e">
        <f t="shared" si="7"/>
        <v>#DIV/0!</v>
      </c>
      <c r="N63" s="142" t="e">
        <f t="shared" si="2"/>
        <v>#DIV/0!</v>
      </c>
      <c r="O63" s="142" t="e">
        <f t="shared" si="3"/>
        <v>#DIV/0!</v>
      </c>
      <c r="P63" s="142" t="e">
        <f t="shared" si="8"/>
        <v>#DIV/0!</v>
      </c>
      <c r="Q63" s="142" t="e">
        <f t="shared" si="9"/>
        <v>#DIV/0!</v>
      </c>
      <c r="R63" s="184">
        <f>IF('prijem -inna mena'!$I$90=TRUE,IF($C$11&gt;0,0.00025*N62,0),IF('prijem -inna mena'!$I$91=TRUE,IF('prijem -inna mena'!$F$91&gt;0,0.00025*N62*-1,0),0))</f>
        <v>0</v>
      </c>
    </row>
    <row r="64" spans="1:18" x14ac:dyDescent="0.2">
      <c r="A64" s="89">
        <v>48</v>
      </c>
      <c r="B64" s="237" t="e">
        <f t="shared" si="4"/>
        <v>#NUM!</v>
      </c>
      <c r="C64" s="142" t="e">
        <f t="shared" si="0"/>
        <v>#NUM!</v>
      </c>
      <c r="D64" s="142" t="e">
        <f t="shared" si="5"/>
        <v>#NUM!</v>
      </c>
      <c r="E64" s="142" t="e">
        <f t="shared" si="6"/>
        <v>#NUM!</v>
      </c>
      <c r="F64" s="142" t="e">
        <f t="shared" si="1"/>
        <v>#NUM!</v>
      </c>
      <c r="G64" s="184">
        <f>IF('prijem -inna mena'!$I$90=TRUE,IF($C$11&gt;0,0.00025*C63,0),IF('prijem -inna mena'!$I$91=TRUE,IF('prijem -inna mena'!$F$91&gt;0,0.00025*C63,0),0))</f>
        <v>0</v>
      </c>
      <c r="L64" s="89">
        <v>48</v>
      </c>
      <c r="M64" s="237" t="e">
        <f t="shared" si="7"/>
        <v>#DIV/0!</v>
      </c>
      <c r="N64" s="142" t="e">
        <f t="shared" si="2"/>
        <v>#DIV/0!</v>
      </c>
      <c r="O64" s="142" t="e">
        <f t="shared" si="3"/>
        <v>#DIV/0!</v>
      </c>
      <c r="P64" s="142" t="e">
        <f t="shared" si="8"/>
        <v>#DIV/0!</v>
      </c>
      <c r="Q64" s="142" t="e">
        <f t="shared" si="9"/>
        <v>#DIV/0!</v>
      </c>
      <c r="R64" s="184">
        <f>IF('prijem -inna mena'!$I$90=TRUE,IF($C$11&gt;0,0.00025*N63,0),IF('prijem -inna mena'!$I$91=TRUE,IF('prijem -inna mena'!$F$91&gt;0,0.00025*N63*-1,0),0))</f>
        <v>0</v>
      </c>
    </row>
    <row r="65" spans="1:18" x14ac:dyDescent="0.2">
      <c r="A65" s="89">
        <v>49</v>
      </c>
      <c r="B65" s="237" t="e">
        <f t="shared" si="4"/>
        <v>#NUM!</v>
      </c>
      <c r="C65" s="142" t="e">
        <f t="shared" si="0"/>
        <v>#NUM!</v>
      </c>
      <c r="D65" s="142" t="e">
        <f t="shared" si="5"/>
        <v>#NUM!</v>
      </c>
      <c r="E65" s="142" t="e">
        <f t="shared" si="6"/>
        <v>#NUM!</v>
      </c>
      <c r="F65" s="142" t="e">
        <f t="shared" si="1"/>
        <v>#NUM!</v>
      </c>
      <c r="G65" s="184">
        <f>IF('prijem -inna mena'!$I$90=TRUE,IF($C$11&gt;0,0.00025*C64,0),IF('prijem -inna mena'!$I$91=TRUE,IF('prijem -inna mena'!$F$91&gt;0,0.00025*C64,0),0))</f>
        <v>0</v>
      </c>
      <c r="L65" s="89">
        <v>49</v>
      </c>
      <c r="M65" s="237" t="e">
        <f t="shared" si="7"/>
        <v>#DIV/0!</v>
      </c>
      <c r="N65" s="142" t="e">
        <f t="shared" si="2"/>
        <v>#DIV/0!</v>
      </c>
      <c r="O65" s="142" t="e">
        <f t="shared" si="3"/>
        <v>#DIV/0!</v>
      </c>
      <c r="P65" s="142" t="e">
        <f t="shared" si="8"/>
        <v>#DIV/0!</v>
      </c>
      <c r="Q65" s="142" t="e">
        <f t="shared" si="9"/>
        <v>#DIV/0!</v>
      </c>
      <c r="R65" s="184">
        <f>IF('prijem -inna mena'!$I$90=TRUE,IF($C$11&gt;0,0.00025*N64,0),IF('prijem -inna mena'!$I$91=TRUE,IF('prijem -inna mena'!$F$91&gt;0,0.00025*N64*-1,0),0))</f>
        <v>0</v>
      </c>
    </row>
    <row r="66" spans="1:18" x14ac:dyDescent="0.2">
      <c r="A66" s="89">
        <v>50</v>
      </c>
      <c r="B66" s="237" t="e">
        <f t="shared" si="4"/>
        <v>#NUM!</v>
      </c>
      <c r="C66" s="142" t="e">
        <f t="shared" si="0"/>
        <v>#NUM!</v>
      </c>
      <c r="D66" s="142" t="e">
        <f t="shared" si="5"/>
        <v>#NUM!</v>
      </c>
      <c r="E66" s="142" t="e">
        <f t="shared" si="6"/>
        <v>#NUM!</v>
      </c>
      <c r="F66" s="142" t="e">
        <f t="shared" si="1"/>
        <v>#NUM!</v>
      </c>
      <c r="G66" s="184">
        <f>IF('prijem -inna mena'!$I$90=TRUE,IF($C$11&gt;0,0.00025*C65,0),IF('prijem -inna mena'!$I$91=TRUE,IF('prijem -inna mena'!$F$91&gt;0,0.00025*C65,0),0))</f>
        <v>0</v>
      </c>
      <c r="L66" s="89">
        <v>50</v>
      </c>
      <c r="M66" s="237" t="e">
        <f t="shared" si="7"/>
        <v>#DIV/0!</v>
      </c>
      <c r="N66" s="142" t="e">
        <f t="shared" si="2"/>
        <v>#DIV/0!</v>
      </c>
      <c r="O66" s="142" t="e">
        <f t="shared" si="3"/>
        <v>#DIV/0!</v>
      </c>
      <c r="P66" s="142" t="e">
        <f t="shared" si="8"/>
        <v>#DIV/0!</v>
      </c>
      <c r="Q66" s="142" t="e">
        <f t="shared" si="9"/>
        <v>#DIV/0!</v>
      </c>
      <c r="R66" s="184">
        <f>IF('prijem -inna mena'!$I$90=TRUE,IF($C$11&gt;0,0.00025*N65,0),IF('prijem -inna mena'!$I$91=TRUE,IF('prijem -inna mena'!$F$91&gt;0,0.00025*N65*-1,0),0))</f>
        <v>0</v>
      </c>
    </row>
    <row r="67" spans="1:18" x14ac:dyDescent="0.2">
      <c r="A67" s="89">
        <v>51</v>
      </c>
      <c r="B67" s="237" t="e">
        <f t="shared" si="4"/>
        <v>#NUM!</v>
      </c>
      <c r="C67" s="142" t="e">
        <f t="shared" si="0"/>
        <v>#NUM!</v>
      </c>
      <c r="D67" s="142" t="e">
        <f t="shared" si="5"/>
        <v>#NUM!</v>
      </c>
      <c r="E67" s="142" t="e">
        <f t="shared" si="6"/>
        <v>#NUM!</v>
      </c>
      <c r="F67" s="142" t="e">
        <f t="shared" si="1"/>
        <v>#NUM!</v>
      </c>
      <c r="G67" s="184">
        <f>IF('prijem -inna mena'!$I$90=TRUE,IF($C$11&gt;0,0.00025*C66,0),IF('prijem -inna mena'!$I$91=TRUE,IF('prijem -inna mena'!$F$91&gt;0,0.00025*C66,0),0))</f>
        <v>0</v>
      </c>
      <c r="L67" s="89">
        <v>51</v>
      </c>
      <c r="M67" s="237" t="e">
        <f t="shared" si="7"/>
        <v>#DIV/0!</v>
      </c>
      <c r="N67" s="142" t="e">
        <f t="shared" si="2"/>
        <v>#DIV/0!</v>
      </c>
      <c r="O67" s="142" t="e">
        <f t="shared" si="3"/>
        <v>#DIV/0!</v>
      </c>
      <c r="P67" s="142" t="e">
        <f t="shared" si="8"/>
        <v>#DIV/0!</v>
      </c>
      <c r="Q67" s="142" t="e">
        <f t="shared" si="9"/>
        <v>#DIV/0!</v>
      </c>
      <c r="R67" s="184">
        <f>IF('prijem -inna mena'!$I$90=TRUE,IF($C$11&gt;0,0.00025*N66,0),IF('prijem -inna mena'!$I$91=TRUE,IF('prijem -inna mena'!$F$91&gt;0,0.00025*N66*-1,0),0))</f>
        <v>0</v>
      </c>
    </row>
    <row r="68" spans="1:18" x14ac:dyDescent="0.2">
      <c r="A68" s="89">
        <v>52</v>
      </c>
      <c r="B68" s="237" t="e">
        <f t="shared" si="4"/>
        <v>#NUM!</v>
      </c>
      <c r="C68" s="142" t="e">
        <f t="shared" si="0"/>
        <v>#NUM!</v>
      </c>
      <c r="D68" s="142" t="e">
        <f t="shared" si="5"/>
        <v>#NUM!</v>
      </c>
      <c r="E68" s="142" t="e">
        <f t="shared" si="6"/>
        <v>#NUM!</v>
      </c>
      <c r="F68" s="142" t="e">
        <f t="shared" si="1"/>
        <v>#NUM!</v>
      </c>
      <c r="G68" s="184">
        <f>IF('prijem -inna mena'!$I$90=TRUE,IF($C$11&gt;0,0.00025*C67,0),IF('prijem -inna mena'!$I$91=TRUE,IF('prijem -inna mena'!$F$91&gt;0,0.00025*C67,0),0))</f>
        <v>0</v>
      </c>
      <c r="L68" s="89">
        <v>52</v>
      </c>
      <c r="M68" s="237" t="e">
        <f t="shared" si="7"/>
        <v>#DIV/0!</v>
      </c>
      <c r="N68" s="142" t="e">
        <f t="shared" si="2"/>
        <v>#DIV/0!</v>
      </c>
      <c r="O68" s="142" t="e">
        <f t="shared" si="3"/>
        <v>#DIV/0!</v>
      </c>
      <c r="P68" s="142" t="e">
        <f t="shared" si="8"/>
        <v>#DIV/0!</v>
      </c>
      <c r="Q68" s="142" t="e">
        <f t="shared" si="9"/>
        <v>#DIV/0!</v>
      </c>
      <c r="R68" s="184">
        <f>IF('prijem -inna mena'!$I$90=TRUE,IF($C$11&gt;0,0.00025*N67,0),IF('prijem -inna mena'!$I$91=TRUE,IF('prijem -inna mena'!$F$91&gt;0,0.00025*N67*-1,0),0))</f>
        <v>0</v>
      </c>
    </row>
    <row r="69" spans="1:18" x14ac:dyDescent="0.2">
      <c r="A69" s="89">
        <v>53</v>
      </c>
      <c r="B69" s="237" t="e">
        <f t="shared" si="4"/>
        <v>#NUM!</v>
      </c>
      <c r="C69" s="142" t="e">
        <f t="shared" si="0"/>
        <v>#NUM!</v>
      </c>
      <c r="D69" s="142" t="e">
        <f t="shared" si="5"/>
        <v>#NUM!</v>
      </c>
      <c r="E69" s="142" t="e">
        <f t="shared" si="6"/>
        <v>#NUM!</v>
      </c>
      <c r="F69" s="142" t="e">
        <f t="shared" si="1"/>
        <v>#NUM!</v>
      </c>
      <c r="G69" s="184">
        <f>IF('prijem -inna mena'!$I$90=TRUE,IF($C$11&gt;0,0.00025*C68,0),IF('prijem -inna mena'!$I$91=TRUE,IF('prijem -inna mena'!$F$91&gt;0,0.00025*C68,0),0))</f>
        <v>0</v>
      </c>
      <c r="L69" s="89">
        <v>53</v>
      </c>
      <c r="M69" s="237" t="e">
        <f t="shared" si="7"/>
        <v>#DIV/0!</v>
      </c>
      <c r="N69" s="142" t="e">
        <f t="shared" si="2"/>
        <v>#DIV/0!</v>
      </c>
      <c r="O69" s="142" t="e">
        <f t="shared" si="3"/>
        <v>#DIV/0!</v>
      </c>
      <c r="P69" s="142" t="e">
        <f t="shared" si="8"/>
        <v>#DIV/0!</v>
      </c>
      <c r="Q69" s="142" t="e">
        <f t="shared" si="9"/>
        <v>#DIV/0!</v>
      </c>
      <c r="R69" s="184">
        <f>IF('prijem -inna mena'!$I$90=TRUE,IF($C$11&gt;0,0.00025*N68,0),IF('prijem -inna mena'!$I$91=TRUE,IF('prijem -inna mena'!$F$91&gt;0,0.00025*N68*-1,0),0))</f>
        <v>0</v>
      </c>
    </row>
    <row r="70" spans="1:18" x14ac:dyDescent="0.2">
      <c r="A70" s="89">
        <v>54</v>
      </c>
      <c r="B70" s="237" t="e">
        <f t="shared" si="4"/>
        <v>#NUM!</v>
      </c>
      <c r="C70" s="142" t="e">
        <f t="shared" si="0"/>
        <v>#NUM!</v>
      </c>
      <c r="D70" s="142" t="e">
        <f t="shared" si="5"/>
        <v>#NUM!</v>
      </c>
      <c r="E70" s="142" t="e">
        <f t="shared" si="6"/>
        <v>#NUM!</v>
      </c>
      <c r="F70" s="142" t="e">
        <f t="shared" si="1"/>
        <v>#NUM!</v>
      </c>
      <c r="G70" s="184">
        <f>IF('prijem -inna mena'!$I$90=TRUE,IF($C$11&gt;0,0.00025*C69,0),IF('prijem -inna mena'!$I$91=TRUE,IF('prijem -inna mena'!$F$91&gt;0,0.00025*C69,0),0))</f>
        <v>0</v>
      </c>
      <c r="L70" s="89">
        <v>54</v>
      </c>
      <c r="M70" s="237" t="e">
        <f t="shared" si="7"/>
        <v>#DIV/0!</v>
      </c>
      <c r="N70" s="142" t="e">
        <f t="shared" si="2"/>
        <v>#DIV/0!</v>
      </c>
      <c r="O70" s="142" t="e">
        <f t="shared" si="3"/>
        <v>#DIV/0!</v>
      </c>
      <c r="P70" s="142" t="e">
        <f t="shared" si="8"/>
        <v>#DIV/0!</v>
      </c>
      <c r="Q70" s="142" t="e">
        <f t="shared" si="9"/>
        <v>#DIV/0!</v>
      </c>
      <c r="R70" s="184">
        <f>IF('prijem -inna mena'!$I$90=TRUE,IF($C$11&gt;0,0.00025*N69,0),IF('prijem -inna mena'!$I$91=TRUE,IF('prijem -inna mena'!$F$91&gt;0,0.00025*N69*-1,0),0))</f>
        <v>0</v>
      </c>
    </row>
    <row r="71" spans="1:18" x14ac:dyDescent="0.2">
      <c r="A71" s="89">
        <v>55</v>
      </c>
      <c r="B71" s="237" t="e">
        <f t="shared" si="4"/>
        <v>#NUM!</v>
      </c>
      <c r="C71" s="142" t="e">
        <f t="shared" si="0"/>
        <v>#NUM!</v>
      </c>
      <c r="D71" s="142" t="e">
        <f t="shared" si="5"/>
        <v>#NUM!</v>
      </c>
      <c r="E71" s="142" t="e">
        <f t="shared" si="6"/>
        <v>#NUM!</v>
      </c>
      <c r="F71" s="142" t="e">
        <f t="shared" si="1"/>
        <v>#NUM!</v>
      </c>
      <c r="G71" s="184">
        <f>IF('prijem -inna mena'!$I$90=TRUE,IF($C$11&gt;0,0.00025*C70,0),IF('prijem -inna mena'!$I$91=TRUE,IF('prijem -inna mena'!$F$91&gt;0,0.00025*C70,0),0))</f>
        <v>0</v>
      </c>
      <c r="L71" s="89">
        <v>55</v>
      </c>
      <c r="M71" s="237" t="e">
        <f t="shared" si="7"/>
        <v>#DIV/0!</v>
      </c>
      <c r="N71" s="142" t="e">
        <f t="shared" si="2"/>
        <v>#DIV/0!</v>
      </c>
      <c r="O71" s="142" t="e">
        <f t="shared" si="3"/>
        <v>#DIV/0!</v>
      </c>
      <c r="P71" s="142" t="e">
        <f t="shared" si="8"/>
        <v>#DIV/0!</v>
      </c>
      <c r="Q71" s="142" t="e">
        <f t="shared" si="9"/>
        <v>#DIV/0!</v>
      </c>
      <c r="R71" s="184">
        <f>IF('prijem -inna mena'!$I$90=TRUE,IF($C$11&gt;0,0.00025*N70,0),IF('prijem -inna mena'!$I$91=TRUE,IF('prijem -inna mena'!$F$91&gt;0,0.00025*N70*-1,0),0))</f>
        <v>0</v>
      </c>
    </row>
    <row r="72" spans="1:18" x14ac:dyDescent="0.2">
      <c r="A72" s="89">
        <v>56</v>
      </c>
      <c r="B72" s="237" t="e">
        <f t="shared" si="4"/>
        <v>#NUM!</v>
      </c>
      <c r="C72" s="142" t="e">
        <f t="shared" si="0"/>
        <v>#NUM!</v>
      </c>
      <c r="D72" s="142" t="e">
        <f t="shared" si="5"/>
        <v>#NUM!</v>
      </c>
      <c r="E72" s="142" t="e">
        <f t="shared" si="6"/>
        <v>#NUM!</v>
      </c>
      <c r="F72" s="142" t="e">
        <f t="shared" si="1"/>
        <v>#NUM!</v>
      </c>
      <c r="G72" s="184">
        <f>IF('prijem -inna mena'!$I$90=TRUE,IF($C$11&gt;0,0.00025*C71,0),IF('prijem -inna mena'!$I$91=TRUE,IF('prijem -inna mena'!$F$91&gt;0,0.00025*C71,0),0))</f>
        <v>0</v>
      </c>
      <c r="L72" s="89">
        <v>56</v>
      </c>
      <c r="M72" s="237" t="e">
        <f t="shared" si="7"/>
        <v>#DIV/0!</v>
      </c>
      <c r="N72" s="142" t="e">
        <f t="shared" si="2"/>
        <v>#DIV/0!</v>
      </c>
      <c r="O72" s="142" t="e">
        <f t="shared" si="3"/>
        <v>#DIV/0!</v>
      </c>
      <c r="P72" s="142" t="e">
        <f t="shared" si="8"/>
        <v>#DIV/0!</v>
      </c>
      <c r="Q72" s="142" t="e">
        <f t="shared" si="9"/>
        <v>#DIV/0!</v>
      </c>
      <c r="R72" s="184">
        <f>IF('prijem -inna mena'!$I$90=TRUE,IF($C$11&gt;0,0.00025*N71,0),IF('prijem -inna mena'!$I$91=TRUE,IF('prijem -inna mena'!$F$91&gt;0,0.00025*N71*-1,0),0))</f>
        <v>0</v>
      </c>
    </row>
    <row r="73" spans="1:18" x14ac:dyDescent="0.2">
      <c r="A73" s="89">
        <v>57</v>
      </c>
      <c r="B73" s="237" t="e">
        <f t="shared" si="4"/>
        <v>#NUM!</v>
      </c>
      <c r="C73" s="142" t="e">
        <f t="shared" si="0"/>
        <v>#NUM!</v>
      </c>
      <c r="D73" s="142" t="e">
        <f t="shared" si="5"/>
        <v>#NUM!</v>
      </c>
      <c r="E73" s="142" t="e">
        <f t="shared" si="6"/>
        <v>#NUM!</v>
      </c>
      <c r="F73" s="142" t="e">
        <f t="shared" si="1"/>
        <v>#NUM!</v>
      </c>
      <c r="G73" s="184">
        <f>IF('prijem -inna mena'!$I$90=TRUE,IF($C$11&gt;0,0.00025*C72,0),IF('prijem -inna mena'!$I$91=TRUE,IF('prijem -inna mena'!$F$91&gt;0,0.00025*C72,0),0))</f>
        <v>0</v>
      </c>
      <c r="L73" s="89">
        <v>57</v>
      </c>
      <c r="M73" s="237" t="e">
        <f t="shared" si="7"/>
        <v>#DIV/0!</v>
      </c>
      <c r="N73" s="142" t="e">
        <f t="shared" si="2"/>
        <v>#DIV/0!</v>
      </c>
      <c r="O73" s="142" t="e">
        <f t="shared" si="3"/>
        <v>#DIV/0!</v>
      </c>
      <c r="P73" s="142" t="e">
        <f t="shared" si="8"/>
        <v>#DIV/0!</v>
      </c>
      <c r="Q73" s="142" t="e">
        <f t="shared" si="9"/>
        <v>#DIV/0!</v>
      </c>
      <c r="R73" s="184">
        <f>IF('prijem -inna mena'!$I$90=TRUE,IF($C$11&gt;0,0.00025*N72,0),IF('prijem -inna mena'!$I$91=TRUE,IF('prijem -inna mena'!$F$91&gt;0,0.00025*N72*-1,0),0))</f>
        <v>0</v>
      </c>
    </row>
    <row r="74" spans="1:18" x14ac:dyDescent="0.2">
      <c r="A74" s="89">
        <v>58</v>
      </c>
      <c r="B74" s="237" t="e">
        <f t="shared" si="4"/>
        <v>#NUM!</v>
      </c>
      <c r="C74" s="142" t="e">
        <f t="shared" si="0"/>
        <v>#NUM!</v>
      </c>
      <c r="D74" s="142" t="e">
        <f t="shared" si="5"/>
        <v>#NUM!</v>
      </c>
      <c r="E74" s="142" t="e">
        <f t="shared" si="6"/>
        <v>#NUM!</v>
      </c>
      <c r="F74" s="142" t="e">
        <f t="shared" si="1"/>
        <v>#NUM!</v>
      </c>
      <c r="G74" s="184">
        <f>IF('prijem -inna mena'!$I$90=TRUE,IF($C$11&gt;0,0.00025*C73,0),IF('prijem -inna mena'!$I$91=TRUE,IF('prijem -inna mena'!$F$91&gt;0,0.00025*C73,0),0))</f>
        <v>0</v>
      </c>
      <c r="L74" s="89">
        <v>58</v>
      </c>
      <c r="M74" s="237" t="e">
        <f t="shared" si="7"/>
        <v>#DIV/0!</v>
      </c>
      <c r="N74" s="142" t="e">
        <f t="shared" si="2"/>
        <v>#DIV/0!</v>
      </c>
      <c r="O74" s="142" t="e">
        <f t="shared" si="3"/>
        <v>#DIV/0!</v>
      </c>
      <c r="P74" s="142" t="e">
        <f t="shared" si="8"/>
        <v>#DIV/0!</v>
      </c>
      <c r="Q74" s="142" t="e">
        <f t="shared" si="9"/>
        <v>#DIV/0!</v>
      </c>
      <c r="R74" s="184">
        <f>IF('prijem -inna mena'!$I$90=TRUE,IF($C$11&gt;0,0.00025*N73,0),IF('prijem -inna mena'!$I$91=TRUE,IF('prijem -inna mena'!$F$91&gt;0,0.00025*N73*-1,0),0))</f>
        <v>0</v>
      </c>
    </row>
    <row r="75" spans="1:18" x14ac:dyDescent="0.2">
      <c r="A75" s="89">
        <v>59</v>
      </c>
      <c r="B75" s="237" t="e">
        <f t="shared" si="4"/>
        <v>#NUM!</v>
      </c>
      <c r="C75" s="142" t="e">
        <f t="shared" si="0"/>
        <v>#NUM!</v>
      </c>
      <c r="D75" s="142" t="e">
        <f t="shared" si="5"/>
        <v>#NUM!</v>
      </c>
      <c r="E75" s="142" t="e">
        <f t="shared" si="6"/>
        <v>#NUM!</v>
      </c>
      <c r="F75" s="142" t="e">
        <f t="shared" si="1"/>
        <v>#NUM!</v>
      </c>
      <c r="G75" s="184">
        <f>IF('prijem -inna mena'!$I$90=TRUE,IF($C$11&gt;0,0.00025*C74,0),IF('prijem -inna mena'!$I$91=TRUE,IF('prijem -inna mena'!$F$91&gt;0,0.00025*C74,0),0))</f>
        <v>0</v>
      </c>
      <c r="L75" s="89">
        <v>59</v>
      </c>
      <c r="M75" s="237" t="e">
        <f t="shared" si="7"/>
        <v>#DIV/0!</v>
      </c>
      <c r="N75" s="142" t="e">
        <f t="shared" si="2"/>
        <v>#DIV/0!</v>
      </c>
      <c r="O75" s="142" t="e">
        <f t="shared" si="3"/>
        <v>#DIV/0!</v>
      </c>
      <c r="P75" s="142" t="e">
        <f t="shared" si="8"/>
        <v>#DIV/0!</v>
      </c>
      <c r="Q75" s="142" t="e">
        <f t="shared" si="9"/>
        <v>#DIV/0!</v>
      </c>
      <c r="R75" s="184">
        <f>IF('prijem -inna mena'!$I$90=TRUE,IF($C$11&gt;0,0.00025*N74,0),IF('prijem -inna mena'!$I$91=TRUE,IF('prijem -inna mena'!$F$91&gt;0,0.00025*N74*-1,0),0))</f>
        <v>0</v>
      </c>
    </row>
    <row r="76" spans="1:18" x14ac:dyDescent="0.2">
      <c r="A76" s="89">
        <v>60</v>
      </c>
      <c r="B76" s="237" t="e">
        <f t="shared" si="4"/>
        <v>#NUM!</v>
      </c>
      <c r="C76" s="142" t="e">
        <f t="shared" si="0"/>
        <v>#NUM!</v>
      </c>
      <c r="D76" s="142" t="e">
        <f t="shared" si="5"/>
        <v>#NUM!</v>
      </c>
      <c r="E76" s="142" t="e">
        <f t="shared" si="6"/>
        <v>#NUM!</v>
      </c>
      <c r="F76" s="142" t="e">
        <f t="shared" si="1"/>
        <v>#NUM!</v>
      </c>
      <c r="G76" s="184">
        <f>IF('prijem -inna mena'!$I$90=TRUE,IF($C$11&gt;0,0.00025*C75,0),IF('prijem -inna mena'!$I$91=TRUE,IF('prijem -inna mena'!$F$91&gt;0,0.00025*C75,0),0))</f>
        <v>0</v>
      </c>
      <c r="L76" s="89">
        <v>60</v>
      </c>
      <c r="M76" s="237" t="e">
        <f t="shared" si="7"/>
        <v>#DIV/0!</v>
      </c>
      <c r="N76" s="142" t="e">
        <f t="shared" si="2"/>
        <v>#DIV/0!</v>
      </c>
      <c r="O76" s="142" t="e">
        <f t="shared" si="3"/>
        <v>#DIV/0!</v>
      </c>
      <c r="P76" s="142" t="e">
        <f t="shared" si="8"/>
        <v>#DIV/0!</v>
      </c>
      <c r="Q76" s="142" t="e">
        <f t="shared" si="9"/>
        <v>#DIV/0!</v>
      </c>
      <c r="R76" s="184">
        <f>IF('prijem -inna mena'!$I$90=TRUE,IF($C$11&gt;0,0.00025*N75,0),IF('prijem -inna mena'!$I$91=TRUE,IF('prijem -inna mena'!$F$91&gt;0,0.00025*N75*-1,0),0))</f>
        <v>0</v>
      </c>
    </row>
    <row r="77" spans="1:18" x14ac:dyDescent="0.2">
      <c r="A77" s="89">
        <v>61</v>
      </c>
      <c r="B77" s="237" t="e">
        <f t="shared" si="4"/>
        <v>#NUM!</v>
      </c>
      <c r="C77" s="142" t="e">
        <f t="shared" si="0"/>
        <v>#NUM!</v>
      </c>
      <c r="D77" s="142" t="e">
        <f t="shared" si="5"/>
        <v>#NUM!</v>
      </c>
      <c r="E77" s="142" t="e">
        <f t="shared" si="6"/>
        <v>#NUM!</v>
      </c>
      <c r="F77" s="142" t="e">
        <f t="shared" si="1"/>
        <v>#NUM!</v>
      </c>
      <c r="G77" s="184">
        <f>IF('prijem -inna mena'!$I$90=TRUE,IF($C$11&gt;0,0.00025*C76,0),IF('prijem -inna mena'!$I$91=TRUE,IF('prijem -inna mena'!$F$91&gt;0,0.00025*C76,0),0))</f>
        <v>0</v>
      </c>
      <c r="L77" s="89">
        <v>61</v>
      </c>
      <c r="M77" s="237" t="e">
        <f t="shared" si="7"/>
        <v>#DIV/0!</v>
      </c>
      <c r="N77" s="142" t="e">
        <f t="shared" si="2"/>
        <v>#DIV/0!</v>
      </c>
      <c r="O77" s="142" t="e">
        <f t="shared" si="3"/>
        <v>#DIV/0!</v>
      </c>
      <c r="P77" s="142" t="e">
        <f t="shared" si="8"/>
        <v>#DIV/0!</v>
      </c>
      <c r="Q77" s="142" t="e">
        <f t="shared" si="9"/>
        <v>#DIV/0!</v>
      </c>
      <c r="R77" s="184">
        <f>IF('prijem -inna mena'!$I$90=TRUE,IF($C$11&gt;0,0.00025*N76,0),IF('prijem -inna mena'!$I$91=TRUE,IF('prijem -inna mena'!$F$91&gt;0,0.00025*N76*-1,0),0))</f>
        <v>0</v>
      </c>
    </row>
    <row r="78" spans="1:18" x14ac:dyDescent="0.2">
      <c r="A78" s="89">
        <v>62</v>
      </c>
      <c r="B78" s="237" t="e">
        <f t="shared" si="4"/>
        <v>#NUM!</v>
      </c>
      <c r="C78" s="142" t="e">
        <f t="shared" si="0"/>
        <v>#NUM!</v>
      </c>
      <c r="D78" s="142" t="e">
        <f t="shared" si="5"/>
        <v>#NUM!</v>
      </c>
      <c r="E78" s="142" t="e">
        <f t="shared" si="6"/>
        <v>#NUM!</v>
      </c>
      <c r="F78" s="142" t="e">
        <f t="shared" si="1"/>
        <v>#NUM!</v>
      </c>
      <c r="G78" s="184">
        <f>IF('prijem -inna mena'!$I$90=TRUE,IF($C$11&gt;0,0.00025*C77,0),IF('prijem -inna mena'!$I$91=TRUE,IF('prijem -inna mena'!$F$91&gt;0,0.00025*C77,0),0))</f>
        <v>0</v>
      </c>
      <c r="L78" s="89">
        <v>62</v>
      </c>
      <c r="M78" s="237" t="e">
        <f t="shared" si="7"/>
        <v>#DIV/0!</v>
      </c>
      <c r="N78" s="142" t="e">
        <f t="shared" si="2"/>
        <v>#DIV/0!</v>
      </c>
      <c r="O78" s="142" t="e">
        <f t="shared" si="3"/>
        <v>#DIV/0!</v>
      </c>
      <c r="P78" s="142" t="e">
        <f t="shared" si="8"/>
        <v>#DIV/0!</v>
      </c>
      <c r="Q78" s="142" t="e">
        <f t="shared" si="9"/>
        <v>#DIV/0!</v>
      </c>
      <c r="R78" s="184">
        <f>IF('prijem -inna mena'!$I$90=TRUE,IF($C$11&gt;0,0.00025*N77,0),IF('prijem -inna mena'!$I$91=TRUE,IF('prijem -inna mena'!$F$91&gt;0,0.00025*N77*-1,0),0))</f>
        <v>0</v>
      </c>
    </row>
    <row r="79" spans="1:18" x14ac:dyDescent="0.2">
      <c r="A79" s="89">
        <v>63</v>
      </c>
      <c r="B79" s="237" t="e">
        <f t="shared" si="4"/>
        <v>#NUM!</v>
      </c>
      <c r="C79" s="142" t="e">
        <f t="shared" si="0"/>
        <v>#NUM!</v>
      </c>
      <c r="D79" s="142" t="e">
        <f t="shared" si="5"/>
        <v>#NUM!</v>
      </c>
      <c r="E79" s="142" t="e">
        <f t="shared" si="6"/>
        <v>#NUM!</v>
      </c>
      <c r="F79" s="142" t="e">
        <f t="shared" si="1"/>
        <v>#NUM!</v>
      </c>
      <c r="G79" s="184">
        <f>IF('prijem -inna mena'!$I$90=TRUE,IF($C$11&gt;0,0.00025*C78,0),IF('prijem -inna mena'!$I$91=TRUE,IF('prijem -inna mena'!$F$91&gt;0,0.00025*C78,0),0))</f>
        <v>0</v>
      </c>
      <c r="L79" s="89">
        <v>63</v>
      </c>
      <c r="M79" s="237" t="e">
        <f t="shared" si="7"/>
        <v>#DIV/0!</v>
      </c>
      <c r="N79" s="142" t="e">
        <f t="shared" si="2"/>
        <v>#DIV/0!</v>
      </c>
      <c r="O79" s="142" t="e">
        <f t="shared" si="3"/>
        <v>#DIV/0!</v>
      </c>
      <c r="P79" s="142" t="e">
        <f t="shared" si="8"/>
        <v>#DIV/0!</v>
      </c>
      <c r="Q79" s="142" t="e">
        <f t="shared" si="9"/>
        <v>#DIV/0!</v>
      </c>
      <c r="R79" s="184">
        <f>IF('prijem -inna mena'!$I$90=TRUE,IF($C$11&gt;0,0.00025*N78,0),IF('prijem -inna mena'!$I$91=TRUE,IF('prijem -inna mena'!$F$91&gt;0,0.00025*N78*-1,0),0))</f>
        <v>0</v>
      </c>
    </row>
    <row r="80" spans="1:18" x14ac:dyDescent="0.2">
      <c r="A80" s="89">
        <v>64</v>
      </c>
      <c r="B80" s="237" t="e">
        <f t="shared" si="4"/>
        <v>#NUM!</v>
      </c>
      <c r="C80" s="142" t="e">
        <f t="shared" si="0"/>
        <v>#NUM!</v>
      </c>
      <c r="D80" s="142" t="e">
        <f t="shared" si="5"/>
        <v>#NUM!</v>
      </c>
      <c r="E80" s="142" t="e">
        <f t="shared" si="6"/>
        <v>#NUM!</v>
      </c>
      <c r="F80" s="142" t="e">
        <f t="shared" si="1"/>
        <v>#NUM!</v>
      </c>
      <c r="G80" s="184">
        <f>IF('prijem -inna mena'!$I$90=TRUE,IF($C$11&gt;0,0.00025*C79,0),IF('prijem -inna mena'!$I$91=TRUE,IF('prijem -inna mena'!$F$91&gt;0,0.00025*C79,0),0))</f>
        <v>0</v>
      </c>
      <c r="L80" s="89">
        <v>64</v>
      </c>
      <c r="M80" s="237" t="e">
        <f t="shared" si="7"/>
        <v>#DIV/0!</v>
      </c>
      <c r="N80" s="142" t="e">
        <f t="shared" si="2"/>
        <v>#DIV/0!</v>
      </c>
      <c r="O80" s="142" t="e">
        <f t="shared" si="3"/>
        <v>#DIV/0!</v>
      </c>
      <c r="P80" s="142" t="e">
        <f t="shared" si="8"/>
        <v>#DIV/0!</v>
      </c>
      <c r="Q80" s="142" t="e">
        <f t="shared" si="9"/>
        <v>#DIV/0!</v>
      </c>
      <c r="R80" s="184">
        <f>IF('prijem -inna mena'!$I$90=TRUE,IF($C$11&gt;0,0.00025*N79,0),IF('prijem -inna mena'!$I$91=TRUE,IF('prijem -inna mena'!$F$91&gt;0,0.00025*N79*-1,0),0))</f>
        <v>0</v>
      </c>
    </row>
    <row r="81" spans="1:18" x14ac:dyDescent="0.2">
      <c r="A81" s="89">
        <v>65</v>
      </c>
      <c r="B81" s="237" t="e">
        <f t="shared" si="4"/>
        <v>#NUM!</v>
      </c>
      <c r="C81" s="142" t="e">
        <f t="shared" ref="C81:C144" si="10">MAX(C80-D81,0)</f>
        <v>#NUM!</v>
      </c>
      <c r="D81" s="142" t="e">
        <f t="shared" si="5"/>
        <v>#NUM!</v>
      </c>
      <c r="E81" s="142" t="e">
        <f t="shared" si="6"/>
        <v>#NUM!</v>
      </c>
      <c r="F81" s="142" t="e">
        <f t="shared" ref="F81:F144" si="11">PMT($C$4/12,$C$5,$C$3)</f>
        <v>#NUM!</v>
      </c>
      <c r="G81" s="184">
        <f>IF('prijem -inna mena'!$I$90=TRUE,IF($C$11&gt;0,0.00025*C80,0),IF('prijem -inna mena'!$I$91=TRUE,IF('prijem -inna mena'!$F$91&gt;0,0.00025*C80,0),0))</f>
        <v>0</v>
      </c>
      <c r="L81" s="89">
        <v>65</v>
      </c>
      <c r="M81" s="237" t="e">
        <f t="shared" si="7"/>
        <v>#DIV/0!</v>
      </c>
      <c r="N81" s="142" t="e">
        <f t="shared" ref="N81:N144" si="12">MAX(N80-O81,0)</f>
        <v>#DIV/0!</v>
      </c>
      <c r="O81" s="142" t="e">
        <f t="shared" ref="O81:O144" si="13">$N$16/$N$5</f>
        <v>#DIV/0!</v>
      </c>
      <c r="P81" s="142" t="e">
        <f t="shared" si="8"/>
        <v>#DIV/0!</v>
      </c>
      <c r="Q81" s="142" t="e">
        <f t="shared" si="9"/>
        <v>#DIV/0!</v>
      </c>
      <c r="R81" s="184">
        <f>IF('prijem -inna mena'!$I$90=TRUE,IF($C$11&gt;0,0.00025*N80,0),IF('prijem -inna mena'!$I$91=TRUE,IF('prijem -inna mena'!$F$91&gt;0,0.00025*N80*-1,0),0))</f>
        <v>0</v>
      </c>
    </row>
    <row r="82" spans="1:18" x14ac:dyDescent="0.2">
      <c r="A82" s="89">
        <v>66</v>
      </c>
      <c r="B82" s="237" t="e">
        <f t="shared" ref="B82:B145" si="14">IF(C81&gt;0.00001,F82-G82,0)</f>
        <v>#NUM!</v>
      </c>
      <c r="C82" s="142" t="e">
        <f t="shared" si="10"/>
        <v>#NUM!</v>
      </c>
      <c r="D82" s="142" t="e">
        <f t="shared" ref="D82:D145" si="15">(F82-E82)*-1</f>
        <v>#NUM!</v>
      </c>
      <c r="E82" s="142" t="e">
        <f t="shared" ref="E82:E145" si="16">IPMT($C$4/12,1,$C$5,C81)</f>
        <v>#NUM!</v>
      </c>
      <c r="F82" s="142" t="e">
        <f t="shared" si="11"/>
        <v>#NUM!</v>
      </c>
      <c r="G82" s="184">
        <f>IF('prijem -inna mena'!$I$90=TRUE,IF($C$11&gt;0,0.00025*C81,0),IF('prijem -inna mena'!$I$91=TRUE,IF('prijem -inna mena'!$F$91&gt;0,0.00025*C81,0),0))</f>
        <v>0</v>
      </c>
      <c r="L82" s="89">
        <v>66</v>
      </c>
      <c r="M82" s="237" t="e">
        <f t="shared" ref="M82:M145" si="17">IF(N81&gt;0.00001,Q82-R82,0)*-1</f>
        <v>#DIV/0!</v>
      </c>
      <c r="N82" s="142" t="e">
        <f t="shared" si="12"/>
        <v>#DIV/0!</v>
      </c>
      <c r="O82" s="142" t="e">
        <f t="shared" si="13"/>
        <v>#DIV/0!</v>
      </c>
      <c r="P82" s="142" t="e">
        <f t="shared" ref="P82:P145" si="18">N81*$N$4/12</f>
        <v>#DIV/0!</v>
      </c>
      <c r="Q82" s="142" t="e">
        <f t="shared" ref="Q82:Q145" si="19">P82+O82</f>
        <v>#DIV/0!</v>
      </c>
      <c r="R82" s="184">
        <f>IF('prijem -inna mena'!$I$90=TRUE,IF($C$11&gt;0,0.00025*N81,0),IF('prijem -inna mena'!$I$91=TRUE,IF('prijem -inna mena'!$F$91&gt;0,0.00025*N81*-1,0),0))</f>
        <v>0</v>
      </c>
    </row>
    <row r="83" spans="1:18" x14ac:dyDescent="0.2">
      <c r="A83" s="89">
        <v>67</v>
      </c>
      <c r="B83" s="237" t="e">
        <f t="shared" si="14"/>
        <v>#NUM!</v>
      </c>
      <c r="C83" s="142" t="e">
        <f t="shared" si="10"/>
        <v>#NUM!</v>
      </c>
      <c r="D83" s="142" t="e">
        <f t="shared" si="15"/>
        <v>#NUM!</v>
      </c>
      <c r="E83" s="142" t="e">
        <f t="shared" si="16"/>
        <v>#NUM!</v>
      </c>
      <c r="F83" s="142" t="e">
        <f t="shared" si="11"/>
        <v>#NUM!</v>
      </c>
      <c r="G83" s="184">
        <f>IF('prijem -inna mena'!$I$90=TRUE,IF($C$11&gt;0,0.00025*C82,0),IF('prijem -inna mena'!$I$91=TRUE,IF('prijem -inna mena'!$F$91&gt;0,0.00025*C82,0),0))</f>
        <v>0</v>
      </c>
      <c r="L83" s="89">
        <v>67</v>
      </c>
      <c r="M83" s="237" t="e">
        <f t="shared" si="17"/>
        <v>#DIV/0!</v>
      </c>
      <c r="N83" s="142" t="e">
        <f t="shared" si="12"/>
        <v>#DIV/0!</v>
      </c>
      <c r="O83" s="142" t="e">
        <f t="shared" si="13"/>
        <v>#DIV/0!</v>
      </c>
      <c r="P83" s="142" t="e">
        <f t="shared" si="18"/>
        <v>#DIV/0!</v>
      </c>
      <c r="Q83" s="142" t="e">
        <f t="shared" si="19"/>
        <v>#DIV/0!</v>
      </c>
      <c r="R83" s="184">
        <f>IF('prijem -inna mena'!$I$90=TRUE,IF($C$11&gt;0,0.00025*N82,0),IF('prijem -inna mena'!$I$91=TRUE,IF('prijem -inna mena'!$F$91&gt;0,0.00025*N82*-1,0),0))</f>
        <v>0</v>
      </c>
    </row>
    <row r="84" spans="1:18" x14ac:dyDescent="0.2">
      <c r="A84" s="89">
        <v>68</v>
      </c>
      <c r="B84" s="237" t="e">
        <f t="shared" si="14"/>
        <v>#NUM!</v>
      </c>
      <c r="C84" s="142" t="e">
        <f t="shared" si="10"/>
        <v>#NUM!</v>
      </c>
      <c r="D84" s="142" t="e">
        <f t="shared" si="15"/>
        <v>#NUM!</v>
      </c>
      <c r="E84" s="142" t="e">
        <f t="shared" si="16"/>
        <v>#NUM!</v>
      </c>
      <c r="F84" s="142" t="e">
        <f t="shared" si="11"/>
        <v>#NUM!</v>
      </c>
      <c r="G84" s="184">
        <f>IF('prijem -inna mena'!$I$90=TRUE,IF($C$11&gt;0,0.00025*C83,0),IF('prijem -inna mena'!$I$91=TRUE,IF('prijem -inna mena'!$F$91&gt;0,0.00025*C83,0),0))</f>
        <v>0</v>
      </c>
      <c r="L84" s="89">
        <v>68</v>
      </c>
      <c r="M84" s="237" t="e">
        <f t="shared" si="17"/>
        <v>#DIV/0!</v>
      </c>
      <c r="N84" s="142" t="e">
        <f t="shared" si="12"/>
        <v>#DIV/0!</v>
      </c>
      <c r="O84" s="142" t="e">
        <f t="shared" si="13"/>
        <v>#DIV/0!</v>
      </c>
      <c r="P84" s="142" t="e">
        <f t="shared" si="18"/>
        <v>#DIV/0!</v>
      </c>
      <c r="Q84" s="142" t="e">
        <f t="shared" si="19"/>
        <v>#DIV/0!</v>
      </c>
      <c r="R84" s="184">
        <f>IF('prijem -inna mena'!$I$90=TRUE,IF($C$11&gt;0,0.00025*N83,0),IF('prijem -inna mena'!$I$91=TRUE,IF('prijem -inna mena'!$F$91&gt;0,0.00025*N83*-1,0),0))</f>
        <v>0</v>
      </c>
    </row>
    <row r="85" spans="1:18" x14ac:dyDescent="0.2">
      <c r="A85" s="89">
        <v>69</v>
      </c>
      <c r="B85" s="237" t="e">
        <f t="shared" si="14"/>
        <v>#NUM!</v>
      </c>
      <c r="C85" s="142" t="e">
        <f t="shared" si="10"/>
        <v>#NUM!</v>
      </c>
      <c r="D85" s="142" t="e">
        <f t="shared" si="15"/>
        <v>#NUM!</v>
      </c>
      <c r="E85" s="142" t="e">
        <f t="shared" si="16"/>
        <v>#NUM!</v>
      </c>
      <c r="F85" s="142" t="e">
        <f t="shared" si="11"/>
        <v>#NUM!</v>
      </c>
      <c r="G85" s="184">
        <f>IF('prijem -inna mena'!$I$90=TRUE,IF($C$11&gt;0,0.00025*C84,0),IF('prijem -inna mena'!$I$91=TRUE,IF('prijem -inna mena'!$F$91&gt;0,0.00025*C84,0),0))</f>
        <v>0</v>
      </c>
      <c r="L85" s="89">
        <v>69</v>
      </c>
      <c r="M85" s="237" t="e">
        <f t="shared" si="17"/>
        <v>#DIV/0!</v>
      </c>
      <c r="N85" s="142" t="e">
        <f t="shared" si="12"/>
        <v>#DIV/0!</v>
      </c>
      <c r="O85" s="142" t="e">
        <f t="shared" si="13"/>
        <v>#DIV/0!</v>
      </c>
      <c r="P85" s="142" t="e">
        <f t="shared" si="18"/>
        <v>#DIV/0!</v>
      </c>
      <c r="Q85" s="142" t="e">
        <f t="shared" si="19"/>
        <v>#DIV/0!</v>
      </c>
      <c r="R85" s="184">
        <f>IF('prijem -inna mena'!$I$90=TRUE,IF($C$11&gt;0,0.00025*N84,0),IF('prijem -inna mena'!$I$91=TRUE,IF('prijem -inna mena'!$F$91&gt;0,0.00025*N84*-1,0),0))</f>
        <v>0</v>
      </c>
    </row>
    <row r="86" spans="1:18" x14ac:dyDescent="0.2">
      <c r="A86" s="89">
        <v>70</v>
      </c>
      <c r="B86" s="237" t="e">
        <f t="shared" si="14"/>
        <v>#NUM!</v>
      </c>
      <c r="C86" s="142" t="e">
        <f t="shared" si="10"/>
        <v>#NUM!</v>
      </c>
      <c r="D86" s="142" t="e">
        <f t="shared" si="15"/>
        <v>#NUM!</v>
      </c>
      <c r="E86" s="142" t="e">
        <f t="shared" si="16"/>
        <v>#NUM!</v>
      </c>
      <c r="F86" s="142" t="e">
        <f t="shared" si="11"/>
        <v>#NUM!</v>
      </c>
      <c r="G86" s="184">
        <f>IF('prijem -inna mena'!$I$90=TRUE,IF($C$11&gt;0,0.00025*C85,0),IF('prijem -inna mena'!$I$91=TRUE,IF('prijem -inna mena'!$F$91&gt;0,0.00025*C85,0),0))</f>
        <v>0</v>
      </c>
      <c r="L86" s="89">
        <v>70</v>
      </c>
      <c r="M86" s="237" t="e">
        <f t="shared" si="17"/>
        <v>#DIV/0!</v>
      </c>
      <c r="N86" s="142" t="e">
        <f t="shared" si="12"/>
        <v>#DIV/0!</v>
      </c>
      <c r="O86" s="142" t="e">
        <f t="shared" si="13"/>
        <v>#DIV/0!</v>
      </c>
      <c r="P86" s="142" t="e">
        <f t="shared" si="18"/>
        <v>#DIV/0!</v>
      </c>
      <c r="Q86" s="142" t="e">
        <f t="shared" si="19"/>
        <v>#DIV/0!</v>
      </c>
      <c r="R86" s="184">
        <f>IF('prijem -inna mena'!$I$90=TRUE,IF($C$11&gt;0,0.00025*N85,0),IF('prijem -inna mena'!$I$91=TRUE,IF('prijem -inna mena'!$F$91&gt;0,0.00025*N85*-1,0),0))</f>
        <v>0</v>
      </c>
    </row>
    <row r="87" spans="1:18" x14ac:dyDescent="0.2">
      <c r="A87" s="89">
        <v>71</v>
      </c>
      <c r="B87" s="237" t="e">
        <f t="shared" si="14"/>
        <v>#NUM!</v>
      </c>
      <c r="C87" s="142" t="e">
        <f t="shared" si="10"/>
        <v>#NUM!</v>
      </c>
      <c r="D87" s="142" t="e">
        <f t="shared" si="15"/>
        <v>#NUM!</v>
      </c>
      <c r="E87" s="142" t="e">
        <f t="shared" si="16"/>
        <v>#NUM!</v>
      </c>
      <c r="F87" s="142" t="e">
        <f t="shared" si="11"/>
        <v>#NUM!</v>
      </c>
      <c r="G87" s="184">
        <f>IF('prijem -inna mena'!$I$90=TRUE,IF($C$11&gt;0,0.00025*C86,0),IF('prijem -inna mena'!$I$91=TRUE,IF('prijem -inna mena'!$F$91&gt;0,0.00025*C86,0),0))</f>
        <v>0</v>
      </c>
      <c r="L87" s="89">
        <v>71</v>
      </c>
      <c r="M87" s="237" t="e">
        <f t="shared" si="17"/>
        <v>#DIV/0!</v>
      </c>
      <c r="N87" s="142" t="e">
        <f t="shared" si="12"/>
        <v>#DIV/0!</v>
      </c>
      <c r="O87" s="142" t="e">
        <f t="shared" si="13"/>
        <v>#DIV/0!</v>
      </c>
      <c r="P87" s="142" t="e">
        <f t="shared" si="18"/>
        <v>#DIV/0!</v>
      </c>
      <c r="Q87" s="142" t="e">
        <f t="shared" si="19"/>
        <v>#DIV/0!</v>
      </c>
      <c r="R87" s="184">
        <f>IF('prijem -inna mena'!$I$90=TRUE,IF($C$11&gt;0,0.00025*N86,0),IF('prijem -inna mena'!$I$91=TRUE,IF('prijem -inna mena'!$F$91&gt;0,0.00025*N86*-1,0),0))</f>
        <v>0</v>
      </c>
    </row>
    <row r="88" spans="1:18" x14ac:dyDescent="0.2">
      <c r="A88" s="89">
        <v>72</v>
      </c>
      <c r="B88" s="237" t="e">
        <f t="shared" si="14"/>
        <v>#NUM!</v>
      </c>
      <c r="C88" s="142" t="e">
        <f t="shared" si="10"/>
        <v>#NUM!</v>
      </c>
      <c r="D88" s="142" t="e">
        <f t="shared" si="15"/>
        <v>#NUM!</v>
      </c>
      <c r="E88" s="142" t="e">
        <f t="shared" si="16"/>
        <v>#NUM!</v>
      </c>
      <c r="F88" s="142" t="e">
        <f t="shared" si="11"/>
        <v>#NUM!</v>
      </c>
      <c r="G88" s="184">
        <f>IF('prijem -inna mena'!$I$90=TRUE,IF($C$11&gt;0,0.00025*C87,0),IF('prijem -inna mena'!$I$91=TRUE,IF('prijem -inna mena'!$F$91&gt;0,0.00025*C87,0),0))</f>
        <v>0</v>
      </c>
      <c r="L88" s="89">
        <v>72</v>
      </c>
      <c r="M88" s="237" t="e">
        <f t="shared" si="17"/>
        <v>#DIV/0!</v>
      </c>
      <c r="N88" s="142" t="e">
        <f t="shared" si="12"/>
        <v>#DIV/0!</v>
      </c>
      <c r="O88" s="142" t="e">
        <f t="shared" si="13"/>
        <v>#DIV/0!</v>
      </c>
      <c r="P88" s="142" t="e">
        <f t="shared" si="18"/>
        <v>#DIV/0!</v>
      </c>
      <c r="Q88" s="142" t="e">
        <f t="shared" si="19"/>
        <v>#DIV/0!</v>
      </c>
      <c r="R88" s="184">
        <f>IF('prijem -inna mena'!$I$90=TRUE,IF($C$11&gt;0,0.00025*N87,0),IF('prijem -inna mena'!$I$91=TRUE,IF('prijem -inna mena'!$F$91&gt;0,0.00025*N87*-1,0),0))</f>
        <v>0</v>
      </c>
    </row>
    <row r="89" spans="1:18" x14ac:dyDescent="0.2">
      <c r="A89" s="89">
        <v>73</v>
      </c>
      <c r="B89" s="237" t="e">
        <f t="shared" si="14"/>
        <v>#NUM!</v>
      </c>
      <c r="C89" s="142" t="e">
        <f t="shared" si="10"/>
        <v>#NUM!</v>
      </c>
      <c r="D89" s="142" t="e">
        <f t="shared" si="15"/>
        <v>#NUM!</v>
      </c>
      <c r="E89" s="142" t="e">
        <f t="shared" si="16"/>
        <v>#NUM!</v>
      </c>
      <c r="F89" s="142" t="e">
        <f t="shared" si="11"/>
        <v>#NUM!</v>
      </c>
      <c r="G89" s="184">
        <f>IF('prijem -inna mena'!$I$90=TRUE,IF($C$11&gt;0,0.00025*C88,0),IF('prijem -inna mena'!$I$91=TRUE,IF('prijem -inna mena'!$F$91&gt;0,0.00025*C88,0),0))</f>
        <v>0</v>
      </c>
      <c r="L89" s="89">
        <v>73</v>
      </c>
      <c r="M89" s="237" t="e">
        <f t="shared" si="17"/>
        <v>#DIV/0!</v>
      </c>
      <c r="N89" s="142" t="e">
        <f t="shared" si="12"/>
        <v>#DIV/0!</v>
      </c>
      <c r="O89" s="142" t="e">
        <f t="shared" si="13"/>
        <v>#DIV/0!</v>
      </c>
      <c r="P89" s="142" t="e">
        <f t="shared" si="18"/>
        <v>#DIV/0!</v>
      </c>
      <c r="Q89" s="142" t="e">
        <f t="shared" si="19"/>
        <v>#DIV/0!</v>
      </c>
      <c r="R89" s="184">
        <f>IF('prijem -inna mena'!$I$90=TRUE,IF($C$11&gt;0,0.00025*N88,0),IF('prijem -inna mena'!$I$91=TRUE,IF('prijem -inna mena'!$F$91&gt;0,0.00025*N88*-1,0),0))</f>
        <v>0</v>
      </c>
    </row>
    <row r="90" spans="1:18" x14ac:dyDescent="0.2">
      <c r="A90" s="89">
        <v>74</v>
      </c>
      <c r="B90" s="237" t="e">
        <f t="shared" si="14"/>
        <v>#NUM!</v>
      </c>
      <c r="C90" s="142" t="e">
        <f t="shared" si="10"/>
        <v>#NUM!</v>
      </c>
      <c r="D90" s="142" t="e">
        <f t="shared" si="15"/>
        <v>#NUM!</v>
      </c>
      <c r="E90" s="142" t="e">
        <f t="shared" si="16"/>
        <v>#NUM!</v>
      </c>
      <c r="F90" s="142" t="e">
        <f t="shared" si="11"/>
        <v>#NUM!</v>
      </c>
      <c r="G90" s="184">
        <f>IF('prijem -inna mena'!$I$90=TRUE,IF($C$11&gt;0,0.00025*C89,0),IF('prijem -inna mena'!$I$91=TRUE,IF('prijem -inna mena'!$F$91&gt;0,0.00025*C89,0),0))</f>
        <v>0</v>
      </c>
      <c r="L90" s="89">
        <v>74</v>
      </c>
      <c r="M90" s="237" t="e">
        <f t="shared" si="17"/>
        <v>#DIV/0!</v>
      </c>
      <c r="N90" s="142" t="e">
        <f t="shared" si="12"/>
        <v>#DIV/0!</v>
      </c>
      <c r="O90" s="142" t="e">
        <f t="shared" si="13"/>
        <v>#DIV/0!</v>
      </c>
      <c r="P90" s="142" t="e">
        <f t="shared" si="18"/>
        <v>#DIV/0!</v>
      </c>
      <c r="Q90" s="142" t="e">
        <f t="shared" si="19"/>
        <v>#DIV/0!</v>
      </c>
      <c r="R90" s="184">
        <f>IF('prijem -inna mena'!$I$90=TRUE,IF($C$11&gt;0,0.00025*N89,0),IF('prijem -inna mena'!$I$91=TRUE,IF('prijem -inna mena'!$F$91&gt;0,0.00025*N89*-1,0),0))</f>
        <v>0</v>
      </c>
    </row>
    <row r="91" spans="1:18" x14ac:dyDescent="0.2">
      <c r="A91" s="89">
        <v>75</v>
      </c>
      <c r="B91" s="237" t="e">
        <f t="shared" si="14"/>
        <v>#NUM!</v>
      </c>
      <c r="C91" s="142" t="e">
        <f t="shared" si="10"/>
        <v>#NUM!</v>
      </c>
      <c r="D91" s="142" t="e">
        <f t="shared" si="15"/>
        <v>#NUM!</v>
      </c>
      <c r="E91" s="142" t="e">
        <f t="shared" si="16"/>
        <v>#NUM!</v>
      </c>
      <c r="F91" s="142" t="e">
        <f t="shared" si="11"/>
        <v>#NUM!</v>
      </c>
      <c r="G91" s="184">
        <f>IF('prijem -inna mena'!$I$90=TRUE,IF($C$11&gt;0,0.00025*C90,0),IF('prijem -inna mena'!$I$91=TRUE,IF('prijem -inna mena'!$F$91&gt;0,0.00025*C90,0),0))</f>
        <v>0</v>
      </c>
      <c r="L91" s="89">
        <v>75</v>
      </c>
      <c r="M91" s="237" t="e">
        <f t="shared" si="17"/>
        <v>#DIV/0!</v>
      </c>
      <c r="N91" s="142" t="e">
        <f t="shared" si="12"/>
        <v>#DIV/0!</v>
      </c>
      <c r="O91" s="142" t="e">
        <f t="shared" si="13"/>
        <v>#DIV/0!</v>
      </c>
      <c r="P91" s="142" t="e">
        <f t="shared" si="18"/>
        <v>#DIV/0!</v>
      </c>
      <c r="Q91" s="142" t="e">
        <f t="shared" si="19"/>
        <v>#DIV/0!</v>
      </c>
      <c r="R91" s="184">
        <f>IF('prijem -inna mena'!$I$90=TRUE,IF($C$11&gt;0,0.00025*N90,0),IF('prijem -inna mena'!$I$91=TRUE,IF('prijem -inna mena'!$F$91&gt;0,0.00025*N90*-1,0),0))</f>
        <v>0</v>
      </c>
    </row>
    <row r="92" spans="1:18" x14ac:dyDescent="0.2">
      <c r="A92" s="89">
        <v>76</v>
      </c>
      <c r="B92" s="237" t="e">
        <f t="shared" si="14"/>
        <v>#NUM!</v>
      </c>
      <c r="C92" s="142" t="e">
        <f t="shared" si="10"/>
        <v>#NUM!</v>
      </c>
      <c r="D92" s="142" t="e">
        <f t="shared" si="15"/>
        <v>#NUM!</v>
      </c>
      <c r="E92" s="142" t="e">
        <f t="shared" si="16"/>
        <v>#NUM!</v>
      </c>
      <c r="F92" s="142" t="e">
        <f t="shared" si="11"/>
        <v>#NUM!</v>
      </c>
      <c r="G92" s="184">
        <f>IF('prijem -inna mena'!$I$90=TRUE,IF($C$11&gt;0,0.00025*C91,0),IF('prijem -inna mena'!$I$91=TRUE,IF('prijem -inna mena'!$F$91&gt;0,0.00025*C91,0),0))</f>
        <v>0</v>
      </c>
      <c r="L92" s="89">
        <v>76</v>
      </c>
      <c r="M92" s="237" t="e">
        <f t="shared" si="17"/>
        <v>#DIV/0!</v>
      </c>
      <c r="N92" s="142" t="e">
        <f t="shared" si="12"/>
        <v>#DIV/0!</v>
      </c>
      <c r="O92" s="142" t="e">
        <f t="shared" si="13"/>
        <v>#DIV/0!</v>
      </c>
      <c r="P92" s="142" t="e">
        <f t="shared" si="18"/>
        <v>#DIV/0!</v>
      </c>
      <c r="Q92" s="142" t="e">
        <f t="shared" si="19"/>
        <v>#DIV/0!</v>
      </c>
      <c r="R92" s="184">
        <f>IF('prijem -inna mena'!$I$90=TRUE,IF($C$11&gt;0,0.00025*N91,0),IF('prijem -inna mena'!$I$91=TRUE,IF('prijem -inna mena'!$F$91&gt;0,0.00025*N91*-1,0),0))</f>
        <v>0</v>
      </c>
    </row>
    <row r="93" spans="1:18" x14ac:dyDescent="0.2">
      <c r="A93" s="89">
        <v>77</v>
      </c>
      <c r="B93" s="237" t="e">
        <f t="shared" si="14"/>
        <v>#NUM!</v>
      </c>
      <c r="C93" s="142" t="e">
        <f t="shared" si="10"/>
        <v>#NUM!</v>
      </c>
      <c r="D93" s="142" t="e">
        <f t="shared" si="15"/>
        <v>#NUM!</v>
      </c>
      <c r="E93" s="142" t="e">
        <f t="shared" si="16"/>
        <v>#NUM!</v>
      </c>
      <c r="F93" s="142" t="e">
        <f t="shared" si="11"/>
        <v>#NUM!</v>
      </c>
      <c r="G93" s="184">
        <f>IF('prijem -inna mena'!$I$90=TRUE,IF($C$11&gt;0,0.00025*C92,0),IF('prijem -inna mena'!$I$91=TRUE,IF('prijem -inna mena'!$F$91&gt;0,0.00025*C92,0),0))</f>
        <v>0</v>
      </c>
      <c r="L93" s="89">
        <v>77</v>
      </c>
      <c r="M93" s="237" t="e">
        <f t="shared" si="17"/>
        <v>#DIV/0!</v>
      </c>
      <c r="N93" s="142" t="e">
        <f t="shared" si="12"/>
        <v>#DIV/0!</v>
      </c>
      <c r="O93" s="142" t="e">
        <f t="shared" si="13"/>
        <v>#DIV/0!</v>
      </c>
      <c r="P93" s="142" t="e">
        <f t="shared" si="18"/>
        <v>#DIV/0!</v>
      </c>
      <c r="Q93" s="142" t="e">
        <f t="shared" si="19"/>
        <v>#DIV/0!</v>
      </c>
      <c r="R93" s="184">
        <f>IF('prijem -inna mena'!$I$90=TRUE,IF($C$11&gt;0,0.00025*N92,0),IF('prijem -inna mena'!$I$91=TRUE,IF('prijem -inna mena'!$F$91&gt;0,0.00025*N92*-1,0),0))</f>
        <v>0</v>
      </c>
    </row>
    <row r="94" spans="1:18" x14ac:dyDescent="0.2">
      <c r="A94" s="89">
        <v>78</v>
      </c>
      <c r="B94" s="237" t="e">
        <f t="shared" si="14"/>
        <v>#NUM!</v>
      </c>
      <c r="C94" s="142" t="e">
        <f t="shared" si="10"/>
        <v>#NUM!</v>
      </c>
      <c r="D94" s="142" t="e">
        <f t="shared" si="15"/>
        <v>#NUM!</v>
      </c>
      <c r="E94" s="142" t="e">
        <f t="shared" si="16"/>
        <v>#NUM!</v>
      </c>
      <c r="F94" s="142" t="e">
        <f t="shared" si="11"/>
        <v>#NUM!</v>
      </c>
      <c r="G94" s="184">
        <f>IF('prijem -inna mena'!$I$90=TRUE,IF($C$11&gt;0,0.00025*C93,0),IF('prijem -inna mena'!$I$91=TRUE,IF('prijem -inna mena'!$F$91&gt;0,0.00025*C93,0),0))</f>
        <v>0</v>
      </c>
      <c r="L94" s="89">
        <v>78</v>
      </c>
      <c r="M94" s="237" t="e">
        <f t="shared" si="17"/>
        <v>#DIV/0!</v>
      </c>
      <c r="N94" s="142" t="e">
        <f t="shared" si="12"/>
        <v>#DIV/0!</v>
      </c>
      <c r="O94" s="142" t="e">
        <f t="shared" si="13"/>
        <v>#DIV/0!</v>
      </c>
      <c r="P94" s="142" t="e">
        <f t="shared" si="18"/>
        <v>#DIV/0!</v>
      </c>
      <c r="Q94" s="142" t="e">
        <f t="shared" si="19"/>
        <v>#DIV/0!</v>
      </c>
      <c r="R94" s="184">
        <f>IF('prijem -inna mena'!$I$90=TRUE,IF($C$11&gt;0,0.00025*N93,0),IF('prijem -inna mena'!$I$91=TRUE,IF('prijem -inna mena'!$F$91&gt;0,0.00025*N93*-1,0),0))</f>
        <v>0</v>
      </c>
    </row>
    <row r="95" spans="1:18" x14ac:dyDescent="0.2">
      <c r="A95" s="89">
        <v>79</v>
      </c>
      <c r="B95" s="237" t="e">
        <f t="shared" si="14"/>
        <v>#NUM!</v>
      </c>
      <c r="C95" s="142" t="e">
        <f t="shared" si="10"/>
        <v>#NUM!</v>
      </c>
      <c r="D95" s="142" t="e">
        <f t="shared" si="15"/>
        <v>#NUM!</v>
      </c>
      <c r="E95" s="142" t="e">
        <f t="shared" si="16"/>
        <v>#NUM!</v>
      </c>
      <c r="F95" s="142" t="e">
        <f t="shared" si="11"/>
        <v>#NUM!</v>
      </c>
      <c r="G95" s="184">
        <f>IF('prijem -inna mena'!$I$90=TRUE,IF($C$11&gt;0,0.00025*C94,0),IF('prijem -inna mena'!$I$91=TRUE,IF('prijem -inna mena'!$F$91&gt;0,0.00025*C94,0),0))</f>
        <v>0</v>
      </c>
      <c r="L95" s="89">
        <v>79</v>
      </c>
      <c r="M95" s="237" t="e">
        <f t="shared" si="17"/>
        <v>#DIV/0!</v>
      </c>
      <c r="N95" s="142" t="e">
        <f t="shared" si="12"/>
        <v>#DIV/0!</v>
      </c>
      <c r="O95" s="142" t="e">
        <f t="shared" si="13"/>
        <v>#DIV/0!</v>
      </c>
      <c r="P95" s="142" t="e">
        <f t="shared" si="18"/>
        <v>#DIV/0!</v>
      </c>
      <c r="Q95" s="142" t="e">
        <f t="shared" si="19"/>
        <v>#DIV/0!</v>
      </c>
      <c r="R95" s="184">
        <f>IF('prijem -inna mena'!$I$90=TRUE,IF($C$11&gt;0,0.00025*N94,0),IF('prijem -inna mena'!$I$91=TRUE,IF('prijem -inna mena'!$F$91&gt;0,0.00025*N94*-1,0),0))</f>
        <v>0</v>
      </c>
    </row>
    <row r="96" spans="1:18" x14ac:dyDescent="0.2">
      <c r="A96" s="89">
        <v>80</v>
      </c>
      <c r="B96" s="237" t="e">
        <f t="shared" si="14"/>
        <v>#NUM!</v>
      </c>
      <c r="C96" s="142" t="e">
        <f t="shared" si="10"/>
        <v>#NUM!</v>
      </c>
      <c r="D96" s="142" t="e">
        <f t="shared" si="15"/>
        <v>#NUM!</v>
      </c>
      <c r="E96" s="142" t="e">
        <f t="shared" si="16"/>
        <v>#NUM!</v>
      </c>
      <c r="F96" s="142" t="e">
        <f t="shared" si="11"/>
        <v>#NUM!</v>
      </c>
      <c r="G96" s="184">
        <f>IF('prijem -inna mena'!$I$90=TRUE,IF($C$11&gt;0,0.00025*C95,0),IF('prijem -inna mena'!$I$91=TRUE,IF('prijem -inna mena'!$F$91&gt;0,0.00025*C95,0),0))</f>
        <v>0</v>
      </c>
      <c r="L96" s="89">
        <v>80</v>
      </c>
      <c r="M96" s="237" t="e">
        <f t="shared" si="17"/>
        <v>#DIV/0!</v>
      </c>
      <c r="N96" s="142" t="e">
        <f t="shared" si="12"/>
        <v>#DIV/0!</v>
      </c>
      <c r="O96" s="142" t="e">
        <f t="shared" si="13"/>
        <v>#DIV/0!</v>
      </c>
      <c r="P96" s="142" t="e">
        <f t="shared" si="18"/>
        <v>#DIV/0!</v>
      </c>
      <c r="Q96" s="142" t="e">
        <f t="shared" si="19"/>
        <v>#DIV/0!</v>
      </c>
      <c r="R96" s="184">
        <f>IF('prijem -inna mena'!$I$90=TRUE,IF($C$11&gt;0,0.00025*N95,0),IF('prijem -inna mena'!$I$91=TRUE,IF('prijem -inna mena'!$F$91&gt;0,0.00025*N95*-1,0),0))</f>
        <v>0</v>
      </c>
    </row>
    <row r="97" spans="1:18" x14ac:dyDescent="0.2">
      <c r="A97" s="89">
        <v>81</v>
      </c>
      <c r="B97" s="237" t="e">
        <f t="shared" si="14"/>
        <v>#NUM!</v>
      </c>
      <c r="C97" s="142" t="e">
        <f t="shared" si="10"/>
        <v>#NUM!</v>
      </c>
      <c r="D97" s="142" t="e">
        <f t="shared" si="15"/>
        <v>#NUM!</v>
      </c>
      <c r="E97" s="142" t="e">
        <f t="shared" si="16"/>
        <v>#NUM!</v>
      </c>
      <c r="F97" s="142" t="e">
        <f t="shared" si="11"/>
        <v>#NUM!</v>
      </c>
      <c r="G97" s="184">
        <f>IF('prijem -inna mena'!$I$90=TRUE,IF($C$11&gt;0,0.00025*C96,0),IF('prijem -inna mena'!$I$91=TRUE,IF('prijem -inna mena'!$F$91&gt;0,0.00025*C96,0),0))</f>
        <v>0</v>
      </c>
      <c r="L97" s="89">
        <v>81</v>
      </c>
      <c r="M97" s="237" t="e">
        <f t="shared" si="17"/>
        <v>#DIV/0!</v>
      </c>
      <c r="N97" s="142" t="e">
        <f t="shared" si="12"/>
        <v>#DIV/0!</v>
      </c>
      <c r="O97" s="142" t="e">
        <f t="shared" si="13"/>
        <v>#DIV/0!</v>
      </c>
      <c r="P97" s="142" t="e">
        <f t="shared" si="18"/>
        <v>#DIV/0!</v>
      </c>
      <c r="Q97" s="142" t="e">
        <f t="shared" si="19"/>
        <v>#DIV/0!</v>
      </c>
      <c r="R97" s="184">
        <f>IF('prijem -inna mena'!$I$90=TRUE,IF($C$11&gt;0,0.00025*N96,0),IF('prijem -inna mena'!$I$91=TRUE,IF('prijem -inna mena'!$F$91&gt;0,0.00025*N96*-1,0),0))</f>
        <v>0</v>
      </c>
    </row>
    <row r="98" spans="1:18" x14ac:dyDescent="0.2">
      <c r="A98" s="89">
        <v>82</v>
      </c>
      <c r="B98" s="237" t="e">
        <f t="shared" si="14"/>
        <v>#NUM!</v>
      </c>
      <c r="C98" s="142" t="e">
        <f t="shared" si="10"/>
        <v>#NUM!</v>
      </c>
      <c r="D98" s="142" t="e">
        <f t="shared" si="15"/>
        <v>#NUM!</v>
      </c>
      <c r="E98" s="142" t="e">
        <f t="shared" si="16"/>
        <v>#NUM!</v>
      </c>
      <c r="F98" s="142" t="e">
        <f t="shared" si="11"/>
        <v>#NUM!</v>
      </c>
      <c r="G98" s="184">
        <f>IF('prijem -inna mena'!$I$90=TRUE,IF($C$11&gt;0,0.00025*C97,0),IF('prijem -inna mena'!$I$91=TRUE,IF('prijem -inna mena'!$F$91&gt;0,0.00025*C97,0),0))</f>
        <v>0</v>
      </c>
      <c r="L98" s="89">
        <v>82</v>
      </c>
      <c r="M98" s="237" t="e">
        <f t="shared" si="17"/>
        <v>#DIV/0!</v>
      </c>
      <c r="N98" s="142" t="e">
        <f t="shared" si="12"/>
        <v>#DIV/0!</v>
      </c>
      <c r="O98" s="142" t="e">
        <f t="shared" si="13"/>
        <v>#DIV/0!</v>
      </c>
      <c r="P98" s="142" t="e">
        <f t="shared" si="18"/>
        <v>#DIV/0!</v>
      </c>
      <c r="Q98" s="142" t="e">
        <f t="shared" si="19"/>
        <v>#DIV/0!</v>
      </c>
      <c r="R98" s="184">
        <f>IF('prijem -inna mena'!$I$90=TRUE,IF($C$11&gt;0,0.00025*N97,0),IF('prijem -inna mena'!$I$91=TRUE,IF('prijem -inna mena'!$F$91&gt;0,0.00025*N97*-1,0),0))</f>
        <v>0</v>
      </c>
    </row>
    <row r="99" spans="1:18" x14ac:dyDescent="0.2">
      <c r="A99" s="89">
        <v>83</v>
      </c>
      <c r="B99" s="237" t="e">
        <f t="shared" si="14"/>
        <v>#NUM!</v>
      </c>
      <c r="C99" s="142" t="e">
        <f t="shared" si="10"/>
        <v>#NUM!</v>
      </c>
      <c r="D99" s="142" t="e">
        <f t="shared" si="15"/>
        <v>#NUM!</v>
      </c>
      <c r="E99" s="142" t="e">
        <f t="shared" si="16"/>
        <v>#NUM!</v>
      </c>
      <c r="F99" s="142" t="e">
        <f t="shared" si="11"/>
        <v>#NUM!</v>
      </c>
      <c r="G99" s="184">
        <f>IF('prijem -inna mena'!$I$90=TRUE,IF($C$11&gt;0,0.00025*C98,0),IF('prijem -inna mena'!$I$91=TRUE,IF('prijem -inna mena'!$F$91&gt;0,0.00025*C98,0),0))</f>
        <v>0</v>
      </c>
      <c r="L99" s="89">
        <v>83</v>
      </c>
      <c r="M99" s="237" t="e">
        <f t="shared" si="17"/>
        <v>#DIV/0!</v>
      </c>
      <c r="N99" s="142" t="e">
        <f t="shared" si="12"/>
        <v>#DIV/0!</v>
      </c>
      <c r="O99" s="142" t="e">
        <f t="shared" si="13"/>
        <v>#DIV/0!</v>
      </c>
      <c r="P99" s="142" t="e">
        <f t="shared" si="18"/>
        <v>#DIV/0!</v>
      </c>
      <c r="Q99" s="142" t="e">
        <f t="shared" si="19"/>
        <v>#DIV/0!</v>
      </c>
      <c r="R99" s="184">
        <f>IF('prijem -inna mena'!$I$90=TRUE,IF($C$11&gt;0,0.00025*N98,0),IF('prijem -inna mena'!$I$91=TRUE,IF('prijem -inna mena'!$F$91&gt;0,0.00025*N98*-1,0),0))</f>
        <v>0</v>
      </c>
    </row>
    <row r="100" spans="1:18" x14ac:dyDescent="0.2">
      <c r="A100" s="89">
        <v>84</v>
      </c>
      <c r="B100" s="237" t="e">
        <f t="shared" si="14"/>
        <v>#NUM!</v>
      </c>
      <c r="C100" s="142" t="e">
        <f t="shared" si="10"/>
        <v>#NUM!</v>
      </c>
      <c r="D100" s="142" t="e">
        <f t="shared" si="15"/>
        <v>#NUM!</v>
      </c>
      <c r="E100" s="142" t="e">
        <f t="shared" si="16"/>
        <v>#NUM!</v>
      </c>
      <c r="F100" s="142" t="e">
        <f t="shared" si="11"/>
        <v>#NUM!</v>
      </c>
      <c r="G100" s="184">
        <f>IF('prijem -inna mena'!$I$90=TRUE,IF($C$11&gt;0,0.00025*C99,0),IF('prijem -inna mena'!$I$91=TRUE,IF('prijem -inna mena'!$F$91&gt;0,0.00025*C99,0),0))</f>
        <v>0</v>
      </c>
      <c r="L100" s="89">
        <v>84</v>
      </c>
      <c r="M100" s="237" t="e">
        <f t="shared" si="17"/>
        <v>#DIV/0!</v>
      </c>
      <c r="N100" s="142" t="e">
        <f t="shared" si="12"/>
        <v>#DIV/0!</v>
      </c>
      <c r="O100" s="142" t="e">
        <f t="shared" si="13"/>
        <v>#DIV/0!</v>
      </c>
      <c r="P100" s="142" t="e">
        <f t="shared" si="18"/>
        <v>#DIV/0!</v>
      </c>
      <c r="Q100" s="142" t="e">
        <f t="shared" si="19"/>
        <v>#DIV/0!</v>
      </c>
      <c r="R100" s="184">
        <f>IF('prijem -inna mena'!$I$90=TRUE,IF($C$11&gt;0,0.00025*N99,0),IF('prijem -inna mena'!$I$91=TRUE,IF('prijem -inna mena'!$F$91&gt;0,0.00025*N99*-1,0),0))</f>
        <v>0</v>
      </c>
    </row>
    <row r="101" spans="1:18" x14ac:dyDescent="0.2">
      <c r="A101" s="89">
        <v>85</v>
      </c>
      <c r="B101" s="237" t="e">
        <f t="shared" si="14"/>
        <v>#NUM!</v>
      </c>
      <c r="C101" s="142" t="e">
        <f t="shared" si="10"/>
        <v>#NUM!</v>
      </c>
      <c r="D101" s="142" t="e">
        <f t="shared" si="15"/>
        <v>#NUM!</v>
      </c>
      <c r="E101" s="142" t="e">
        <f t="shared" si="16"/>
        <v>#NUM!</v>
      </c>
      <c r="F101" s="142" t="e">
        <f t="shared" si="11"/>
        <v>#NUM!</v>
      </c>
      <c r="G101" s="184">
        <f>IF('prijem -inna mena'!$I$90=TRUE,IF($C$11&gt;0,0.00025*C100,0),IF('prijem -inna mena'!$I$91=TRUE,IF('prijem -inna mena'!$F$91&gt;0,0.00025*C100,0),0))</f>
        <v>0</v>
      </c>
      <c r="L101" s="89">
        <v>85</v>
      </c>
      <c r="M101" s="237" t="e">
        <f t="shared" si="17"/>
        <v>#DIV/0!</v>
      </c>
      <c r="N101" s="142" t="e">
        <f t="shared" si="12"/>
        <v>#DIV/0!</v>
      </c>
      <c r="O101" s="142" t="e">
        <f t="shared" si="13"/>
        <v>#DIV/0!</v>
      </c>
      <c r="P101" s="142" t="e">
        <f t="shared" si="18"/>
        <v>#DIV/0!</v>
      </c>
      <c r="Q101" s="142" t="e">
        <f t="shared" si="19"/>
        <v>#DIV/0!</v>
      </c>
      <c r="R101" s="184">
        <f>IF('prijem -inna mena'!$I$90=TRUE,IF($C$11&gt;0,0.00025*N100,0),IF('prijem -inna mena'!$I$91=TRUE,IF('prijem -inna mena'!$F$91&gt;0,0.00025*N100*-1,0),0))</f>
        <v>0</v>
      </c>
    </row>
    <row r="102" spans="1:18" x14ac:dyDescent="0.2">
      <c r="A102" s="89">
        <v>86</v>
      </c>
      <c r="B102" s="237" t="e">
        <f t="shared" si="14"/>
        <v>#NUM!</v>
      </c>
      <c r="C102" s="142" t="e">
        <f t="shared" si="10"/>
        <v>#NUM!</v>
      </c>
      <c r="D102" s="142" t="e">
        <f t="shared" si="15"/>
        <v>#NUM!</v>
      </c>
      <c r="E102" s="142" t="e">
        <f t="shared" si="16"/>
        <v>#NUM!</v>
      </c>
      <c r="F102" s="142" t="e">
        <f t="shared" si="11"/>
        <v>#NUM!</v>
      </c>
      <c r="G102" s="184">
        <f>IF('prijem -inna mena'!$I$90=TRUE,IF($C$11&gt;0,0.00025*C101,0),IF('prijem -inna mena'!$I$91=TRUE,IF('prijem -inna mena'!$F$91&gt;0,0.00025*C101,0),0))</f>
        <v>0</v>
      </c>
      <c r="L102" s="89">
        <v>86</v>
      </c>
      <c r="M102" s="237" t="e">
        <f t="shared" si="17"/>
        <v>#DIV/0!</v>
      </c>
      <c r="N102" s="142" t="e">
        <f t="shared" si="12"/>
        <v>#DIV/0!</v>
      </c>
      <c r="O102" s="142" t="e">
        <f t="shared" si="13"/>
        <v>#DIV/0!</v>
      </c>
      <c r="P102" s="142" t="e">
        <f t="shared" si="18"/>
        <v>#DIV/0!</v>
      </c>
      <c r="Q102" s="142" t="e">
        <f t="shared" si="19"/>
        <v>#DIV/0!</v>
      </c>
      <c r="R102" s="184">
        <f>IF('prijem -inna mena'!$I$90=TRUE,IF($C$11&gt;0,0.00025*N101,0),IF('prijem -inna mena'!$I$91=TRUE,IF('prijem -inna mena'!$F$91&gt;0,0.00025*N101*-1,0),0))</f>
        <v>0</v>
      </c>
    </row>
    <row r="103" spans="1:18" x14ac:dyDescent="0.2">
      <c r="A103" s="89">
        <v>87</v>
      </c>
      <c r="B103" s="237" t="e">
        <f t="shared" si="14"/>
        <v>#NUM!</v>
      </c>
      <c r="C103" s="142" t="e">
        <f t="shared" si="10"/>
        <v>#NUM!</v>
      </c>
      <c r="D103" s="142" t="e">
        <f t="shared" si="15"/>
        <v>#NUM!</v>
      </c>
      <c r="E103" s="142" t="e">
        <f t="shared" si="16"/>
        <v>#NUM!</v>
      </c>
      <c r="F103" s="142" t="e">
        <f t="shared" si="11"/>
        <v>#NUM!</v>
      </c>
      <c r="G103" s="184">
        <f>IF('prijem -inna mena'!$I$90=TRUE,IF($C$11&gt;0,0.00025*C102,0),IF('prijem -inna mena'!$I$91=TRUE,IF('prijem -inna mena'!$F$91&gt;0,0.00025*C102,0),0))</f>
        <v>0</v>
      </c>
      <c r="L103" s="89">
        <v>87</v>
      </c>
      <c r="M103" s="237" t="e">
        <f t="shared" si="17"/>
        <v>#DIV/0!</v>
      </c>
      <c r="N103" s="142" t="e">
        <f t="shared" si="12"/>
        <v>#DIV/0!</v>
      </c>
      <c r="O103" s="142" t="e">
        <f t="shared" si="13"/>
        <v>#DIV/0!</v>
      </c>
      <c r="P103" s="142" t="e">
        <f t="shared" si="18"/>
        <v>#DIV/0!</v>
      </c>
      <c r="Q103" s="142" t="e">
        <f t="shared" si="19"/>
        <v>#DIV/0!</v>
      </c>
      <c r="R103" s="184">
        <f>IF('prijem -inna mena'!$I$90=TRUE,IF($C$11&gt;0,0.00025*N102,0),IF('prijem -inna mena'!$I$91=TRUE,IF('prijem -inna mena'!$F$91&gt;0,0.00025*N102*-1,0),0))</f>
        <v>0</v>
      </c>
    </row>
    <row r="104" spans="1:18" x14ac:dyDescent="0.2">
      <c r="A104" s="89">
        <v>88</v>
      </c>
      <c r="B104" s="237" t="e">
        <f t="shared" si="14"/>
        <v>#NUM!</v>
      </c>
      <c r="C104" s="142" t="e">
        <f t="shared" si="10"/>
        <v>#NUM!</v>
      </c>
      <c r="D104" s="142" t="e">
        <f t="shared" si="15"/>
        <v>#NUM!</v>
      </c>
      <c r="E104" s="142" t="e">
        <f t="shared" si="16"/>
        <v>#NUM!</v>
      </c>
      <c r="F104" s="142" t="e">
        <f t="shared" si="11"/>
        <v>#NUM!</v>
      </c>
      <c r="G104" s="184">
        <f>IF('prijem -inna mena'!$I$90=TRUE,IF($C$11&gt;0,0.00025*C103,0),IF('prijem -inna mena'!$I$91=TRUE,IF('prijem -inna mena'!$F$91&gt;0,0.00025*C103,0),0))</f>
        <v>0</v>
      </c>
      <c r="L104" s="89">
        <v>88</v>
      </c>
      <c r="M104" s="237" t="e">
        <f t="shared" si="17"/>
        <v>#DIV/0!</v>
      </c>
      <c r="N104" s="142" t="e">
        <f t="shared" si="12"/>
        <v>#DIV/0!</v>
      </c>
      <c r="O104" s="142" t="e">
        <f t="shared" si="13"/>
        <v>#DIV/0!</v>
      </c>
      <c r="P104" s="142" t="e">
        <f t="shared" si="18"/>
        <v>#DIV/0!</v>
      </c>
      <c r="Q104" s="142" t="e">
        <f t="shared" si="19"/>
        <v>#DIV/0!</v>
      </c>
      <c r="R104" s="184">
        <f>IF('prijem -inna mena'!$I$90=TRUE,IF($C$11&gt;0,0.00025*N103,0),IF('prijem -inna mena'!$I$91=TRUE,IF('prijem -inna mena'!$F$91&gt;0,0.00025*N103*-1,0),0))</f>
        <v>0</v>
      </c>
    </row>
    <row r="105" spans="1:18" x14ac:dyDescent="0.2">
      <c r="A105" s="89">
        <v>89</v>
      </c>
      <c r="B105" s="237" t="e">
        <f t="shared" si="14"/>
        <v>#NUM!</v>
      </c>
      <c r="C105" s="142" t="e">
        <f t="shared" si="10"/>
        <v>#NUM!</v>
      </c>
      <c r="D105" s="142" t="e">
        <f t="shared" si="15"/>
        <v>#NUM!</v>
      </c>
      <c r="E105" s="142" t="e">
        <f t="shared" si="16"/>
        <v>#NUM!</v>
      </c>
      <c r="F105" s="142" t="e">
        <f t="shared" si="11"/>
        <v>#NUM!</v>
      </c>
      <c r="G105" s="184">
        <f>IF('prijem -inna mena'!$I$90=TRUE,IF($C$11&gt;0,0.00025*C104,0),IF('prijem -inna mena'!$I$91=TRUE,IF('prijem -inna mena'!$F$91&gt;0,0.00025*C104,0),0))</f>
        <v>0</v>
      </c>
      <c r="L105" s="89">
        <v>89</v>
      </c>
      <c r="M105" s="237" t="e">
        <f t="shared" si="17"/>
        <v>#DIV/0!</v>
      </c>
      <c r="N105" s="142" t="e">
        <f t="shared" si="12"/>
        <v>#DIV/0!</v>
      </c>
      <c r="O105" s="142" t="e">
        <f t="shared" si="13"/>
        <v>#DIV/0!</v>
      </c>
      <c r="P105" s="142" t="e">
        <f t="shared" si="18"/>
        <v>#DIV/0!</v>
      </c>
      <c r="Q105" s="142" t="e">
        <f t="shared" si="19"/>
        <v>#DIV/0!</v>
      </c>
      <c r="R105" s="184">
        <f>IF('prijem -inna mena'!$I$90=TRUE,IF($C$11&gt;0,0.00025*N104,0),IF('prijem -inna mena'!$I$91=TRUE,IF('prijem -inna mena'!$F$91&gt;0,0.00025*N104*-1,0),0))</f>
        <v>0</v>
      </c>
    </row>
    <row r="106" spans="1:18" x14ac:dyDescent="0.2">
      <c r="A106" s="89">
        <v>90</v>
      </c>
      <c r="B106" s="237" t="e">
        <f t="shared" si="14"/>
        <v>#NUM!</v>
      </c>
      <c r="C106" s="142" t="e">
        <f t="shared" si="10"/>
        <v>#NUM!</v>
      </c>
      <c r="D106" s="142" t="e">
        <f t="shared" si="15"/>
        <v>#NUM!</v>
      </c>
      <c r="E106" s="142" t="e">
        <f t="shared" si="16"/>
        <v>#NUM!</v>
      </c>
      <c r="F106" s="142" t="e">
        <f t="shared" si="11"/>
        <v>#NUM!</v>
      </c>
      <c r="G106" s="184">
        <f>IF('prijem -inna mena'!$I$90=TRUE,IF($C$11&gt;0,0.00025*C105,0),IF('prijem -inna mena'!$I$91=TRUE,IF('prijem -inna mena'!$F$91&gt;0,0.00025*C105,0),0))</f>
        <v>0</v>
      </c>
      <c r="L106" s="89">
        <v>90</v>
      </c>
      <c r="M106" s="237" t="e">
        <f t="shared" si="17"/>
        <v>#DIV/0!</v>
      </c>
      <c r="N106" s="142" t="e">
        <f t="shared" si="12"/>
        <v>#DIV/0!</v>
      </c>
      <c r="O106" s="142" t="e">
        <f t="shared" si="13"/>
        <v>#DIV/0!</v>
      </c>
      <c r="P106" s="142" t="e">
        <f t="shared" si="18"/>
        <v>#DIV/0!</v>
      </c>
      <c r="Q106" s="142" t="e">
        <f t="shared" si="19"/>
        <v>#DIV/0!</v>
      </c>
      <c r="R106" s="184">
        <f>IF('prijem -inna mena'!$I$90=TRUE,IF($C$11&gt;0,0.00025*N105,0),IF('prijem -inna mena'!$I$91=TRUE,IF('prijem -inna mena'!$F$91&gt;0,0.00025*N105*-1,0),0))</f>
        <v>0</v>
      </c>
    </row>
    <row r="107" spans="1:18" x14ac:dyDescent="0.2">
      <c r="A107" s="89">
        <v>91</v>
      </c>
      <c r="B107" s="237" t="e">
        <f t="shared" si="14"/>
        <v>#NUM!</v>
      </c>
      <c r="C107" s="142" t="e">
        <f t="shared" si="10"/>
        <v>#NUM!</v>
      </c>
      <c r="D107" s="142" t="e">
        <f t="shared" si="15"/>
        <v>#NUM!</v>
      </c>
      <c r="E107" s="142" t="e">
        <f t="shared" si="16"/>
        <v>#NUM!</v>
      </c>
      <c r="F107" s="142" t="e">
        <f t="shared" si="11"/>
        <v>#NUM!</v>
      </c>
      <c r="G107" s="184">
        <f>IF('prijem -inna mena'!$I$90=TRUE,IF($C$11&gt;0,0.00025*C106,0),IF('prijem -inna mena'!$I$91=TRUE,IF('prijem -inna mena'!$F$91&gt;0,0.00025*C106,0),0))</f>
        <v>0</v>
      </c>
      <c r="L107" s="89">
        <v>91</v>
      </c>
      <c r="M107" s="237" t="e">
        <f t="shared" si="17"/>
        <v>#DIV/0!</v>
      </c>
      <c r="N107" s="142" t="e">
        <f t="shared" si="12"/>
        <v>#DIV/0!</v>
      </c>
      <c r="O107" s="142" t="e">
        <f t="shared" si="13"/>
        <v>#DIV/0!</v>
      </c>
      <c r="P107" s="142" t="e">
        <f t="shared" si="18"/>
        <v>#DIV/0!</v>
      </c>
      <c r="Q107" s="142" t="e">
        <f t="shared" si="19"/>
        <v>#DIV/0!</v>
      </c>
      <c r="R107" s="184">
        <f>IF('prijem -inna mena'!$I$90=TRUE,IF($C$11&gt;0,0.00025*N106,0),IF('prijem -inna mena'!$I$91=TRUE,IF('prijem -inna mena'!$F$91&gt;0,0.00025*N106*-1,0),0))</f>
        <v>0</v>
      </c>
    </row>
    <row r="108" spans="1:18" x14ac:dyDescent="0.2">
      <c r="A108" s="89">
        <v>92</v>
      </c>
      <c r="B108" s="237" t="e">
        <f t="shared" si="14"/>
        <v>#NUM!</v>
      </c>
      <c r="C108" s="142" t="e">
        <f t="shared" si="10"/>
        <v>#NUM!</v>
      </c>
      <c r="D108" s="142" t="e">
        <f t="shared" si="15"/>
        <v>#NUM!</v>
      </c>
      <c r="E108" s="142" t="e">
        <f t="shared" si="16"/>
        <v>#NUM!</v>
      </c>
      <c r="F108" s="142" t="e">
        <f t="shared" si="11"/>
        <v>#NUM!</v>
      </c>
      <c r="G108" s="184">
        <f>IF('prijem -inna mena'!$I$90=TRUE,IF($C$11&gt;0,0.00025*C107,0),IF('prijem -inna mena'!$I$91=TRUE,IF('prijem -inna mena'!$F$91&gt;0,0.00025*C107,0),0))</f>
        <v>0</v>
      </c>
      <c r="L108" s="89">
        <v>92</v>
      </c>
      <c r="M108" s="237" t="e">
        <f t="shared" si="17"/>
        <v>#DIV/0!</v>
      </c>
      <c r="N108" s="142" t="e">
        <f t="shared" si="12"/>
        <v>#DIV/0!</v>
      </c>
      <c r="O108" s="142" t="e">
        <f t="shared" si="13"/>
        <v>#DIV/0!</v>
      </c>
      <c r="P108" s="142" t="e">
        <f t="shared" si="18"/>
        <v>#DIV/0!</v>
      </c>
      <c r="Q108" s="142" t="e">
        <f t="shared" si="19"/>
        <v>#DIV/0!</v>
      </c>
      <c r="R108" s="184">
        <f>IF('prijem -inna mena'!$I$90=TRUE,IF($C$11&gt;0,0.00025*N107,0),IF('prijem -inna mena'!$I$91=TRUE,IF('prijem -inna mena'!$F$91&gt;0,0.00025*N107*-1,0),0))</f>
        <v>0</v>
      </c>
    </row>
    <row r="109" spans="1:18" x14ac:dyDescent="0.2">
      <c r="A109" s="89">
        <v>93</v>
      </c>
      <c r="B109" s="237" t="e">
        <f t="shared" si="14"/>
        <v>#NUM!</v>
      </c>
      <c r="C109" s="142" t="e">
        <f t="shared" si="10"/>
        <v>#NUM!</v>
      </c>
      <c r="D109" s="142" t="e">
        <f t="shared" si="15"/>
        <v>#NUM!</v>
      </c>
      <c r="E109" s="142" t="e">
        <f t="shared" si="16"/>
        <v>#NUM!</v>
      </c>
      <c r="F109" s="142" t="e">
        <f t="shared" si="11"/>
        <v>#NUM!</v>
      </c>
      <c r="G109" s="184">
        <f>IF('prijem -inna mena'!$I$90=TRUE,IF($C$11&gt;0,0.00025*C108,0),IF('prijem -inna mena'!$I$91=TRUE,IF('prijem -inna mena'!$F$91&gt;0,0.00025*C108,0),0))</f>
        <v>0</v>
      </c>
      <c r="L109" s="89">
        <v>93</v>
      </c>
      <c r="M109" s="237" t="e">
        <f t="shared" si="17"/>
        <v>#DIV/0!</v>
      </c>
      <c r="N109" s="142" t="e">
        <f t="shared" si="12"/>
        <v>#DIV/0!</v>
      </c>
      <c r="O109" s="142" t="e">
        <f t="shared" si="13"/>
        <v>#DIV/0!</v>
      </c>
      <c r="P109" s="142" t="e">
        <f t="shared" si="18"/>
        <v>#DIV/0!</v>
      </c>
      <c r="Q109" s="142" t="e">
        <f t="shared" si="19"/>
        <v>#DIV/0!</v>
      </c>
      <c r="R109" s="184">
        <f>IF('prijem -inna mena'!$I$90=TRUE,IF($C$11&gt;0,0.00025*N108,0),IF('prijem -inna mena'!$I$91=TRUE,IF('prijem -inna mena'!$F$91&gt;0,0.00025*N108*-1,0),0))</f>
        <v>0</v>
      </c>
    </row>
    <row r="110" spans="1:18" x14ac:dyDescent="0.2">
      <c r="A110" s="89">
        <v>94</v>
      </c>
      <c r="B110" s="237" t="e">
        <f t="shared" si="14"/>
        <v>#NUM!</v>
      </c>
      <c r="C110" s="142" t="e">
        <f t="shared" si="10"/>
        <v>#NUM!</v>
      </c>
      <c r="D110" s="142" t="e">
        <f t="shared" si="15"/>
        <v>#NUM!</v>
      </c>
      <c r="E110" s="142" t="e">
        <f t="shared" si="16"/>
        <v>#NUM!</v>
      </c>
      <c r="F110" s="142" t="e">
        <f t="shared" si="11"/>
        <v>#NUM!</v>
      </c>
      <c r="G110" s="184">
        <f>IF('prijem -inna mena'!$I$90=TRUE,IF($C$11&gt;0,0.00025*C109,0),IF('prijem -inna mena'!$I$91=TRUE,IF('prijem -inna mena'!$F$91&gt;0,0.00025*C109,0),0))</f>
        <v>0</v>
      </c>
      <c r="L110" s="89">
        <v>94</v>
      </c>
      <c r="M110" s="237" t="e">
        <f t="shared" si="17"/>
        <v>#DIV/0!</v>
      </c>
      <c r="N110" s="142" t="e">
        <f t="shared" si="12"/>
        <v>#DIV/0!</v>
      </c>
      <c r="O110" s="142" t="e">
        <f t="shared" si="13"/>
        <v>#DIV/0!</v>
      </c>
      <c r="P110" s="142" t="e">
        <f t="shared" si="18"/>
        <v>#DIV/0!</v>
      </c>
      <c r="Q110" s="142" t="e">
        <f t="shared" si="19"/>
        <v>#DIV/0!</v>
      </c>
      <c r="R110" s="184">
        <f>IF('prijem -inna mena'!$I$90=TRUE,IF($C$11&gt;0,0.00025*N109,0),IF('prijem -inna mena'!$I$91=TRUE,IF('prijem -inna mena'!$F$91&gt;0,0.00025*N109*-1,0),0))</f>
        <v>0</v>
      </c>
    </row>
    <row r="111" spans="1:18" x14ac:dyDescent="0.2">
      <c r="A111" s="89">
        <v>95</v>
      </c>
      <c r="B111" s="237" t="e">
        <f t="shared" si="14"/>
        <v>#NUM!</v>
      </c>
      <c r="C111" s="142" t="e">
        <f t="shared" si="10"/>
        <v>#NUM!</v>
      </c>
      <c r="D111" s="142" t="e">
        <f t="shared" si="15"/>
        <v>#NUM!</v>
      </c>
      <c r="E111" s="142" t="e">
        <f t="shared" si="16"/>
        <v>#NUM!</v>
      </c>
      <c r="F111" s="142" t="e">
        <f t="shared" si="11"/>
        <v>#NUM!</v>
      </c>
      <c r="G111" s="184">
        <f>IF('prijem -inna mena'!$I$90=TRUE,IF($C$11&gt;0,0.00025*C110,0),IF('prijem -inna mena'!$I$91=TRUE,IF('prijem -inna mena'!$F$91&gt;0,0.00025*C110,0),0))</f>
        <v>0</v>
      </c>
      <c r="L111" s="89">
        <v>95</v>
      </c>
      <c r="M111" s="237" t="e">
        <f t="shared" si="17"/>
        <v>#DIV/0!</v>
      </c>
      <c r="N111" s="142" t="e">
        <f t="shared" si="12"/>
        <v>#DIV/0!</v>
      </c>
      <c r="O111" s="142" t="e">
        <f t="shared" si="13"/>
        <v>#DIV/0!</v>
      </c>
      <c r="P111" s="142" t="e">
        <f t="shared" si="18"/>
        <v>#DIV/0!</v>
      </c>
      <c r="Q111" s="142" t="e">
        <f t="shared" si="19"/>
        <v>#DIV/0!</v>
      </c>
      <c r="R111" s="184">
        <f>IF('prijem -inna mena'!$I$90=TRUE,IF($C$11&gt;0,0.00025*N110,0),IF('prijem -inna mena'!$I$91=TRUE,IF('prijem -inna mena'!$F$91&gt;0,0.00025*N110*-1,0),0))</f>
        <v>0</v>
      </c>
    </row>
    <row r="112" spans="1:18" x14ac:dyDescent="0.2">
      <c r="A112" s="89">
        <v>96</v>
      </c>
      <c r="B112" s="237" t="e">
        <f t="shared" si="14"/>
        <v>#NUM!</v>
      </c>
      <c r="C112" s="142" t="e">
        <f t="shared" si="10"/>
        <v>#NUM!</v>
      </c>
      <c r="D112" s="142" t="e">
        <f t="shared" si="15"/>
        <v>#NUM!</v>
      </c>
      <c r="E112" s="142" t="e">
        <f t="shared" si="16"/>
        <v>#NUM!</v>
      </c>
      <c r="F112" s="142" t="e">
        <f t="shared" si="11"/>
        <v>#NUM!</v>
      </c>
      <c r="G112" s="184">
        <f>IF('prijem -inna mena'!$I$90=TRUE,IF($C$11&gt;0,0.00025*C111,0),IF('prijem -inna mena'!$I$91=TRUE,IF('prijem -inna mena'!$F$91&gt;0,0.00025*C111,0),0))</f>
        <v>0</v>
      </c>
      <c r="L112" s="89">
        <v>96</v>
      </c>
      <c r="M112" s="237" t="e">
        <f t="shared" si="17"/>
        <v>#DIV/0!</v>
      </c>
      <c r="N112" s="142" t="e">
        <f t="shared" si="12"/>
        <v>#DIV/0!</v>
      </c>
      <c r="O112" s="142" t="e">
        <f t="shared" si="13"/>
        <v>#DIV/0!</v>
      </c>
      <c r="P112" s="142" t="e">
        <f t="shared" si="18"/>
        <v>#DIV/0!</v>
      </c>
      <c r="Q112" s="142" t="e">
        <f t="shared" si="19"/>
        <v>#DIV/0!</v>
      </c>
      <c r="R112" s="184">
        <f>IF('prijem -inna mena'!$I$90=TRUE,IF($C$11&gt;0,0.00025*N111,0),IF('prijem -inna mena'!$I$91=TRUE,IF('prijem -inna mena'!$F$91&gt;0,0.00025*N111*-1,0),0))</f>
        <v>0</v>
      </c>
    </row>
    <row r="113" spans="1:18" x14ac:dyDescent="0.2">
      <c r="A113" s="89">
        <v>97</v>
      </c>
      <c r="B113" s="237" t="e">
        <f t="shared" si="14"/>
        <v>#NUM!</v>
      </c>
      <c r="C113" s="142" t="e">
        <f t="shared" si="10"/>
        <v>#NUM!</v>
      </c>
      <c r="D113" s="142" t="e">
        <f t="shared" si="15"/>
        <v>#NUM!</v>
      </c>
      <c r="E113" s="142" t="e">
        <f t="shared" si="16"/>
        <v>#NUM!</v>
      </c>
      <c r="F113" s="142" t="e">
        <f t="shared" si="11"/>
        <v>#NUM!</v>
      </c>
      <c r="G113" s="184">
        <f>IF('prijem -inna mena'!$I$90=TRUE,IF($C$11&gt;0,0.00025*C112,0),IF('prijem -inna mena'!$I$91=TRUE,IF('prijem -inna mena'!$F$91&gt;0,0.00025*C112,0),0))</f>
        <v>0</v>
      </c>
      <c r="L113" s="89">
        <v>97</v>
      </c>
      <c r="M113" s="237" t="e">
        <f t="shared" si="17"/>
        <v>#DIV/0!</v>
      </c>
      <c r="N113" s="142" t="e">
        <f t="shared" si="12"/>
        <v>#DIV/0!</v>
      </c>
      <c r="O113" s="142" t="e">
        <f t="shared" si="13"/>
        <v>#DIV/0!</v>
      </c>
      <c r="P113" s="142" t="e">
        <f t="shared" si="18"/>
        <v>#DIV/0!</v>
      </c>
      <c r="Q113" s="142" t="e">
        <f t="shared" si="19"/>
        <v>#DIV/0!</v>
      </c>
      <c r="R113" s="184">
        <f>IF('prijem -inna mena'!$I$90=TRUE,IF($C$11&gt;0,0.00025*N112,0),IF('prijem -inna mena'!$I$91=TRUE,IF('prijem -inna mena'!$F$91&gt;0,0.00025*N112*-1,0),0))</f>
        <v>0</v>
      </c>
    </row>
    <row r="114" spans="1:18" x14ac:dyDescent="0.2">
      <c r="A114" s="89">
        <v>98</v>
      </c>
      <c r="B114" s="237" t="e">
        <f t="shared" si="14"/>
        <v>#NUM!</v>
      </c>
      <c r="C114" s="142" t="e">
        <f t="shared" si="10"/>
        <v>#NUM!</v>
      </c>
      <c r="D114" s="142" t="e">
        <f t="shared" si="15"/>
        <v>#NUM!</v>
      </c>
      <c r="E114" s="142" t="e">
        <f t="shared" si="16"/>
        <v>#NUM!</v>
      </c>
      <c r="F114" s="142" t="e">
        <f t="shared" si="11"/>
        <v>#NUM!</v>
      </c>
      <c r="G114" s="184">
        <f>IF('prijem -inna mena'!$I$90=TRUE,IF($C$11&gt;0,0.00025*C113,0),IF('prijem -inna mena'!$I$91=TRUE,IF('prijem -inna mena'!$F$91&gt;0,0.00025*C113,0),0))</f>
        <v>0</v>
      </c>
      <c r="L114" s="89">
        <v>98</v>
      </c>
      <c r="M114" s="237" t="e">
        <f t="shared" si="17"/>
        <v>#DIV/0!</v>
      </c>
      <c r="N114" s="142" t="e">
        <f t="shared" si="12"/>
        <v>#DIV/0!</v>
      </c>
      <c r="O114" s="142" t="e">
        <f t="shared" si="13"/>
        <v>#DIV/0!</v>
      </c>
      <c r="P114" s="142" t="e">
        <f t="shared" si="18"/>
        <v>#DIV/0!</v>
      </c>
      <c r="Q114" s="142" t="e">
        <f t="shared" si="19"/>
        <v>#DIV/0!</v>
      </c>
      <c r="R114" s="184">
        <f>IF('prijem -inna mena'!$I$90=TRUE,IF($C$11&gt;0,0.00025*N113,0),IF('prijem -inna mena'!$I$91=TRUE,IF('prijem -inna mena'!$F$91&gt;0,0.00025*N113*-1,0),0))</f>
        <v>0</v>
      </c>
    </row>
    <row r="115" spans="1:18" x14ac:dyDescent="0.2">
      <c r="A115" s="89">
        <v>99</v>
      </c>
      <c r="B115" s="237" t="e">
        <f t="shared" si="14"/>
        <v>#NUM!</v>
      </c>
      <c r="C115" s="142" t="e">
        <f t="shared" si="10"/>
        <v>#NUM!</v>
      </c>
      <c r="D115" s="142" t="e">
        <f t="shared" si="15"/>
        <v>#NUM!</v>
      </c>
      <c r="E115" s="142" t="e">
        <f t="shared" si="16"/>
        <v>#NUM!</v>
      </c>
      <c r="F115" s="142" t="e">
        <f t="shared" si="11"/>
        <v>#NUM!</v>
      </c>
      <c r="G115" s="184">
        <f>IF('prijem -inna mena'!$I$90=TRUE,IF($C$11&gt;0,0.00025*C114,0),IF('prijem -inna mena'!$I$91=TRUE,IF('prijem -inna mena'!$F$91&gt;0,0.00025*C114,0),0))</f>
        <v>0</v>
      </c>
      <c r="L115" s="89">
        <v>99</v>
      </c>
      <c r="M115" s="237" t="e">
        <f t="shared" si="17"/>
        <v>#DIV/0!</v>
      </c>
      <c r="N115" s="142" t="e">
        <f t="shared" si="12"/>
        <v>#DIV/0!</v>
      </c>
      <c r="O115" s="142" t="e">
        <f t="shared" si="13"/>
        <v>#DIV/0!</v>
      </c>
      <c r="P115" s="142" t="e">
        <f t="shared" si="18"/>
        <v>#DIV/0!</v>
      </c>
      <c r="Q115" s="142" t="e">
        <f t="shared" si="19"/>
        <v>#DIV/0!</v>
      </c>
      <c r="R115" s="184">
        <f>IF('prijem -inna mena'!$I$90=TRUE,IF($C$11&gt;0,0.00025*N114,0),IF('prijem -inna mena'!$I$91=TRUE,IF('prijem -inna mena'!$F$91&gt;0,0.00025*N114*-1,0),0))</f>
        <v>0</v>
      </c>
    </row>
    <row r="116" spans="1:18" x14ac:dyDescent="0.2">
      <c r="A116" s="89">
        <v>100</v>
      </c>
      <c r="B116" s="237" t="e">
        <f t="shared" si="14"/>
        <v>#NUM!</v>
      </c>
      <c r="C116" s="142" t="e">
        <f t="shared" si="10"/>
        <v>#NUM!</v>
      </c>
      <c r="D116" s="142" t="e">
        <f t="shared" si="15"/>
        <v>#NUM!</v>
      </c>
      <c r="E116" s="142" t="e">
        <f t="shared" si="16"/>
        <v>#NUM!</v>
      </c>
      <c r="F116" s="142" t="e">
        <f t="shared" si="11"/>
        <v>#NUM!</v>
      </c>
      <c r="G116" s="184">
        <f>IF('prijem -inna mena'!$I$90=TRUE,IF($C$11&gt;0,0.00025*C115,0),IF('prijem -inna mena'!$I$91=TRUE,IF('prijem -inna mena'!$F$91&gt;0,0.00025*C115,0),0))</f>
        <v>0</v>
      </c>
      <c r="L116" s="89">
        <v>100</v>
      </c>
      <c r="M116" s="237" t="e">
        <f t="shared" si="17"/>
        <v>#DIV/0!</v>
      </c>
      <c r="N116" s="142" t="e">
        <f t="shared" si="12"/>
        <v>#DIV/0!</v>
      </c>
      <c r="O116" s="142" t="e">
        <f t="shared" si="13"/>
        <v>#DIV/0!</v>
      </c>
      <c r="P116" s="142" t="e">
        <f t="shared" si="18"/>
        <v>#DIV/0!</v>
      </c>
      <c r="Q116" s="142" t="e">
        <f t="shared" si="19"/>
        <v>#DIV/0!</v>
      </c>
      <c r="R116" s="184">
        <f>IF('prijem -inna mena'!$I$90=TRUE,IF($C$11&gt;0,0.00025*N115,0),IF('prijem -inna mena'!$I$91=TRUE,IF('prijem -inna mena'!$F$91&gt;0,0.00025*N115*-1,0),0))</f>
        <v>0</v>
      </c>
    </row>
    <row r="117" spans="1:18" x14ac:dyDescent="0.2">
      <c r="A117" s="89">
        <v>101</v>
      </c>
      <c r="B117" s="237" t="e">
        <f t="shared" si="14"/>
        <v>#NUM!</v>
      </c>
      <c r="C117" s="142" t="e">
        <f t="shared" si="10"/>
        <v>#NUM!</v>
      </c>
      <c r="D117" s="142" t="e">
        <f t="shared" si="15"/>
        <v>#NUM!</v>
      </c>
      <c r="E117" s="142" t="e">
        <f t="shared" si="16"/>
        <v>#NUM!</v>
      </c>
      <c r="F117" s="142" t="e">
        <f t="shared" si="11"/>
        <v>#NUM!</v>
      </c>
      <c r="G117" s="184">
        <f>IF('prijem -inna mena'!$I$90=TRUE,IF($C$11&gt;0,0.00025*C116,0),IF('prijem -inna mena'!$I$91=TRUE,IF('prijem -inna mena'!$F$91&gt;0,0.00025*C116,0),0))</f>
        <v>0</v>
      </c>
      <c r="L117" s="89">
        <v>101</v>
      </c>
      <c r="M117" s="237" t="e">
        <f t="shared" si="17"/>
        <v>#DIV/0!</v>
      </c>
      <c r="N117" s="142" t="e">
        <f t="shared" si="12"/>
        <v>#DIV/0!</v>
      </c>
      <c r="O117" s="142" t="e">
        <f t="shared" si="13"/>
        <v>#DIV/0!</v>
      </c>
      <c r="P117" s="142" t="e">
        <f t="shared" si="18"/>
        <v>#DIV/0!</v>
      </c>
      <c r="Q117" s="142" t="e">
        <f t="shared" si="19"/>
        <v>#DIV/0!</v>
      </c>
      <c r="R117" s="184">
        <f>IF('prijem -inna mena'!$I$90=TRUE,IF($C$11&gt;0,0.00025*N116,0),IF('prijem -inna mena'!$I$91=TRUE,IF('prijem -inna mena'!$F$91&gt;0,0.00025*N116*-1,0),0))</f>
        <v>0</v>
      </c>
    </row>
    <row r="118" spans="1:18" x14ac:dyDescent="0.2">
      <c r="A118" s="89">
        <v>102</v>
      </c>
      <c r="B118" s="237" t="e">
        <f t="shared" si="14"/>
        <v>#NUM!</v>
      </c>
      <c r="C118" s="142" t="e">
        <f t="shared" si="10"/>
        <v>#NUM!</v>
      </c>
      <c r="D118" s="142" t="e">
        <f t="shared" si="15"/>
        <v>#NUM!</v>
      </c>
      <c r="E118" s="142" t="e">
        <f t="shared" si="16"/>
        <v>#NUM!</v>
      </c>
      <c r="F118" s="142" t="e">
        <f t="shared" si="11"/>
        <v>#NUM!</v>
      </c>
      <c r="G118" s="184">
        <f>IF('prijem -inna mena'!$I$90=TRUE,IF($C$11&gt;0,0.00025*C117,0),IF('prijem -inna mena'!$I$91=TRUE,IF('prijem -inna mena'!$F$91&gt;0,0.00025*C117,0),0))</f>
        <v>0</v>
      </c>
      <c r="L118" s="89">
        <v>102</v>
      </c>
      <c r="M118" s="237" t="e">
        <f t="shared" si="17"/>
        <v>#DIV/0!</v>
      </c>
      <c r="N118" s="142" t="e">
        <f t="shared" si="12"/>
        <v>#DIV/0!</v>
      </c>
      <c r="O118" s="142" t="e">
        <f t="shared" si="13"/>
        <v>#DIV/0!</v>
      </c>
      <c r="P118" s="142" t="e">
        <f t="shared" si="18"/>
        <v>#DIV/0!</v>
      </c>
      <c r="Q118" s="142" t="e">
        <f t="shared" si="19"/>
        <v>#DIV/0!</v>
      </c>
      <c r="R118" s="184">
        <f>IF('prijem -inna mena'!$I$90=TRUE,IF($C$11&gt;0,0.00025*N117,0),IF('prijem -inna mena'!$I$91=TRUE,IF('prijem -inna mena'!$F$91&gt;0,0.00025*N117*-1,0),0))</f>
        <v>0</v>
      </c>
    </row>
    <row r="119" spans="1:18" x14ac:dyDescent="0.2">
      <c r="A119" s="89">
        <v>103</v>
      </c>
      <c r="B119" s="237" t="e">
        <f t="shared" si="14"/>
        <v>#NUM!</v>
      </c>
      <c r="C119" s="142" t="e">
        <f t="shared" si="10"/>
        <v>#NUM!</v>
      </c>
      <c r="D119" s="142" t="e">
        <f t="shared" si="15"/>
        <v>#NUM!</v>
      </c>
      <c r="E119" s="142" t="e">
        <f t="shared" si="16"/>
        <v>#NUM!</v>
      </c>
      <c r="F119" s="142" t="e">
        <f t="shared" si="11"/>
        <v>#NUM!</v>
      </c>
      <c r="G119" s="184">
        <f>IF('prijem -inna mena'!$I$90=TRUE,IF($C$11&gt;0,0.00025*C118,0),IF('prijem -inna mena'!$I$91=TRUE,IF('prijem -inna mena'!$F$91&gt;0,0.00025*C118,0),0))</f>
        <v>0</v>
      </c>
      <c r="L119" s="89">
        <v>103</v>
      </c>
      <c r="M119" s="237" t="e">
        <f t="shared" si="17"/>
        <v>#DIV/0!</v>
      </c>
      <c r="N119" s="142" t="e">
        <f t="shared" si="12"/>
        <v>#DIV/0!</v>
      </c>
      <c r="O119" s="142" t="e">
        <f t="shared" si="13"/>
        <v>#DIV/0!</v>
      </c>
      <c r="P119" s="142" t="e">
        <f t="shared" si="18"/>
        <v>#DIV/0!</v>
      </c>
      <c r="Q119" s="142" t="e">
        <f t="shared" si="19"/>
        <v>#DIV/0!</v>
      </c>
      <c r="R119" s="184">
        <f>IF('prijem -inna mena'!$I$90=TRUE,IF($C$11&gt;0,0.00025*N118,0),IF('prijem -inna mena'!$I$91=TRUE,IF('prijem -inna mena'!$F$91&gt;0,0.00025*N118*-1,0),0))</f>
        <v>0</v>
      </c>
    </row>
    <row r="120" spans="1:18" x14ac:dyDescent="0.2">
      <c r="A120" s="89">
        <v>104</v>
      </c>
      <c r="B120" s="237" t="e">
        <f t="shared" si="14"/>
        <v>#NUM!</v>
      </c>
      <c r="C120" s="142" t="e">
        <f t="shared" si="10"/>
        <v>#NUM!</v>
      </c>
      <c r="D120" s="142" t="e">
        <f t="shared" si="15"/>
        <v>#NUM!</v>
      </c>
      <c r="E120" s="142" t="e">
        <f t="shared" si="16"/>
        <v>#NUM!</v>
      </c>
      <c r="F120" s="142" t="e">
        <f t="shared" si="11"/>
        <v>#NUM!</v>
      </c>
      <c r="G120" s="184">
        <f>IF('prijem -inna mena'!$I$90=TRUE,IF($C$11&gt;0,0.00025*C119,0),IF('prijem -inna mena'!$I$91=TRUE,IF('prijem -inna mena'!$F$91&gt;0,0.00025*C119,0),0))</f>
        <v>0</v>
      </c>
      <c r="L120" s="89">
        <v>104</v>
      </c>
      <c r="M120" s="237" t="e">
        <f t="shared" si="17"/>
        <v>#DIV/0!</v>
      </c>
      <c r="N120" s="142" t="e">
        <f t="shared" si="12"/>
        <v>#DIV/0!</v>
      </c>
      <c r="O120" s="142" t="e">
        <f t="shared" si="13"/>
        <v>#DIV/0!</v>
      </c>
      <c r="P120" s="142" t="e">
        <f t="shared" si="18"/>
        <v>#DIV/0!</v>
      </c>
      <c r="Q120" s="142" t="e">
        <f t="shared" si="19"/>
        <v>#DIV/0!</v>
      </c>
      <c r="R120" s="184">
        <f>IF('prijem -inna mena'!$I$90=TRUE,IF($C$11&gt;0,0.00025*N119,0),IF('prijem -inna mena'!$I$91=TRUE,IF('prijem -inna mena'!$F$91&gt;0,0.00025*N119*-1,0),0))</f>
        <v>0</v>
      </c>
    </row>
    <row r="121" spans="1:18" x14ac:dyDescent="0.2">
      <c r="A121" s="89">
        <v>105</v>
      </c>
      <c r="B121" s="237" t="e">
        <f t="shared" si="14"/>
        <v>#NUM!</v>
      </c>
      <c r="C121" s="142" t="e">
        <f t="shared" si="10"/>
        <v>#NUM!</v>
      </c>
      <c r="D121" s="142" t="e">
        <f t="shared" si="15"/>
        <v>#NUM!</v>
      </c>
      <c r="E121" s="142" t="e">
        <f t="shared" si="16"/>
        <v>#NUM!</v>
      </c>
      <c r="F121" s="142" t="e">
        <f t="shared" si="11"/>
        <v>#NUM!</v>
      </c>
      <c r="G121" s="184">
        <f>IF('prijem -inna mena'!$I$90=TRUE,IF($C$11&gt;0,0.00025*C120,0),IF('prijem -inna mena'!$I$91=TRUE,IF('prijem -inna mena'!$F$91&gt;0,0.00025*C120,0),0))</f>
        <v>0</v>
      </c>
      <c r="L121" s="89">
        <v>105</v>
      </c>
      <c r="M121" s="237" t="e">
        <f t="shared" si="17"/>
        <v>#DIV/0!</v>
      </c>
      <c r="N121" s="142" t="e">
        <f t="shared" si="12"/>
        <v>#DIV/0!</v>
      </c>
      <c r="O121" s="142" t="e">
        <f t="shared" si="13"/>
        <v>#DIV/0!</v>
      </c>
      <c r="P121" s="142" t="e">
        <f t="shared" si="18"/>
        <v>#DIV/0!</v>
      </c>
      <c r="Q121" s="142" t="e">
        <f t="shared" si="19"/>
        <v>#DIV/0!</v>
      </c>
      <c r="R121" s="184">
        <f>IF('prijem -inna mena'!$I$90=TRUE,IF($C$11&gt;0,0.00025*N120,0),IF('prijem -inna mena'!$I$91=TRUE,IF('prijem -inna mena'!$F$91&gt;0,0.00025*N120*-1,0),0))</f>
        <v>0</v>
      </c>
    </row>
    <row r="122" spans="1:18" x14ac:dyDescent="0.2">
      <c r="A122" s="89">
        <v>106</v>
      </c>
      <c r="B122" s="237" t="e">
        <f t="shared" si="14"/>
        <v>#NUM!</v>
      </c>
      <c r="C122" s="142" t="e">
        <f t="shared" si="10"/>
        <v>#NUM!</v>
      </c>
      <c r="D122" s="142" t="e">
        <f t="shared" si="15"/>
        <v>#NUM!</v>
      </c>
      <c r="E122" s="142" t="e">
        <f t="shared" si="16"/>
        <v>#NUM!</v>
      </c>
      <c r="F122" s="142" t="e">
        <f t="shared" si="11"/>
        <v>#NUM!</v>
      </c>
      <c r="G122" s="184">
        <f>IF('prijem -inna mena'!$I$90=TRUE,IF($C$11&gt;0,0.00025*C121,0),IF('prijem -inna mena'!$I$91=TRUE,IF('prijem -inna mena'!$F$91&gt;0,0.00025*C121,0),0))</f>
        <v>0</v>
      </c>
      <c r="L122" s="89">
        <v>106</v>
      </c>
      <c r="M122" s="237" t="e">
        <f t="shared" si="17"/>
        <v>#DIV/0!</v>
      </c>
      <c r="N122" s="142" t="e">
        <f t="shared" si="12"/>
        <v>#DIV/0!</v>
      </c>
      <c r="O122" s="142" t="e">
        <f t="shared" si="13"/>
        <v>#DIV/0!</v>
      </c>
      <c r="P122" s="142" t="e">
        <f t="shared" si="18"/>
        <v>#DIV/0!</v>
      </c>
      <c r="Q122" s="142" t="e">
        <f t="shared" si="19"/>
        <v>#DIV/0!</v>
      </c>
      <c r="R122" s="184">
        <f>IF('prijem -inna mena'!$I$90=TRUE,IF($C$11&gt;0,0.00025*N121,0),IF('prijem -inna mena'!$I$91=TRUE,IF('prijem -inna mena'!$F$91&gt;0,0.00025*N121*-1,0),0))</f>
        <v>0</v>
      </c>
    </row>
    <row r="123" spans="1:18" x14ac:dyDescent="0.2">
      <c r="A123" s="89">
        <v>107</v>
      </c>
      <c r="B123" s="237" t="e">
        <f t="shared" si="14"/>
        <v>#NUM!</v>
      </c>
      <c r="C123" s="142" t="e">
        <f t="shared" si="10"/>
        <v>#NUM!</v>
      </c>
      <c r="D123" s="142" t="e">
        <f t="shared" si="15"/>
        <v>#NUM!</v>
      </c>
      <c r="E123" s="142" t="e">
        <f t="shared" si="16"/>
        <v>#NUM!</v>
      </c>
      <c r="F123" s="142" t="e">
        <f t="shared" si="11"/>
        <v>#NUM!</v>
      </c>
      <c r="G123" s="184">
        <f>IF('prijem -inna mena'!$I$90=TRUE,IF($C$11&gt;0,0.00025*C122,0),IF('prijem -inna mena'!$I$91=TRUE,IF('prijem -inna mena'!$F$91&gt;0,0.00025*C122,0),0))</f>
        <v>0</v>
      </c>
      <c r="L123" s="89">
        <v>107</v>
      </c>
      <c r="M123" s="237" t="e">
        <f t="shared" si="17"/>
        <v>#DIV/0!</v>
      </c>
      <c r="N123" s="142" t="e">
        <f t="shared" si="12"/>
        <v>#DIV/0!</v>
      </c>
      <c r="O123" s="142" t="e">
        <f t="shared" si="13"/>
        <v>#DIV/0!</v>
      </c>
      <c r="P123" s="142" t="e">
        <f t="shared" si="18"/>
        <v>#DIV/0!</v>
      </c>
      <c r="Q123" s="142" t="e">
        <f t="shared" si="19"/>
        <v>#DIV/0!</v>
      </c>
      <c r="R123" s="184">
        <f>IF('prijem -inna mena'!$I$90=TRUE,IF($C$11&gt;0,0.00025*N122,0),IF('prijem -inna mena'!$I$91=TRUE,IF('prijem -inna mena'!$F$91&gt;0,0.00025*N122*-1,0),0))</f>
        <v>0</v>
      </c>
    </row>
    <row r="124" spans="1:18" x14ac:dyDescent="0.2">
      <c r="A124" s="89">
        <v>108</v>
      </c>
      <c r="B124" s="237" t="e">
        <f t="shared" si="14"/>
        <v>#NUM!</v>
      </c>
      <c r="C124" s="142" t="e">
        <f t="shared" si="10"/>
        <v>#NUM!</v>
      </c>
      <c r="D124" s="142" t="e">
        <f t="shared" si="15"/>
        <v>#NUM!</v>
      </c>
      <c r="E124" s="142" t="e">
        <f t="shared" si="16"/>
        <v>#NUM!</v>
      </c>
      <c r="F124" s="142" t="e">
        <f t="shared" si="11"/>
        <v>#NUM!</v>
      </c>
      <c r="G124" s="184">
        <f>IF('prijem -inna mena'!$I$90=TRUE,IF($C$11&gt;0,0.00025*C123,0),IF('prijem -inna mena'!$I$91=TRUE,IF('prijem -inna mena'!$F$91&gt;0,0.00025*C123,0),0))</f>
        <v>0</v>
      </c>
      <c r="L124" s="89">
        <v>108</v>
      </c>
      <c r="M124" s="237" t="e">
        <f t="shared" si="17"/>
        <v>#DIV/0!</v>
      </c>
      <c r="N124" s="142" t="e">
        <f t="shared" si="12"/>
        <v>#DIV/0!</v>
      </c>
      <c r="O124" s="142" t="e">
        <f t="shared" si="13"/>
        <v>#DIV/0!</v>
      </c>
      <c r="P124" s="142" t="e">
        <f t="shared" si="18"/>
        <v>#DIV/0!</v>
      </c>
      <c r="Q124" s="142" t="e">
        <f t="shared" si="19"/>
        <v>#DIV/0!</v>
      </c>
      <c r="R124" s="184">
        <f>IF('prijem -inna mena'!$I$90=TRUE,IF($C$11&gt;0,0.00025*N123,0),IF('prijem -inna mena'!$I$91=TRUE,IF('prijem -inna mena'!$F$91&gt;0,0.00025*N123*-1,0),0))</f>
        <v>0</v>
      </c>
    </row>
    <row r="125" spans="1:18" x14ac:dyDescent="0.2">
      <c r="A125" s="89">
        <v>109</v>
      </c>
      <c r="B125" s="237" t="e">
        <f t="shared" si="14"/>
        <v>#NUM!</v>
      </c>
      <c r="C125" s="142" t="e">
        <f t="shared" si="10"/>
        <v>#NUM!</v>
      </c>
      <c r="D125" s="142" t="e">
        <f t="shared" si="15"/>
        <v>#NUM!</v>
      </c>
      <c r="E125" s="142" t="e">
        <f t="shared" si="16"/>
        <v>#NUM!</v>
      </c>
      <c r="F125" s="142" t="e">
        <f t="shared" si="11"/>
        <v>#NUM!</v>
      </c>
      <c r="G125" s="184">
        <f>IF('prijem -inna mena'!$I$90=TRUE,IF($C$11&gt;0,0.00025*C124,0),IF('prijem -inna mena'!$I$91=TRUE,IF('prijem -inna mena'!$F$91&gt;0,0.00025*C124,0),0))</f>
        <v>0</v>
      </c>
      <c r="L125" s="89">
        <v>109</v>
      </c>
      <c r="M125" s="237" t="e">
        <f t="shared" si="17"/>
        <v>#DIV/0!</v>
      </c>
      <c r="N125" s="142" t="e">
        <f t="shared" si="12"/>
        <v>#DIV/0!</v>
      </c>
      <c r="O125" s="142" t="e">
        <f t="shared" si="13"/>
        <v>#DIV/0!</v>
      </c>
      <c r="P125" s="142" t="e">
        <f t="shared" si="18"/>
        <v>#DIV/0!</v>
      </c>
      <c r="Q125" s="142" t="e">
        <f t="shared" si="19"/>
        <v>#DIV/0!</v>
      </c>
      <c r="R125" s="184">
        <f>IF('prijem -inna mena'!$I$90=TRUE,IF($C$11&gt;0,0.00025*N124,0),IF('prijem -inna mena'!$I$91=TRUE,IF('prijem -inna mena'!$F$91&gt;0,0.00025*N124*-1,0),0))</f>
        <v>0</v>
      </c>
    </row>
    <row r="126" spans="1:18" x14ac:dyDescent="0.2">
      <c r="A126" s="89">
        <v>110</v>
      </c>
      <c r="B126" s="237" t="e">
        <f t="shared" si="14"/>
        <v>#NUM!</v>
      </c>
      <c r="C126" s="142" t="e">
        <f t="shared" si="10"/>
        <v>#NUM!</v>
      </c>
      <c r="D126" s="142" t="e">
        <f t="shared" si="15"/>
        <v>#NUM!</v>
      </c>
      <c r="E126" s="142" t="e">
        <f t="shared" si="16"/>
        <v>#NUM!</v>
      </c>
      <c r="F126" s="142" t="e">
        <f t="shared" si="11"/>
        <v>#NUM!</v>
      </c>
      <c r="G126" s="184">
        <f>IF('prijem -inna mena'!$I$90=TRUE,IF($C$11&gt;0,0.00025*C125,0),IF('prijem -inna mena'!$I$91=TRUE,IF('prijem -inna mena'!$F$91&gt;0,0.00025*C125,0),0))</f>
        <v>0</v>
      </c>
      <c r="L126" s="89">
        <v>110</v>
      </c>
      <c r="M126" s="237" t="e">
        <f t="shared" si="17"/>
        <v>#DIV/0!</v>
      </c>
      <c r="N126" s="142" t="e">
        <f t="shared" si="12"/>
        <v>#DIV/0!</v>
      </c>
      <c r="O126" s="142" t="e">
        <f t="shared" si="13"/>
        <v>#DIV/0!</v>
      </c>
      <c r="P126" s="142" t="e">
        <f t="shared" si="18"/>
        <v>#DIV/0!</v>
      </c>
      <c r="Q126" s="142" t="e">
        <f t="shared" si="19"/>
        <v>#DIV/0!</v>
      </c>
      <c r="R126" s="184">
        <f>IF('prijem -inna mena'!$I$90=TRUE,IF($C$11&gt;0,0.00025*N125,0),IF('prijem -inna mena'!$I$91=TRUE,IF('prijem -inna mena'!$F$91&gt;0,0.00025*N125*-1,0),0))</f>
        <v>0</v>
      </c>
    </row>
    <row r="127" spans="1:18" x14ac:dyDescent="0.2">
      <c r="A127" s="89">
        <v>111</v>
      </c>
      <c r="B127" s="237" t="e">
        <f t="shared" si="14"/>
        <v>#NUM!</v>
      </c>
      <c r="C127" s="142" t="e">
        <f t="shared" si="10"/>
        <v>#NUM!</v>
      </c>
      <c r="D127" s="142" t="e">
        <f t="shared" si="15"/>
        <v>#NUM!</v>
      </c>
      <c r="E127" s="142" t="e">
        <f t="shared" si="16"/>
        <v>#NUM!</v>
      </c>
      <c r="F127" s="142" t="e">
        <f t="shared" si="11"/>
        <v>#NUM!</v>
      </c>
      <c r="G127" s="184">
        <f>IF('prijem -inna mena'!$I$90=TRUE,IF($C$11&gt;0,0.00025*C126,0),IF('prijem -inna mena'!$I$91=TRUE,IF('prijem -inna mena'!$F$91&gt;0,0.00025*C126,0),0))</f>
        <v>0</v>
      </c>
      <c r="L127" s="89">
        <v>111</v>
      </c>
      <c r="M127" s="237" t="e">
        <f t="shared" si="17"/>
        <v>#DIV/0!</v>
      </c>
      <c r="N127" s="142" t="e">
        <f t="shared" si="12"/>
        <v>#DIV/0!</v>
      </c>
      <c r="O127" s="142" t="e">
        <f t="shared" si="13"/>
        <v>#DIV/0!</v>
      </c>
      <c r="P127" s="142" t="e">
        <f t="shared" si="18"/>
        <v>#DIV/0!</v>
      </c>
      <c r="Q127" s="142" t="e">
        <f t="shared" si="19"/>
        <v>#DIV/0!</v>
      </c>
      <c r="R127" s="184">
        <f>IF('prijem -inna mena'!$I$90=TRUE,IF($C$11&gt;0,0.00025*N126,0),IF('prijem -inna mena'!$I$91=TRUE,IF('prijem -inna mena'!$F$91&gt;0,0.00025*N126*-1,0),0))</f>
        <v>0</v>
      </c>
    </row>
    <row r="128" spans="1:18" x14ac:dyDescent="0.2">
      <c r="A128" s="89">
        <v>112</v>
      </c>
      <c r="B128" s="237" t="e">
        <f t="shared" si="14"/>
        <v>#NUM!</v>
      </c>
      <c r="C128" s="142" t="e">
        <f t="shared" si="10"/>
        <v>#NUM!</v>
      </c>
      <c r="D128" s="142" t="e">
        <f t="shared" si="15"/>
        <v>#NUM!</v>
      </c>
      <c r="E128" s="142" t="e">
        <f t="shared" si="16"/>
        <v>#NUM!</v>
      </c>
      <c r="F128" s="142" t="e">
        <f t="shared" si="11"/>
        <v>#NUM!</v>
      </c>
      <c r="G128" s="184">
        <f>IF('prijem -inna mena'!$I$90=TRUE,IF($C$11&gt;0,0.00025*C127,0),IF('prijem -inna mena'!$I$91=TRUE,IF('prijem -inna mena'!$F$91&gt;0,0.00025*C127,0),0))</f>
        <v>0</v>
      </c>
      <c r="L128" s="89">
        <v>112</v>
      </c>
      <c r="M128" s="237" t="e">
        <f t="shared" si="17"/>
        <v>#DIV/0!</v>
      </c>
      <c r="N128" s="142" t="e">
        <f t="shared" si="12"/>
        <v>#DIV/0!</v>
      </c>
      <c r="O128" s="142" t="e">
        <f t="shared" si="13"/>
        <v>#DIV/0!</v>
      </c>
      <c r="P128" s="142" t="e">
        <f t="shared" si="18"/>
        <v>#DIV/0!</v>
      </c>
      <c r="Q128" s="142" t="e">
        <f t="shared" si="19"/>
        <v>#DIV/0!</v>
      </c>
      <c r="R128" s="184">
        <f>IF('prijem -inna mena'!$I$90=TRUE,IF($C$11&gt;0,0.00025*N127,0),IF('prijem -inna mena'!$I$91=TRUE,IF('prijem -inna mena'!$F$91&gt;0,0.00025*N127*-1,0),0))</f>
        <v>0</v>
      </c>
    </row>
    <row r="129" spans="1:18" x14ac:dyDescent="0.2">
      <c r="A129" s="89">
        <v>113</v>
      </c>
      <c r="B129" s="237" t="e">
        <f t="shared" si="14"/>
        <v>#NUM!</v>
      </c>
      <c r="C129" s="142" t="e">
        <f t="shared" si="10"/>
        <v>#NUM!</v>
      </c>
      <c r="D129" s="142" t="e">
        <f t="shared" si="15"/>
        <v>#NUM!</v>
      </c>
      <c r="E129" s="142" t="e">
        <f t="shared" si="16"/>
        <v>#NUM!</v>
      </c>
      <c r="F129" s="142" t="e">
        <f t="shared" si="11"/>
        <v>#NUM!</v>
      </c>
      <c r="G129" s="184">
        <f>IF('prijem -inna mena'!$I$90=TRUE,IF($C$11&gt;0,0.00025*C128,0),IF('prijem -inna mena'!$I$91=TRUE,IF('prijem -inna mena'!$F$91&gt;0,0.00025*C128,0),0))</f>
        <v>0</v>
      </c>
      <c r="L129" s="89">
        <v>113</v>
      </c>
      <c r="M129" s="237" t="e">
        <f t="shared" si="17"/>
        <v>#DIV/0!</v>
      </c>
      <c r="N129" s="142" t="e">
        <f t="shared" si="12"/>
        <v>#DIV/0!</v>
      </c>
      <c r="O129" s="142" t="e">
        <f t="shared" si="13"/>
        <v>#DIV/0!</v>
      </c>
      <c r="P129" s="142" t="e">
        <f t="shared" si="18"/>
        <v>#DIV/0!</v>
      </c>
      <c r="Q129" s="142" t="e">
        <f t="shared" si="19"/>
        <v>#DIV/0!</v>
      </c>
      <c r="R129" s="184">
        <f>IF('prijem -inna mena'!$I$90=TRUE,IF($C$11&gt;0,0.00025*N128,0),IF('prijem -inna mena'!$I$91=TRUE,IF('prijem -inna mena'!$F$91&gt;0,0.00025*N128*-1,0),0))</f>
        <v>0</v>
      </c>
    </row>
    <row r="130" spans="1:18" x14ac:dyDescent="0.2">
      <c r="A130" s="89">
        <v>114</v>
      </c>
      <c r="B130" s="237" t="e">
        <f t="shared" si="14"/>
        <v>#NUM!</v>
      </c>
      <c r="C130" s="142" t="e">
        <f t="shared" si="10"/>
        <v>#NUM!</v>
      </c>
      <c r="D130" s="142" t="e">
        <f t="shared" si="15"/>
        <v>#NUM!</v>
      </c>
      <c r="E130" s="142" t="e">
        <f t="shared" si="16"/>
        <v>#NUM!</v>
      </c>
      <c r="F130" s="142" t="e">
        <f t="shared" si="11"/>
        <v>#NUM!</v>
      </c>
      <c r="G130" s="184">
        <f>IF('prijem -inna mena'!$I$90=TRUE,IF($C$11&gt;0,0.00025*C129,0),IF('prijem -inna mena'!$I$91=TRUE,IF('prijem -inna mena'!$F$91&gt;0,0.00025*C129,0),0))</f>
        <v>0</v>
      </c>
      <c r="L130" s="89">
        <v>114</v>
      </c>
      <c r="M130" s="237" t="e">
        <f t="shared" si="17"/>
        <v>#DIV/0!</v>
      </c>
      <c r="N130" s="142" t="e">
        <f t="shared" si="12"/>
        <v>#DIV/0!</v>
      </c>
      <c r="O130" s="142" t="e">
        <f t="shared" si="13"/>
        <v>#DIV/0!</v>
      </c>
      <c r="P130" s="142" t="e">
        <f t="shared" si="18"/>
        <v>#DIV/0!</v>
      </c>
      <c r="Q130" s="142" t="e">
        <f t="shared" si="19"/>
        <v>#DIV/0!</v>
      </c>
      <c r="R130" s="184">
        <f>IF('prijem -inna mena'!$I$90=TRUE,IF($C$11&gt;0,0.00025*N129,0),IF('prijem -inna mena'!$I$91=TRUE,IF('prijem -inna mena'!$F$91&gt;0,0.00025*N129*-1,0),0))</f>
        <v>0</v>
      </c>
    </row>
    <row r="131" spans="1:18" x14ac:dyDescent="0.2">
      <c r="A131" s="89">
        <v>115</v>
      </c>
      <c r="B131" s="237" t="e">
        <f t="shared" si="14"/>
        <v>#NUM!</v>
      </c>
      <c r="C131" s="142" t="e">
        <f t="shared" si="10"/>
        <v>#NUM!</v>
      </c>
      <c r="D131" s="142" t="e">
        <f t="shared" si="15"/>
        <v>#NUM!</v>
      </c>
      <c r="E131" s="142" t="e">
        <f t="shared" si="16"/>
        <v>#NUM!</v>
      </c>
      <c r="F131" s="142" t="e">
        <f t="shared" si="11"/>
        <v>#NUM!</v>
      </c>
      <c r="G131" s="184">
        <f>IF('prijem -inna mena'!$I$90=TRUE,IF($C$11&gt;0,0.00025*C130,0),IF('prijem -inna mena'!$I$91=TRUE,IF('prijem -inna mena'!$F$91&gt;0,0.00025*C130,0),0))</f>
        <v>0</v>
      </c>
      <c r="L131" s="89">
        <v>115</v>
      </c>
      <c r="M131" s="237" t="e">
        <f t="shared" si="17"/>
        <v>#DIV/0!</v>
      </c>
      <c r="N131" s="142" t="e">
        <f t="shared" si="12"/>
        <v>#DIV/0!</v>
      </c>
      <c r="O131" s="142" t="e">
        <f t="shared" si="13"/>
        <v>#DIV/0!</v>
      </c>
      <c r="P131" s="142" t="e">
        <f t="shared" si="18"/>
        <v>#DIV/0!</v>
      </c>
      <c r="Q131" s="142" t="e">
        <f t="shared" si="19"/>
        <v>#DIV/0!</v>
      </c>
      <c r="R131" s="184">
        <f>IF('prijem -inna mena'!$I$90=TRUE,IF($C$11&gt;0,0.00025*N130,0),IF('prijem -inna mena'!$I$91=TRUE,IF('prijem -inna mena'!$F$91&gt;0,0.00025*N130*-1,0),0))</f>
        <v>0</v>
      </c>
    </row>
    <row r="132" spans="1:18" x14ac:dyDescent="0.2">
      <c r="A132" s="89">
        <v>116</v>
      </c>
      <c r="B132" s="237" t="e">
        <f t="shared" si="14"/>
        <v>#NUM!</v>
      </c>
      <c r="C132" s="142" t="e">
        <f t="shared" si="10"/>
        <v>#NUM!</v>
      </c>
      <c r="D132" s="142" t="e">
        <f t="shared" si="15"/>
        <v>#NUM!</v>
      </c>
      <c r="E132" s="142" t="e">
        <f t="shared" si="16"/>
        <v>#NUM!</v>
      </c>
      <c r="F132" s="142" t="e">
        <f t="shared" si="11"/>
        <v>#NUM!</v>
      </c>
      <c r="G132" s="184">
        <f>IF('prijem -inna mena'!$I$90=TRUE,IF($C$11&gt;0,0.00025*C131,0),IF('prijem -inna mena'!$I$91=TRUE,IF('prijem -inna mena'!$F$91&gt;0,0.00025*C131,0),0))</f>
        <v>0</v>
      </c>
      <c r="L132" s="89">
        <v>116</v>
      </c>
      <c r="M132" s="237" t="e">
        <f t="shared" si="17"/>
        <v>#DIV/0!</v>
      </c>
      <c r="N132" s="142" t="e">
        <f t="shared" si="12"/>
        <v>#DIV/0!</v>
      </c>
      <c r="O132" s="142" t="e">
        <f t="shared" si="13"/>
        <v>#DIV/0!</v>
      </c>
      <c r="P132" s="142" t="e">
        <f t="shared" si="18"/>
        <v>#DIV/0!</v>
      </c>
      <c r="Q132" s="142" t="e">
        <f t="shared" si="19"/>
        <v>#DIV/0!</v>
      </c>
      <c r="R132" s="184">
        <f>IF('prijem -inna mena'!$I$90=TRUE,IF($C$11&gt;0,0.00025*N131,0),IF('prijem -inna mena'!$I$91=TRUE,IF('prijem -inna mena'!$F$91&gt;0,0.00025*N131*-1,0),0))</f>
        <v>0</v>
      </c>
    </row>
    <row r="133" spans="1:18" x14ac:dyDescent="0.2">
      <c r="A133" s="89">
        <v>117</v>
      </c>
      <c r="B133" s="237" t="e">
        <f t="shared" si="14"/>
        <v>#NUM!</v>
      </c>
      <c r="C133" s="142" t="e">
        <f t="shared" si="10"/>
        <v>#NUM!</v>
      </c>
      <c r="D133" s="142" t="e">
        <f t="shared" si="15"/>
        <v>#NUM!</v>
      </c>
      <c r="E133" s="142" t="e">
        <f t="shared" si="16"/>
        <v>#NUM!</v>
      </c>
      <c r="F133" s="142" t="e">
        <f t="shared" si="11"/>
        <v>#NUM!</v>
      </c>
      <c r="G133" s="184">
        <f>IF('prijem -inna mena'!$I$90=TRUE,IF($C$11&gt;0,0.00025*C132,0),IF('prijem -inna mena'!$I$91=TRUE,IF('prijem -inna mena'!$F$91&gt;0,0.00025*C132,0),0))</f>
        <v>0</v>
      </c>
      <c r="L133" s="89">
        <v>117</v>
      </c>
      <c r="M133" s="237" t="e">
        <f t="shared" si="17"/>
        <v>#DIV/0!</v>
      </c>
      <c r="N133" s="142" t="e">
        <f t="shared" si="12"/>
        <v>#DIV/0!</v>
      </c>
      <c r="O133" s="142" t="e">
        <f t="shared" si="13"/>
        <v>#DIV/0!</v>
      </c>
      <c r="P133" s="142" t="e">
        <f t="shared" si="18"/>
        <v>#DIV/0!</v>
      </c>
      <c r="Q133" s="142" t="e">
        <f t="shared" si="19"/>
        <v>#DIV/0!</v>
      </c>
      <c r="R133" s="184">
        <f>IF('prijem -inna mena'!$I$90=TRUE,IF($C$11&gt;0,0.00025*N132,0),IF('prijem -inna mena'!$I$91=TRUE,IF('prijem -inna mena'!$F$91&gt;0,0.00025*N132*-1,0),0))</f>
        <v>0</v>
      </c>
    </row>
    <row r="134" spans="1:18" x14ac:dyDescent="0.2">
      <c r="A134" s="89">
        <v>118</v>
      </c>
      <c r="B134" s="237" t="e">
        <f t="shared" si="14"/>
        <v>#NUM!</v>
      </c>
      <c r="C134" s="142" t="e">
        <f t="shared" si="10"/>
        <v>#NUM!</v>
      </c>
      <c r="D134" s="142" t="e">
        <f t="shared" si="15"/>
        <v>#NUM!</v>
      </c>
      <c r="E134" s="142" t="e">
        <f t="shared" si="16"/>
        <v>#NUM!</v>
      </c>
      <c r="F134" s="142" t="e">
        <f t="shared" si="11"/>
        <v>#NUM!</v>
      </c>
      <c r="G134" s="184">
        <f>IF('prijem -inna mena'!$I$90=TRUE,IF($C$11&gt;0,0.00025*C133,0),IF('prijem -inna mena'!$I$91=TRUE,IF('prijem -inna mena'!$F$91&gt;0,0.00025*C133,0),0))</f>
        <v>0</v>
      </c>
      <c r="L134" s="89">
        <v>118</v>
      </c>
      <c r="M134" s="237" t="e">
        <f t="shared" si="17"/>
        <v>#DIV/0!</v>
      </c>
      <c r="N134" s="142" t="e">
        <f t="shared" si="12"/>
        <v>#DIV/0!</v>
      </c>
      <c r="O134" s="142" t="e">
        <f t="shared" si="13"/>
        <v>#DIV/0!</v>
      </c>
      <c r="P134" s="142" t="e">
        <f t="shared" si="18"/>
        <v>#DIV/0!</v>
      </c>
      <c r="Q134" s="142" t="e">
        <f t="shared" si="19"/>
        <v>#DIV/0!</v>
      </c>
      <c r="R134" s="184">
        <f>IF('prijem -inna mena'!$I$90=TRUE,IF($C$11&gt;0,0.00025*N133,0),IF('prijem -inna mena'!$I$91=TRUE,IF('prijem -inna mena'!$F$91&gt;0,0.00025*N133*-1,0),0))</f>
        <v>0</v>
      </c>
    </row>
    <row r="135" spans="1:18" x14ac:dyDescent="0.2">
      <c r="A135" s="89">
        <v>119</v>
      </c>
      <c r="B135" s="237" t="e">
        <f t="shared" si="14"/>
        <v>#NUM!</v>
      </c>
      <c r="C135" s="142" t="e">
        <f t="shared" si="10"/>
        <v>#NUM!</v>
      </c>
      <c r="D135" s="142" t="e">
        <f t="shared" si="15"/>
        <v>#NUM!</v>
      </c>
      <c r="E135" s="142" t="e">
        <f t="shared" si="16"/>
        <v>#NUM!</v>
      </c>
      <c r="F135" s="142" t="e">
        <f t="shared" si="11"/>
        <v>#NUM!</v>
      </c>
      <c r="G135" s="184">
        <f>IF('prijem -inna mena'!$I$90=TRUE,IF($C$11&gt;0,0.00025*C134,0),IF('prijem -inna mena'!$I$91=TRUE,IF('prijem -inna mena'!$F$91&gt;0,0.00025*C134,0),0))</f>
        <v>0</v>
      </c>
      <c r="L135" s="89">
        <v>119</v>
      </c>
      <c r="M135" s="237" t="e">
        <f t="shared" si="17"/>
        <v>#DIV/0!</v>
      </c>
      <c r="N135" s="142" t="e">
        <f t="shared" si="12"/>
        <v>#DIV/0!</v>
      </c>
      <c r="O135" s="142" t="e">
        <f t="shared" si="13"/>
        <v>#DIV/0!</v>
      </c>
      <c r="P135" s="142" t="e">
        <f t="shared" si="18"/>
        <v>#DIV/0!</v>
      </c>
      <c r="Q135" s="142" t="e">
        <f t="shared" si="19"/>
        <v>#DIV/0!</v>
      </c>
      <c r="R135" s="184">
        <f>IF('prijem -inna mena'!$I$90=TRUE,IF($C$11&gt;0,0.00025*N134,0),IF('prijem -inna mena'!$I$91=TRUE,IF('prijem -inna mena'!$F$91&gt;0,0.00025*N134*-1,0),0))</f>
        <v>0</v>
      </c>
    </row>
    <row r="136" spans="1:18" x14ac:dyDescent="0.2">
      <c r="A136" s="89">
        <v>120</v>
      </c>
      <c r="B136" s="237" t="e">
        <f t="shared" si="14"/>
        <v>#NUM!</v>
      </c>
      <c r="C136" s="142" t="e">
        <f t="shared" si="10"/>
        <v>#NUM!</v>
      </c>
      <c r="D136" s="142" t="e">
        <f t="shared" si="15"/>
        <v>#NUM!</v>
      </c>
      <c r="E136" s="142" t="e">
        <f t="shared" si="16"/>
        <v>#NUM!</v>
      </c>
      <c r="F136" s="142" t="e">
        <f t="shared" si="11"/>
        <v>#NUM!</v>
      </c>
      <c r="G136" s="184">
        <f>IF('prijem -inna mena'!$I$90=TRUE,IF($C$11&gt;0,0.00025*C135,0),IF('prijem -inna mena'!$I$91=TRUE,IF('prijem -inna mena'!$F$91&gt;0,0.00025*C135,0),0))</f>
        <v>0</v>
      </c>
      <c r="L136" s="89">
        <v>120</v>
      </c>
      <c r="M136" s="237" t="e">
        <f t="shared" si="17"/>
        <v>#DIV/0!</v>
      </c>
      <c r="N136" s="142" t="e">
        <f t="shared" si="12"/>
        <v>#DIV/0!</v>
      </c>
      <c r="O136" s="142" t="e">
        <f t="shared" si="13"/>
        <v>#DIV/0!</v>
      </c>
      <c r="P136" s="142" t="e">
        <f t="shared" si="18"/>
        <v>#DIV/0!</v>
      </c>
      <c r="Q136" s="142" t="e">
        <f t="shared" si="19"/>
        <v>#DIV/0!</v>
      </c>
      <c r="R136" s="184">
        <f>IF('prijem -inna mena'!$I$90=TRUE,IF($C$11&gt;0,0.00025*N135,0),IF('prijem -inna mena'!$I$91=TRUE,IF('prijem -inna mena'!$F$91&gt;0,0.00025*N135*-1,0),0))</f>
        <v>0</v>
      </c>
    </row>
    <row r="137" spans="1:18" x14ac:dyDescent="0.2">
      <c r="A137" s="89">
        <v>121</v>
      </c>
      <c r="B137" s="237" t="e">
        <f t="shared" si="14"/>
        <v>#NUM!</v>
      </c>
      <c r="C137" s="142" t="e">
        <f t="shared" si="10"/>
        <v>#NUM!</v>
      </c>
      <c r="D137" s="142" t="e">
        <f t="shared" si="15"/>
        <v>#NUM!</v>
      </c>
      <c r="E137" s="142" t="e">
        <f t="shared" si="16"/>
        <v>#NUM!</v>
      </c>
      <c r="F137" s="142" t="e">
        <f t="shared" si="11"/>
        <v>#NUM!</v>
      </c>
      <c r="G137" s="184">
        <f>IF('prijem -inna mena'!$I$90=TRUE,IF($C$11&gt;0,0.00025*C136,0),IF('prijem -inna mena'!$I$91=TRUE,IF('prijem -inna mena'!$F$91&gt;0,0.00025*C136,0),0))</f>
        <v>0</v>
      </c>
      <c r="L137" s="89">
        <v>121</v>
      </c>
      <c r="M137" s="237" t="e">
        <f t="shared" si="17"/>
        <v>#DIV/0!</v>
      </c>
      <c r="N137" s="142" t="e">
        <f t="shared" si="12"/>
        <v>#DIV/0!</v>
      </c>
      <c r="O137" s="142" t="e">
        <f t="shared" si="13"/>
        <v>#DIV/0!</v>
      </c>
      <c r="P137" s="142" t="e">
        <f t="shared" si="18"/>
        <v>#DIV/0!</v>
      </c>
      <c r="Q137" s="142" t="e">
        <f t="shared" si="19"/>
        <v>#DIV/0!</v>
      </c>
      <c r="R137" s="184">
        <f>IF('prijem -inna mena'!$I$90=TRUE,IF($C$11&gt;0,0.00025*N136,0),IF('prijem -inna mena'!$I$91=TRUE,IF('prijem -inna mena'!$F$91&gt;0,0.00025*N136*-1,0),0))</f>
        <v>0</v>
      </c>
    </row>
    <row r="138" spans="1:18" x14ac:dyDescent="0.2">
      <c r="A138" s="89">
        <v>122</v>
      </c>
      <c r="B138" s="237" t="e">
        <f t="shared" si="14"/>
        <v>#NUM!</v>
      </c>
      <c r="C138" s="142" t="e">
        <f t="shared" si="10"/>
        <v>#NUM!</v>
      </c>
      <c r="D138" s="142" t="e">
        <f t="shared" si="15"/>
        <v>#NUM!</v>
      </c>
      <c r="E138" s="142" t="e">
        <f t="shared" si="16"/>
        <v>#NUM!</v>
      </c>
      <c r="F138" s="142" t="e">
        <f t="shared" si="11"/>
        <v>#NUM!</v>
      </c>
      <c r="G138" s="184">
        <f>IF('prijem -inna mena'!$I$90=TRUE,IF($C$11&gt;0,0.00025*C137,0),IF('prijem -inna mena'!$I$91=TRUE,IF('prijem -inna mena'!$F$91&gt;0,0.00025*C137,0),0))</f>
        <v>0</v>
      </c>
      <c r="L138" s="89">
        <v>122</v>
      </c>
      <c r="M138" s="237" t="e">
        <f t="shared" si="17"/>
        <v>#DIV/0!</v>
      </c>
      <c r="N138" s="142" t="e">
        <f t="shared" si="12"/>
        <v>#DIV/0!</v>
      </c>
      <c r="O138" s="142" t="e">
        <f t="shared" si="13"/>
        <v>#DIV/0!</v>
      </c>
      <c r="P138" s="142" t="e">
        <f t="shared" si="18"/>
        <v>#DIV/0!</v>
      </c>
      <c r="Q138" s="142" t="e">
        <f t="shared" si="19"/>
        <v>#DIV/0!</v>
      </c>
      <c r="R138" s="184">
        <f>IF('prijem -inna mena'!$I$90=TRUE,IF($C$11&gt;0,0.00025*N137,0),IF('prijem -inna mena'!$I$91=TRUE,IF('prijem -inna mena'!$F$91&gt;0,0.00025*N137*-1,0),0))</f>
        <v>0</v>
      </c>
    </row>
    <row r="139" spans="1:18" x14ac:dyDescent="0.2">
      <c r="A139" s="89">
        <v>123</v>
      </c>
      <c r="B139" s="237" t="e">
        <f t="shared" si="14"/>
        <v>#NUM!</v>
      </c>
      <c r="C139" s="142" t="e">
        <f t="shared" si="10"/>
        <v>#NUM!</v>
      </c>
      <c r="D139" s="142" t="e">
        <f t="shared" si="15"/>
        <v>#NUM!</v>
      </c>
      <c r="E139" s="142" t="e">
        <f t="shared" si="16"/>
        <v>#NUM!</v>
      </c>
      <c r="F139" s="142" t="e">
        <f t="shared" si="11"/>
        <v>#NUM!</v>
      </c>
      <c r="G139" s="184">
        <f>IF('prijem -inna mena'!$I$90=TRUE,IF($C$11&gt;0,0.00025*C138,0),IF('prijem -inna mena'!$I$91=TRUE,IF('prijem -inna mena'!$F$91&gt;0,0.00025*C138,0),0))</f>
        <v>0</v>
      </c>
      <c r="L139" s="89">
        <v>123</v>
      </c>
      <c r="M139" s="237" t="e">
        <f t="shared" si="17"/>
        <v>#DIV/0!</v>
      </c>
      <c r="N139" s="142" t="e">
        <f t="shared" si="12"/>
        <v>#DIV/0!</v>
      </c>
      <c r="O139" s="142" t="e">
        <f t="shared" si="13"/>
        <v>#DIV/0!</v>
      </c>
      <c r="P139" s="142" t="e">
        <f t="shared" si="18"/>
        <v>#DIV/0!</v>
      </c>
      <c r="Q139" s="142" t="e">
        <f t="shared" si="19"/>
        <v>#DIV/0!</v>
      </c>
      <c r="R139" s="184">
        <f>IF('prijem -inna mena'!$I$90=TRUE,IF($C$11&gt;0,0.00025*N138,0),IF('prijem -inna mena'!$I$91=TRUE,IF('prijem -inna mena'!$F$91&gt;0,0.00025*N138*-1,0),0))</f>
        <v>0</v>
      </c>
    </row>
    <row r="140" spans="1:18" x14ac:dyDescent="0.2">
      <c r="A140" s="89">
        <v>124</v>
      </c>
      <c r="B140" s="237" t="e">
        <f t="shared" si="14"/>
        <v>#NUM!</v>
      </c>
      <c r="C140" s="142" t="e">
        <f t="shared" si="10"/>
        <v>#NUM!</v>
      </c>
      <c r="D140" s="142" t="e">
        <f t="shared" si="15"/>
        <v>#NUM!</v>
      </c>
      <c r="E140" s="142" t="e">
        <f t="shared" si="16"/>
        <v>#NUM!</v>
      </c>
      <c r="F140" s="142" t="e">
        <f t="shared" si="11"/>
        <v>#NUM!</v>
      </c>
      <c r="G140" s="184">
        <f>IF('prijem -inna mena'!$I$90=TRUE,IF($C$11&gt;0,0.00025*C139,0),IF('prijem -inna mena'!$I$91=TRUE,IF('prijem -inna mena'!$F$91&gt;0,0.00025*C139,0),0))</f>
        <v>0</v>
      </c>
      <c r="L140" s="89">
        <v>124</v>
      </c>
      <c r="M140" s="237" t="e">
        <f t="shared" si="17"/>
        <v>#DIV/0!</v>
      </c>
      <c r="N140" s="142" t="e">
        <f t="shared" si="12"/>
        <v>#DIV/0!</v>
      </c>
      <c r="O140" s="142" t="e">
        <f t="shared" si="13"/>
        <v>#DIV/0!</v>
      </c>
      <c r="P140" s="142" t="e">
        <f t="shared" si="18"/>
        <v>#DIV/0!</v>
      </c>
      <c r="Q140" s="142" t="e">
        <f t="shared" si="19"/>
        <v>#DIV/0!</v>
      </c>
      <c r="R140" s="184">
        <f>IF('prijem -inna mena'!$I$90=TRUE,IF($C$11&gt;0,0.00025*N139,0),IF('prijem -inna mena'!$I$91=TRUE,IF('prijem -inna mena'!$F$91&gt;0,0.00025*N139*-1,0),0))</f>
        <v>0</v>
      </c>
    </row>
    <row r="141" spans="1:18" x14ac:dyDescent="0.2">
      <c r="A141" s="89">
        <v>125</v>
      </c>
      <c r="B141" s="237" t="e">
        <f t="shared" si="14"/>
        <v>#NUM!</v>
      </c>
      <c r="C141" s="142" t="e">
        <f t="shared" si="10"/>
        <v>#NUM!</v>
      </c>
      <c r="D141" s="142" t="e">
        <f t="shared" si="15"/>
        <v>#NUM!</v>
      </c>
      <c r="E141" s="142" t="e">
        <f t="shared" si="16"/>
        <v>#NUM!</v>
      </c>
      <c r="F141" s="142" t="e">
        <f t="shared" si="11"/>
        <v>#NUM!</v>
      </c>
      <c r="G141" s="184">
        <f>IF('prijem -inna mena'!$I$90=TRUE,IF($C$11&gt;0,0.00025*C140,0),IF('prijem -inna mena'!$I$91=TRUE,IF('prijem -inna mena'!$F$91&gt;0,0.00025*C140,0),0))</f>
        <v>0</v>
      </c>
      <c r="L141" s="89">
        <v>125</v>
      </c>
      <c r="M141" s="237" t="e">
        <f t="shared" si="17"/>
        <v>#DIV/0!</v>
      </c>
      <c r="N141" s="142" t="e">
        <f t="shared" si="12"/>
        <v>#DIV/0!</v>
      </c>
      <c r="O141" s="142" t="e">
        <f t="shared" si="13"/>
        <v>#DIV/0!</v>
      </c>
      <c r="P141" s="142" t="e">
        <f t="shared" si="18"/>
        <v>#DIV/0!</v>
      </c>
      <c r="Q141" s="142" t="e">
        <f t="shared" si="19"/>
        <v>#DIV/0!</v>
      </c>
      <c r="R141" s="184">
        <f>IF('prijem -inna mena'!$I$90=TRUE,IF($C$11&gt;0,0.00025*N140,0),IF('prijem -inna mena'!$I$91=TRUE,IF('prijem -inna mena'!$F$91&gt;0,0.00025*N140*-1,0),0))</f>
        <v>0</v>
      </c>
    </row>
    <row r="142" spans="1:18" x14ac:dyDescent="0.2">
      <c r="A142" s="89">
        <v>126</v>
      </c>
      <c r="B142" s="237" t="e">
        <f t="shared" si="14"/>
        <v>#NUM!</v>
      </c>
      <c r="C142" s="142" t="e">
        <f t="shared" si="10"/>
        <v>#NUM!</v>
      </c>
      <c r="D142" s="142" t="e">
        <f t="shared" si="15"/>
        <v>#NUM!</v>
      </c>
      <c r="E142" s="142" t="e">
        <f t="shared" si="16"/>
        <v>#NUM!</v>
      </c>
      <c r="F142" s="142" t="e">
        <f t="shared" si="11"/>
        <v>#NUM!</v>
      </c>
      <c r="G142" s="184">
        <f>IF('prijem -inna mena'!$I$90=TRUE,IF($C$11&gt;0,0.00025*C141,0),IF('prijem -inna mena'!$I$91=TRUE,IF('prijem -inna mena'!$F$91&gt;0,0.00025*C141,0),0))</f>
        <v>0</v>
      </c>
      <c r="L142" s="89">
        <v>126</v>
      </c>
      <c r="M142" s="237" t="e">
        <f t="shared" si="17"/>
        <v>#DIV/0!</v>
      </c>
      <c r="N142" s="142" t="e">
        <f t="shared" si="12"/>
        <v>#DIV/0!</v>
      </c>
      <c r="O142" s="142" t="e">
        <f t="shared" si="13"/>
        <v>#DIV/0!</v>
      </c>
      <c r="P142" s="142" t="e">
        <f t="shared" si="18"/>
        <v>#DIV/0!</v>
      </c>
      <c r="Q142" s="142" t="e">
        <f t="shared" si="19"/>
        <v>#DIV/0!</v>
      </c>
      <c r="R142" s="184">
        <f>IF('prijem -inna mena'!$I$90=TRUE,IF($C$11&gt;0,0.00025*N141,0),IF('prijem -inna mena'!$I$91=TRUE,IF('prijem -inna mena'!$F$91&gt;0,0.00025*N141*-1,0),0))</f>
        <v>0</v>
      </c>
    </row>
    <row r="143" spans="1:18" x14ac:dyDescent="0.2">
      <c r="A143" s="89">
        <v>127</v>
      </c>
      <c r="B143" s="237" t="e">
        <f t="shared" si="14"/>
        <v>#NUM!</v>
      </c>
      <c r="C143" s="142" t="e">
        <f t="shared" si="10"/>
        <v>#NUM!</v>
      </c>
      <c r="D143" s="142" t="e">
        <f t="shared" si="15"/>
        <v>#NUM!</v>
      </c>
      <c r="E143" s="142" t="e">
        <f t="shared" si="16"/>
        <v>#NUM!</v>
      </c>
      <c r="F143" s="142" t="e">
        <f t="shared" si="11"/>
        <v>#NUM!</v>
      </c>
      <c r="G143" s="184">
        <f>IF('prijem -inna mena'!$I$90=TRUE,IF($C$11&gt;0,0.00025*C142,0),IF('prijem -inna mena'!$I$91=TRUE,IF('prijem -inna mena'!$F$91&gt;0,0.00025*C142,0),0))</f>
        <v>0</v>
      </c>
      <c r="L143" s="89">
        <v>127</v>
      </c>
      <c r="M143" s="237" t="e">
        <f t="shared" si="17"/>
        <v>#DIV/0!</v>
      </c>
      <c r="N143" s="142" t="e">
        <f t="shared" si="12"/>
        <v>#DIV/0!</v>
      </c>
      <c r="O143" s="142" t="e">
        <f t="shared" si="13"/>
        <v>#DIV/0!</v>
      </c>
      <c r="P143" s="142" t="e">
        <f t="shared" si="18"/>
        <v>#DIV/0!</v>
      </c>
      <c r="Q143" s="142" t="e">
        <f t="shared" si="19"/>
        <v>#DIV/0!</v>
      </c>
      <c r="R143" s="184">
        <f>IF('prijem -inna mena'!$I$90=TRUE,IF($C$11&gt;0,0.00025*N142,0),IF('prijem -inna mena'!$I$91=TRUE,IF('prijem -inna mena'!$F$91&gt;0,0.00025*N142*-1,0),0))</f>
        <v>0</v>
      </c>
    </row>
    <row r="144" spans="1:18" x14ac:dyDescent="0.2">
      <c r="A144" s="89">
        <v>128</v>
      </c>
      <c r="B144" s="237" t="e">
        <f t="shared" si="14"/>
        <v>#NUM!</v>
      </c>
      <c r="C144" s="142" t="e">
        <f t="shared" si="10"/>
        <v>#NUM!</v>
      </c>
      <c r="D144" s="142" t="e">
        <f t="shared" si="15"/>
        <v>#NUM!</v>
      </c>
      <c r="E144" s="142" t="e">
        <f t="shared" si="16"/>
        <v>#NUM!</v>
      </c>
      <c r="F144" s="142" t="e">
        <f t="shared" si="11"/>
        <v>#NUM!</v>
      </c>
      <c r="G144" s="184">
        <f>IF('prijem -inna mena'!$I$90=TRUE,IF($C$11&gt;0,0.00025*C143,0),IF('prijem -inna mena'!$I$91=TRUE,IF('prijem -inna mena'!$F$91&gt;0,0.00025*C143,0),0))</f>
        <v>0</v>
      </c>
      <c r="L144" s="89">
        <v>128</v>
      </c>
      <c r="M144" s="237" t="e">
        <f t="shared" si="17"/>
        <v>#DIV/0!</v>
      </c>
      <c r="N144" s="142" t="e">
        <f t="shared" si="12"/>
        <v>#DIV/0!</v>
      </c>
      <c r="O144" s="142" t="e">
        <f t="shared" si="13"/>
        <v>#DIV/0!</v>
      </c>
      <c r="P144" s="142" t="e">
        <f t="shared" si="18"/>
        <v>#DIV/0!</v>
      </c>
      <c r="Q144" s="142" t="e">
        <f t="shared" si="19"/>
        <v>#DIV/0!</v>
      </c>
      <c r="R144" s="184">
        <f>IF('prijem -inna mena'!$I$90=TRUE,IF($C$11&gt;0,0.00025*N143,0),IF('prijem -inna mena'!$I$91=TRUE,IF('prijem -inna mena'!$F$91&gt;0,0.00025*N143*-1,0),0))</f>
        <v>0</v>
      </c>
    </row>
    <row r="145" spans="1:18" x14ac:dyDescent="0.2">
      <c r="A145" s="89">
        <v>129</v>
      </c>
      <c r="B145" s="237" t="e">
        <f t="shared" si="14"/>
        <v>#NUM!</v>
      </c>
      <c r="C145" s="142" t="e">
        <f t="shared" ref="C145:C208" si="20">MAX(C144-D145,0)</f>
        <v>#NUM!</v>
      </c>
      <c r="D145" s="142" t="e">
        <f t="shared" si="15"/>
        <v>#NUM!</v>
      </c>
      <c r="E145" s="142" t="e">
        <f t="shared" si="16"/>
        <v>#NUM!</v>
      </c>
      <c r="F145" s="142" t="e">
        <f t="shared" ref="F145:F208" si="21">PMT($C$4/12,$C$5,$C$3)</f>
        <v>#NUM!</v>
      </c>
      <c r="G145" s="184">
        <f>IF('prijem -inna mena'!$I$90=TRUE,IF($C$11&gt;0,0.00025*C144,0),IF('prijem -inna mena'!$I$91=TRUE,IF('prijem -inna mena'!$F$91&gt;0,0.00025*C144,0),0))</f>
        <v>0</v>
      </c>
      <c r="L145" s="89">
        <v>129</v>
      </c>
      <c r="M145" s="237" t="e">
        <f t="shared" si="17"/>
        <v>#DIV/0!</v>
      </c>
      <c r="N145" s="142" t="e">
        <f t="shared" ref="N145:N208" si="22">MAX(N144-O145,0)</f>
        <v>#DIV/0!</v>
      </c>
      <c r="O145" s="142" t="e">
        <f t="shared" ref="O145:O208" si="23">$N$16/$N$5</f>
        <v>#DIV/0!</v>
      </c>
      <c r="P145" s="142" t="e">
        <f t="shared" si="18"/>
        <v>#DIV/0!</v>
      </c>
      <c r="Q145" s="142" t="e">
        <f t="shared" si="19"/>
        <v>#DIV/0!</v>
      </c>
      <c r="R145" s="184">
        <f>IF('prijem -inna mena'!$I$90=TRUE,IF($C$11&gt;0,0.00025*N144,0),IF('prijem -inna mena'!$I$91=TRUE,IF('prijem -inna mena'!$F$91&gt;0,0.00025*N144*-1,0),0))</f>
        <v>0</v>
      </c>
    </row>
    <row r="146" spans="1:18" x14ac:dyDescent="0.2">
      <c r="A146" s="89">
        <v>130</v>
      </c>
      <c r="B146" s="237" t="e">
        <f t="shared" ref="B146:B209" si="24">IF(C145&gt;0.00001,F146-G146,0)</f>
        <v>#NUM!</v>
      </c>
      <c r="C146" s="142" t="e">
        <f t="shared" si="20"/>
        <v>#NUM!</v>
      </c>
      <c r="D146" s="142" t="e">
        <f t="shared" ref="D146:D209" si="25">(F146-E146)*-1</f>
        <v>#NUM!</v>
      </c>
      <c r="E146" s="142" t="e">
        <f t="shared" ref="E146:E209" si="26">IPMT($C$4/12,1,$C$5,C145)</f>
        <v>#NUM!</v>
      </c>
      <c r="F146" s="142" t="e">
        <f t="shared" si="21"/>
        <v>#NUM!</v>
      </c>
      <c r="G146" s="184">
        <f>IF('prijem -inna mena'!$I$90=TRUE,IF($C$11&gt;0,0.00025*C145,0),IF('prijem -inna mena'!$I$91=TRUE,IF('prijem -inna mena'!$F$91&gt;0,0.00025*C145,0),0))</f>
        <v>0</v>
      </c>
      <c r="L146" s="89">
        <v>130</v>
      </c>
      <c r="M146" s="237" t="e">
        <f t="shared" ref="M146:M209" si="27">IF(N145&gt;0.00001,Q146-R146,0)*-1</f>
        <v>#DIV/0!</v>
      </c>
      <c r="N146" s="142" t="e">
        <f t="shared" si="22"/>
        <v>#DIV/0!</v>
      </c>
      <c r="O146" s="142" t="e">
        <f t="shared" si="23"/>
        <v>#DIV/0!</v>
      </c>
      <c r="P146" s="142" t="e">
        <f t="shared" ref="P146:P209" si="28">N145*$N$4/12</f>
        <v>#DIV/0!</v>
      </c>
      <c r="Q146" s="142" t="e">
        <f t="shared" ref="Q146:Q209" si="29">P146+O146</f>
        <v>#DIV/0!</v>
      </c>
      <c r="R146" s="184">
        <f>IF('prijem -inna mena'!$I$90=TRUE,IF($C$11&gt;0,0.00025*N145,0),IF('prijem -inna mena'!$I$91=TRUE,IF('prijem -inna mena'!$F$91&gt;0,0.00025*N145*-1,0),0))</f>
        <v>0</v>
      </c>
    </row>
    <row r="147" spans="1:18" x14ac:dyDescent="0.2">
      <c r="A147" s="89">
        <v>131</v>
      </c>
      <c r="B147" s="237" t="e">
        <f t="shared" si="24"/>
        <v>#NUM!</v>
      </c>
      <c r="C147" s="142" t="e">
        <f t="shared" si="20"/>
        <v>#NUM!</v>
      </c>
      <c r="D147" s="142" t="e">
        <f t="shared" si="25"/>
        <v>#NUM!</v>
      </c>
      <c r="E147" s="142" t="e">
        <f t="shared" si="26"/>
        <v>#NUM!</v>
      </c>
      <c r="F147" s="142" t="e">
        <f t="shared" si="21"/>
        <v>#NUM!</v>
      </c>
      <c r="G147" s="184">
        <f>IF('prijem -inna mena'!$I$90=TRUE,IF($C$11&gt;0,0.00025*C146,0),IF('prijem -inna mena'!$I$91=TRUE,IF('prijem -inna mena'!$F$91&gt;0,0.00025*C146,0),0))</f>
        <v>0</v>
      </c>
      <c r="L147" s="89">
        <v>131</v>
      </c>
      <c r="M147" s="237" t="e">
        <f t="shared" si="27"/>
        <v>#DIV/0!</v>
      </c>
      <c r="N147" s="142" t="e">
        <f t="shared" si="22"/>
        <v>#DIV/0!</v>
      </c>
      <c r="O147" s="142" t="e">
        <f t="shared" si="23"/>
        <v>#DIV/0!</v>
      </c>
      <c r="P147" s="142" t="e">
        <f t="shared" si="28"/>
        <v>#DIV/0!</v>
      </c>
      <c r="Q147" s="142" t="e">
        <f t="shared" si="29"/>
        <v>#DIV/0!</v>
      </c>
      <c r="R147" s="184">
        <f>IF('prijem -inna mena'!$I$90=TRUE,IF($C$11&gt;0,0.00025*N146,0),IF('prijem -inna mena'!$I$91=TRUE,IF('prijem -inna mena'!$F$91&gt;0,0.00025*N146*-1,0),0))</f>
        <v>0</v>
      </c>
    </row>
    <row r="148" spans="1:18" x14ac:dyDescent="0.2">
      <c r="A148" s="89">
        <v>132</v>
      </c>
      <c r="B148" s="237" t="e">
        <f t="shared" si="24"/>
        <v>#NUM!</v>
      </c>
      <c r="C148" s="142" t="e">
        <f t="shared" si="20"/>
        <v>#NUM!</v>
      </c>
      <c r="D148" s="142" t="e">
        <f t="shared" si="25"/>
        <v>#NUM!</v>
      </c>
      <c r="E148" s="142" t="e">
        <f t="shared" si="26"/>
        <v>#NUM!</v>
      </c>
      <c r="F148" s="142" t="e">
        <f t="shared" si="21"/>
        <v>#NUM!</v>
      </c>
      <c r="G148" s="184">
        <f>IF('prijem -inna mena'!$I$90=TRUE,IF($C$11&gt;0,0.00025*C147,0),IF('prijem -inna mena'!$I$91=TRUE,IF('prijem -inna mena'!$F$91&gt;0,0.00025*C147,0),0))</f>
        <v>0</v>
      </c>
      <c r="L148" s="89">
        <v>132</v>
      </c>
      <c r="M148" s="237" t="e">
        <f t="shared" si="27"/>
        <v>#DIV/0!</v>
      </c>
      <c r="N148" s="142" t="e">
        <f t="shared" si="22"/>
        <v>#DIV/0!</v>
      </c>
      <c r="O148" s="142" t="e">
        <f t="shared" si="23"/>
        <v>#DIV/0!</v>
      </c>
      <c r="P148" s="142" t="e">
        <f t="shared" si="28"/>
        <v>#DIV/0!</v>
      </c>
      <c r="Q148" s="142" t="e">
        <f t="shared" si="29"/>
        <v>#DIV/0!</v>
      </c>
      <c r="R148" s="184">
        <f>IF('prijem -inna mena'!$I$90=TRUE,IF($C$11&gt;0,0.00025*N147,0),IF('prijem -inna mena'!$I$91=TRUE,IF('prijem -inna mena'!$F$91&gt;0,0.00025*N147*-1,0),0))</f>
        <v>0</v>
      </c>
    </row>
    <row r="149" spans="1:18" x14ac:dyDescent="0.2">
      <c r="A149" s="89">
        <v>133</v>
      </c>
      <c r="B149" s="237" t="e">
        <f t="shared" si="24"/>
        <v>#NUM!</v>
      </c>
      <c r="C149" s="142" t="e">
        <f t="shared" si="20"/>
        <v>#NUM!</v>
      </c>
      <c r="D149" s="142" t="e">
        <f t="shared" si="25"/>
        <v>#NUM!</v>
      </c>
      <c r="E149" s="142" t="e">
        <f t="shared" si="26"/>
        <v>#NUM!</v>
      </c>
      <c r="F149" s="142" t="e">
        <f t="shared" si="21"/>
        <v>#NUM!</v>
      </c>
      <c r="G149" s="184">
        <f>IF('prijem -inna mena'!$I$90=TRUE,IF($C$11&gt;0,0.00025*C148,0),IF('prijem -inna mena'!$I$91=TRUE,IF('prijem -inna mena'!$F$91&gt;0,0.00025*C148,0),0))</f>
        <v>0</v>
      </c>
      <c r="L149" s="89">
        <v>133</v>
      </c>
      <c r="M149" s="237" t="e">
        <f t="shared" si="27"/>
        <v>#DIV/0!</v>
      </c>
      <c r="N149" s="142" t="e">
        <f t="shared" si="22"/>
        <v>#DIV/0!</v>
      </c>
      <c r="O149" s="142" t="e">
        <f t="shared" si="23"/>
        <v>#DIV/0!</v>
      </c>
      <c r="P149" s="142" t="e">
        <f t="shared" si="28"/>
        <v>#DIV/0!</v>
      </c>
      <c r="Q149" s="142" t="e">
        <f t="shared" si="29"/>
        <v>#DIV/0!</v>
      </c>
      <c r="R149" s="184">
        <f>IF('prijem -inna mena'!$I$90=TRUE,IF($C$11&gt;0,0.00025*N148,0),IF('prijem -inna mena'!$I$91=TRUE,IF('prijem -inna mena'!$F$91&gt;0,0.00025*N148*-1,0),0))</f>
        <v>0</v>
      </c>
    </row>
    <row r="150" spans="1:18" x14ac:dyDescent="0.2">
      <c r="A150" s="89">
        <v>134</v>
      </c>
      <c r="B150" s="237" t="e">
        <f t="shared" si="24"/>
        <v>#NUM!</v>
      </c>
      <c r="C150" s="142" t="e">
        <f t="shared" si="20"/>
        <v>#NUM!</v>
      </c>
      <c r="D150" s="142" t="e">
        <f t="shared" si="25"/>
        <v>#NUM!</v>
      </c>
      <c r="E150" s="142" t="e">
        <f t="shared" si="26"/>
        <v>#NUM!</v>
      </c>
      <c r="F150" s="142" t="e">
        <f t="shared" si="21"/>
        <v>#NUM!</v>
      </c>
      <c r="G150" s="184">
        <f>IF('prijem -inna mena'!$I$90=TRUE,IF($C$11&gt;0,0.00025*C149,0),IF('prijem -inna mena'!$I$91=TRUE,IF('prijem -inna mena'!$F$91&gt;0,0.00025*C149,0),0))</f>
        <v>0</v>
      </c>
      <c r="L150" s="89">
        <v>134</v>
      </c>
      <c r="M150" s="237" t="e">
        <f t="shared" si="27"/>
        <v>#DIV/0!</v>
      </c>
      <c r="N150" s="142" t="e">
        <f t="shared" si="22"/>
        <v>#DIV/0!</v>
      </c>
      <c r="O150" s="142" t="e">
        <f t="shared" si="23"/>
        <v>#DIV/0!</v>
      </c>
      <c r="P150" s="142" t="e">
        <f t="shared" si="28"/>
        <v>#DIV/0!</v>
      </c>
      <c r="Q150" s="142" t="e">
        <f t="shared" si="29"/>
        <v>#DIV/0!</v>
      </c>
      <c r="R150" s="184">
        <f>IF('prijem -inna mena'!$I$90=TRUE,IF($C$11&gt;0,0.00025*N149,0),IF('prijem -inna mena'!$I$91=TRUE,IF('prijem -inna mena'!$F$91&gt;0,0.00025*N149*-1,0),0))</f>
        <v>0</v>
      </c>
    </row>
    <row r="151" spans="1:18" x14ac:dyDescent="0.2">
      <c r="A151" s="89">
        <v>135</v>
      </c>
      <c r="B151" s="237" t="e">
        <f t="shared" si="24"/>
        <v>#NUM!</v>
      </c>
      <c r="C151" s="142" t="e">
        <f t="shared" si="20"/>
        <v>#NUM!</v>
      </c>
      <c r="D151" s="142" t="e">
        <f t="shared" si="25"/>
        <v>#NUM!</v>
      </c>
      <c r="E151" s="142" t="e">
        <f t="shared" si="26"/>
        <v>#NUM!</v>
      </c>
      <c r="F151" s="142" t="e">
        <f t="shared" si="21"/>
        <v>#NUM!</v>
      </c>
      <c r="G151" s="184">
        <f>IF('prijem -inna mena'!$I$90=TRUE,IF($C$11&gt;0,0.00025*C150,0),IF('prijem -inna mena'!$I$91=TRUE,IF('prijem -inna mena'!$F$91&gt;0,0.00025*C150,0),0))</f>
        <v>0</v>
      </c>
      <c r="L151" s="89">
        <v>135</v>
      </c>
      <c r="M151" s="237" t="e">
        <f t="shared" si="27"/>
        <v>#DIV/0!</v>
      </c>
      <c r="N151" s="142" t="e">
        <f t="shared" si="22"/>
        <v>#DIV/0!</v>
      </c>
      <c r="O151" s="142" t="e">
        <f t="shared" si="23"/>
        <v>#DIV/0!</v>
      </c>
      <c r="P151" s="142" t="e">
        <f t="shared" si="28"/>
        <v>#DIV/0!</v>
      </c>
      <c r="Q151" s="142" t="e">
        <f t="shared" si="29"/>
        <v>#DIV/0!</v>
      </c>
      <c r="R151" s="184">
        <f>IF('prijem -inna mena'!$I$90=TRUE,IF($C$11&gt;0,0.00025*N150,0),IF('prijem -inna mena'!$I$91=TRUE,IF('prijem -inna mena'!$F$91&gt;0,0.00025*N150*-1,0),0))</f>
        <v>0</v>
      </c>
    </row>
    <row r="152" spans="1:18" x14ac:dyDescent="0.2">
      <c r="A152" s="89">
        <v>136</v>
      </c>
      <c r="B152" s="237" t="e">
        <f t="shared" si="24"/>
        <v>#NUM!</v>
      </c>
      <c r="C152" s="142" t="e">
        <f t="shared" si="20"/>
        <v>#NUM!</v>
      </c>
      <c r="D152" s="142" t="e">
        <f t="shared" si="25"/>
        <v>#NUM!</v>
      </c>
      <c r="E152" s="142" t="e">
        <f t="shared" si="26"/>
        <v>#NUM!</v>
      </c>
      <c r="F152" s="142" t="e">
        <f t="shared" si="21"/>
        <v>#NUM!</v>
      </c>
      <c r="G152" s="184">
        <f>IF('prijem -inna mena'!$I$90=TRUE,IF($C$11&gt;0,0.00025*C151,0),IF('prijem -inna mena'!$I$91=TRUE,IF('prijem -inna mena'!$F$91&gt;0,0.00025*C151,0),0))</f>
        <v>0</v>
      </c>
      <c r="L152" s="89">
        <v>136</v>
      </c>
      <c r="M152" s="237" t="e">
        <f t="shared" si="27"/>
        <v>#DIV/0!</v>
      </c>
      <c r="N152" s="142" t="e">
        <f t="shared" si="22"/>
        <v>#DIV/0!</v>
      </c>
      <c r="O152" s="142" t="e">
        <f t="shared" si="23"/>
        <v>#DIV/0!</v>
      </c>
      <c r="P152" s="142" t="e">
        <f t="shared" si="28"/>
        <v>#DIV/0!</v>
      </c>
      <c r="Q152" s="142" t="e">
        <f t="shared" si="29"/>
        <v>#DIV/0!</v>
      </c>
      <c r="R152" s="184">
        <f>IF('prijem -inna mena'!$I$90=TRUE,IF($C$11&gt;0,0.00025*N151,0),IF('prijem -inna mena'!$I$91=TRUE,IF('prijem -inna mena'!$F$91&gt;0,0.00025*N151*-1,0),0))</f>
        <v>0</v>
      </c>
    </row>
    <row r="153" spans="1:18" x14ac:dyDescent="0.2">
      <c r="A153" s="89">
        <v>137</v>
      </c>
      <c r="B153" s="237" t="e">
        <f t="shared" si="24"/>
        <v>#NUM!</v>
      </c>
      <c r="C153" s="142" t="e">
        <f t="shared" si="20"/>
        <v>#NUM!</v>
      </c>
      <c r="D153" s="142" t="e">
        <f t="shared" si="25"/>
        <v>#NUM!</v>
      </c>
      <c r="E153" s="142" t="e">
        <f t="shared" si="26"/>
        <v>#NUM!</v>
      </c>
      <c r="F153" s="142" t="e">
        <f t="shared" si="21"/>
        <v>#NUM!</v>
      </c>
      <c r="G153" s="184">
        <f>IF('prijem -inna mena'!$I$90=TRUE,IF($C$11&gt;0,0.00025*C152,0),IF('prijem -inna mena'!$I$91=TRUE,IF('prijem -inna mena'!$F$91&gt;0,0.00025*C152,0),0))</f>
        <v>0</v>
      </c>
      <c r="L153" s="89">
        <v>137</v>
      </c>
      <c r="M153" s="237" t="e">
        <f t="shared" si="27"/>
        <v>#DIV/0!</v>
      </c>
      <c r="N153" s="142" t="e">
        <f t="shared" si="22"/>
        <v>#DIV/0!</v>
      </c>
      <c r="O153" s="142" t="e">
        <f t="shared" si="23"/>
        <v>#DIV/0!</v>
      </c>
      <c r="P153" s="142" t="e">
        <f t="shared" si="28"/>
        <v>#DIV/0!</v>
      </c>
      <c r="Q153" s="142" t="e">
        <f t="shared" si="29"/>
        <v>#DIV/0!</v>
      </c>
      <c r="R153" s="184">
        <f>IF('prijem -inna mena'!$I$90=TRUE,IF($C$11&gt;0,0.00025*N152,0),IF('prijem -inna mena'!$I$91=TRUE,IF('prijem -inna mena'!$F$91&gt;0,0.00025*N152*-1,0),0))</f>
        <v>0</v>
      </c>
    </row>
    <row r="154" spans="1:18" x14ac:dyDescent="0.2">
      <c r="A154" s="89">
        <v>138</v>
      </c>
      <c r="B154" s="237" t="e">
        <f t="shared" si="24"/>
        <v>#NUM!</v>
      </c>
      <c r="C154" s="142" t="e">
        <f t="shared" si="20"/>
        <v>#NUM!</v>
      </c>
      <c r="D154" s="142" t="e">
        <f t="shared" si="25"/>
        <v>#NUM!</v>
      </c>
      <c r="E154" s="142" t="e">
        <f t="shared" si="26"/>
        <v>#NUM!</v>
      </c>
      <c r="F154" s="142" t="e">
        <f t="shared" si="21"/>
        <v>#NUM!</v>
      </c>
      <c r="G154" s="184">
        <f>IF('prijem -inna mena'!$I$90=TRUE,IF($C$11&gt;0,0.00025*C153,0),IF('prijem -inna mena'!$I$91=TRUE,IF('prijem -inna mena'!$F$91&gt;0,0.00025*C153,0),0))</f>
        <v>0</v>
      </c>
      <c r="L154" s="89">
        <v>138</v>
      </c>
      <c r="M154" s="237" t="e">
        <f t="shared" si="27"/>
        <v>#DIV/0!</v>
      </c>
      <c r="N154" s="142" t="e">
        <f t="shared" si="22"/>
        <v>#DIV/0!</v>
      </c>
      <c r="O154" s="142" t="e">
        <f t="shared" si="23"/>
        <v>#DIV/0!</v>
      </c>
      <c r="P154" s="142" t="e">
        <f t="shared" si="28"/>
        <v>#DIV/0!</v>
      </c>
      <c r="Q154" s="142" t="e">
        <f t="shared" si="29"/>
        <v>#DIV/0!</v>
      </c>
      <c r="R154" s="184">
        <f>IF('prijem -inna mena'!$I$90=TRUE,IF($C$11&gt;0,0.00025*N153,0),IF('prijem -inna mena'!$I$91=TRUE,IF('prijem -inna mena'!$F$91&gt;0,0.00025*N153*-1,0),0))</f>
        <v>0</v>
      </c>
    </row>
    <row r="155" spans="1:18" x14ac:dyDescent="0.2">
      <c r="A155" s="89">
        <v>139</v>
      </c>
      <c r="B155" s="237" t="e">
        <f t="shared" si="24"/>
        <v>#NUM!</v>
      </c>
      <c r="C155" s="142" t="e">
        <f t="shared" si="20"/>
        <v>#NUM!</v>
      </c>
      <c r="D155" s="142" t="e">
        <f t="shared" si="25"/>
        <v>#NUM!</v>
      </c>
      <c r="E155" s="142" t="e">
        <f t="shared" si="26"/>
        <v>#NUM!</v>
      </c>
      <c r="F155" s="142" t="e">
        <f t="shared" si="21"/>
        <v>#NUM!</v>
      </c>
      <c r="G155" s="184">
        <f>IF('prijem -inna mena'!$I$90=TRUE,IF($C$11&gt;0,0.00025*C154,0),IF('prijem -inna mena'!$I$91=TRUE,IF('prijem -inna mena'!$F$91&gt;0,0.00025*C154,0),0))</f>
        <v>0</v>
      </c>
      <c r="L155" s="89">
        <v>139</v>
      </c>
      <c r="M155" s="237" t="e">
        <f t="shared" si="27"/>
        <v>#DIV/0!</v>
      </c>
      <c r="N155" s="142" t="e">
        <f t="shared" si="22"/>
        <v>#DIV/0!</v>
      </c>
      <c r="O155" s="142" t="e">
        <f t="shared" si="23"/>
        <v>#DIV/0!</v>
      </c>
      <c r="P155" s="142" t="e">
        <f t="shared" si="28"/>
        <v>#DIV/0!</v>
      </c>
      <c r="Q155" s="142" t="e">
        <f t="shared" si="29"/>
        <v>#DIV/0!</v>
      </c>
      <c r="R155" s="184">
        <f>IF('prijem -inna mena'!$I$90=TRUE,IF($C$11&gt;0,0.00025*N154,0),IF('prijem -inna mena'!$I$91=TRUE,IF('prijem -inna mena'!$F$91&gt;0,0.00025*N154*-1,0),0))</f>
        <v>0</v>
      </c>
    </row>
    <row r="156" spans="1:18" x14ac:dyDescent="0.2">
      <c r="A156" s="89">
        <v>140</v>
      </c>
      <c r="B156" s="237" t="e">
        <f t="shared" si="24"/>
        <v>#NUM!</v>
      </c>
      <c r="C156" s="142" t="e">
        <f t="shared" si="20"/>
        <v>#NUM!</v>
      </c>
      <c r="D156" s="142" t="e">
        <f t="shared" si="25"/>
        <v>#NUM!</v>
      </c>
      <c r="E156" s="142" t="e">
        <f t="shared" si="26"/>
        <v>#NUM!</v>
      </c>
      <c r="F156" s="142" t="e">
        <f t="shared" si="21"/>
        <v>#NUM!</v>
      </c>
      <c r="G156" s="184">
        <f>IF('prijem -inna mena'!$I$90=TRUE,IF($C$11&gt;0,0.00025*C155,0),IF('prijem -inna mena'!$I$91=TRUE,IF('prijem -inna mena'!$F$91&gt;0,0.00025*C155,0),0))</f>
        <v>0</v>
      </c>
      <c r="L156" s="89">
        <v>140</v>
      </c>
      <c r="M156" s="237" t="e">
        <f t="shared" si="27"/>
        <v>#DIV/0!</v>
      </c>
      <c r="N156" s="142" t="e">
        <f t="shared" si="22"/>
        <v>#DIV/0!</v>
      </c>
      <c r="O156" s="142" t="e">
        <f t="shared" si="23"/>
        <v>#DIV/0!</v>
      </c>
      <c r="P156" s="142" t="e">
        <f t="shared" si="28"/>
        <v>#DIV/0!</v>
      </c>
      <c r="Q156" s="142" t="e">
        <f t="shared" si="29"/>
        <v>#DIV/0!</v>
      </c>
      <c r="R156" s="184">
        <f>IF('prijem -inna mena'!$I$90=TRUE,IF($C$11&gt;0,0.00025*N155,0),IF('prijem -inna mena'!$I$91=TRUE,IF('prijem -inna mena'!$F$91&gt;0,0.00025*N155*-1,0),0))</f>
        <v>0</v>
      </c>
    </row>
    <row r="157" spans="1:18" x14ac:dyDescent="0.2">
      <c r="A157" s="89">
        <v>141</v>
      </c>
      <c r="B157" s="237" t="e">
        <f t="shared" si="24"/>
        <v>#NUM!</v>
      </c>
      <c r="C157" s="142" t="e">
        <f t="shared" si="20"/>
        <v>#NUM!</v>
      </c>
      <c r="D157" s="142" t="e">
        <f t="shared" si="25"/>
        <v>#NUM!</v>
      </c>
      <c r="E157" s="142" t="e">
        <f t="shared" si="26"/>
        <v>#NUM!</v>
      </c>
      <c r="F157" s="142" t="e">
        <f t="shared" si="21"/>
        <v>#NUM!</v>
      </c>
      <c r="G157" s="184">
        <f>IF('prijem -inna mena'!$I$90=TRUE,IF($C$11&gt;0,0.00025*C156,0),IF('prijem -inna mena'!$I$91=TRUE,IF('prijem -inna mena'!$F$91&gt;0,0.00025*C156,0),0))</f>
        <v>0</v>
      </c>
      <c r="L157" s="89">
        <v>141</v>
      </c>
      <c r="M157" s="237" t="e">
        <f t="shared" si="27"/>
        <v>#DIV/0!</v>
      </c>
      <c r="N157" s="142" t="e">
        <f t="shared" si="22"/>
        <v>#DIV/0!</v>
      </c>
      <c r="O157" s="142" t="e">
        <f t="shared" si="23"/>
        <v>#DIV/0!</v>
      </c>
      <c r="P157" s="142" t="e">
        <f t="shared" si="28"/>
        <v>#DIV/0!</v>
      </c>
      <c r="Q157" s="142" t="e">
        <f t="shared" si="29"/>
        <v>#DIV/0!</v>
      </c>
      <c r="R157" s="184">
        <f>IF('prijem -inna mena'!$I$90=TRUE,IF($C$11&gt;0,0.00025*N156,0),IF('prijem -inna mena'!$I$91=TRUE,IF('prijem -inna mena'!$F$91&gt;0,0.00025*N156*-1,0),0))</f>
        <v>0</v>
      </c>
    </row>
    <row r="158" spans="1:18" x14ac:dyDescent="0.2">
      <c r="A158" s="89">
        <v>142</v>
      </c>
      <c r="B158" s="237" t="e">
        <f t="shared" si="24"/>
        <v>#NUM!</v>
      </c>
      <c r="C158" s="142" t="e">
        <f t="shared" si="20"/>
        <v>#NUM!</v>
      </c>
      <c r="D158" s="142" t="e">
        <f t="shared" si="25"/>
        <v>#NUM!</v>
      </c>
      <c r="E158" s="142" t="e">
        <f t="shared" si="26"/>
        <v>#NUM!</v>
      </c>
      <c r="F158" s="142" t="e">
        <f t="shared" si="21"/>
        <v>#NUM!</v>
      </c>
      <c r="G158" s="184">
        <f>IF('prijem -inna mena'!$I$90=TRUE,IF($C$11&gt;0,0.00025*C157,0),IF('prijem -inna mena'!$I$91=TRUE,IF('prijem -inna mena'!$F$91&gt;0,0.00025*C157,0),0))</f>
        <v>0</v>
      </c>
      <c r="L158" s="89">
        <v>142</v>
      </c>
      <c r="M158" s="237" t="e">
        <f t="shared" si="27"/>
        <v>#DIV/0!</v>
      </c>
      <c r="N158" s="142" t="e">
        <f t="shared" si="22"/>
        <v>#DIV/0!</v>
      </c>
      <c r="O158" s="142" t="e">
        <f t="shared" si="23"/>
        <v>#DIV/0!</v>
      </c>
      <c r="P158" s="142" t="e">
        <f t="shared" si="28"/>
        <v>#DIV/0!</v>
      </c>
      <c r="Q158" s="142" t="e">
        <f t="shared" si="29"/>
        <v>#DIV/0!</v>
      </c>
      <c r="R158" s="184">
        <f>IF('prijem -inna mena'!$I$90=TRUE,IF($C$11&gt;0,0.00025*N157,0),IF('prijem -inna mena'!$I$91=TRUE,IF('prijem -inna mena'!$F$91&gt;0,0.00025*N157*-1,0),0))</f>
        <v>0</v>
      </c>
    </row>
    <row r="159" spans="1:18" x14ac:dyDescent="0.2">
      <c r="A159" s="89">
        <v>143</v>
      </c>
      <c r="B159" s="237" t="e">
        <f t="shared" si="24"/>
        <v>#NUM!</v>
      </c>
      <c r="C159" s="142" t="e">
        <f t="shared" si="20"/>
        <v>#NUM!</v>
      </c>
      <c r="D159" s="142" t="e">
        <f t="shared" si="25"/>
        <v>#NUM!</v>
      </c>
      <c r="E159" s="142" t="e">
        <f t="shared" si="26"/>
        <v>#NUM!</v>
      </c>
      <c r="F159" s="142" t="e">
        <f t="shared" si="21"/>
        <v>#NUM!</v>
      </c>
      <c r="G159" s="184">
        <f>IF('prijem -inna mena'!$I$90=TRUE,IF($C$11&gt;0,0.00025*C158,0),IF('prijem -inna mena'!$I$91=TRUE,IF('prijem -inna mena'!$F$91&gt;0,0.00025*C158,0),0))</f>
        <v>0</v>
      </c>
      <c r="L159" s="89">
        <v>143</v>
      </c>
      <c r="M159" s="237" t="e">
        <f t="shared" si="27"/>
        <v>#DIV/0!</v>
      </c>
      <c r="N159" s="142" t="e">
        <f t="shared" si="22"/>
        <v>#DIV/0!</v>
      </c>
      <c r="O159" s="142" t="e">
        <f t="shared" si="23"/>
        <v>#DIV/0!</v>
      </c>
      <c r="P159" s="142" t="e">
        <f t="shared" si="28"/>
        <v>#DIV/0!</v>
      </c>
      <c r="Q159" s="142" t="e">
        <f t="shared" si="29"/>
        <v>#DIV/0!</v>
      </c>
      <c r="R159" s="184">
        <f>IF('prijem -inna mena'!$I$90=TRUE,IF($C$11&gt;0,0.00025*N158,0),IF('prijem -inna mena'!$I$91=TRUE,IF('prijem -inna mena'!$F$91&gt;0,0.00025*N158*-1,0),0))</f>
        <v>0</v>
      </c>
    </row>
    <row r="160" spans="1:18" x14ac:dyDescent="0.2">
      <c r="A160" s="89">
        <v>144</v>
      </c>
      <c r="B160" s="237" t="e">
        <f t="shared" si="24"/>
        <v>#NUM!</v>
      </c>
      <c r="C160" s="142" t="e">
        <f t="shared" si="20"/>
        <v>#NUM!</v>
      </c>
      <c r="D160" s="142" t="e">
        <f t="shared" si="25"/>
        <v>#NUM!</v>
      </c>
      <c r="E160" s="142" t="e">
        <f t="shared" si="26"/>
        <v>#NUM!</v>
      </c>
      <c r="F160" s="142" t="e">
        <f t="shared" si="21"/>
        <v>#NUM!</v>
      </c>
      <c r="G160" s="184">
        <f>IF('prijem -inna mena'!$I$90=TRUE,IF($C$11&gt;0,0.00025*C159,0),IF('prijem -inna mena'!$I$91=TRUE,IF('prijem -inna mena'!$F$91&gt;0,0.00025*C159,0),0))</f>
        <v>0</v>
      </c>
      <c r="L160" s="89">
        <v>144</v>
      </c>
      <c r="M160" s="237" t="e">
        <f t="shared" si="27"/>
        <v>#DIV/0!</v>
      </c>
      <c r="N160" s="142" t="e">
        <f t="shared" si="22"/>
        <v>#DIV/0!</v>
      </c>
      <c r="O160" s="142" t="e">
        <f t="shared" si="23"/>
        <v>#DIV/0!</v>
      </c>
      <c r="P160" s="142" t="e">
        <f t="shared" si="28"/>
        <v>#DIV/0!</v>
      </c>
      <c r="Q160" s="142" t="e">
        <f t="shared" si="29"/>
        <v>#DIV/0!</v>
      </c>
      <c r="R160" s="184">
        <f>IF('prijem -inna mena'!$I$90=TRUE,IF($C$11&gt;0,0.00025*N159,0),IF('prijem -inna mena'!$I$91=TRUE,IF('prijem -inna mena'!$F$91&gt;0,0.00025*N159*-1,0),0))</f>
        <v>0</v>
      </c>
    </row>
    <row r="161" spans="1:18" x14ac:dyDescent="0.2">
      <c r="A161" s="89">
        <v>145</v>
      </c>
      <c r="B161" s="237" t="e">
        <f t="shared" si="24"/>
        <v>#NUM!</v>
      </c>
      <c r="C161" s="142" t="e">
        <f t="shared" si="20"/>
        <v>#NUM!</v>
      </c>
      <c r="D161" s="142" t="e">
        <f t="shared" si="25"/>
        <v>#NUM!</v>
      </c>
      <c r="E161" s="142" t="e">
        <f t="shared" si="26"/>
        <v>#NUM!</v>
      </c>
      <c r="F161" s="142" t="e">
        <f t="shared" si="21"/>
        <v>#NUM!</v>
      </c>
      <c r="G161" s="184">
        <f>IF('prijem -inna mena'!$I$90=TRUE,IF($C$11&gt;0,0.00025*C160,0),IF('prijem -inna mena'!$I$91=TRUE,IF('prijem -inna mena'!$F$91&gt;0,0.00025*C160,0),0))</f>
        <v>0</v>
      </c>
      <c r="L161" s="89">
        <v>145</v>
      </c>
      <c r="M161" s="237" t="e">
        <f t="shared" si="27"/>
        <v>#DIV/0!</v>
      </c>
      <c r="N161" s="142" t="e">
        <f t="shared" si="22"/>
        <v>#DIV/0!</v>
      </c>
      <c r="O161" s="142" t="e">
        <f t="shared" si="23"/>
        <v>#DIV/0!</v>
      </c>
      <c r="P161" s="142" t="e">
        <f t="shared" si="28"/>
        <v>#DIV/0!</v>
      </c>
      <c r="Q161" s="142" t="e">
        <f t="shared" si="29"/>
        <v>#DIV/0!</v>
      </c>
      <c r="R161" s="184">
        <f>IF('prijem -inna mena'!$I$90=TRUE,IF($C$11&gt;0,0.00025*N160,0),IF('prijem -inna mena'!$I$91=TRUE,IF('prijem -inna mena'!$F$91&gt;0,0.00025*N160*-1,0),0))</f>
        <v>0</v>
      </c>
    </row>
    <row r="162" spans="1:18" x14ac:dyDescent="0.2">
      <c r="A162" s="89">
        <v>146</v>
      </c>
      <c r="B162" s="237" t="e">
        <f t="shared" si="24"/>
        <v>#NUM!</v>
      </c>
      <c r="C162" s="142" t="e">
        <f t="shared" si="20"/>
        <v>#NUM!</v>
      </c>
      <c r="D162" s="142" t="e">
        <f t="shared" si="25"/>
        <v>#NUM!</v>
      </c>
      <c r="E162" s="142" t="e">
        <f t="shared" si="26"/>
        <v>#NUM!</v>
      </c>
      <c r="F162" s="142" t="e">
        <f t="shared" si="21"/>
        <v>#NUM!</v>
      </c>
      <c r="G162" s="184">
        <f>IF('prijem -inna mena'!$I$90=TRUE,IF($C$11&gt;0,0.00025*C161,0),IF('prijem -inna mena'!$I$91=TRUE,IF('prijem -inna mena'!$F$91&gt;0,0.00025*C161,0),0))</f>
        <v>0</v>
      </c>
      <c r="L162" s="89">
        <v>146</v>
      </c>
      <c r="M162" s="237" t="e">
        <f t="shared" si="27"/>
        <v>#DIV/0!</v>
      </c>
      <c r="N162" s="142" t="e">
        <f t="shared" si="22"/>
        <v>#DIV/0!</v>
      </c>
      <c r="O162" s="142" t="e">
        <f t="shared" si="23"/>
        <v>#DIV/0!</v>
      </c>
      <c r="P162" s="142" t="e">
        <f t="shared" si="28"/>
        <v>#DIV/0!</v>
      </c>
      <c r="Q162" s="142" t="e">
        <f t="shared" si="29"/>
        <v>#DIV/0!</v>
      </c>
      <c r="R162" s="184">
        <f>IF('prijem -inna mena'!$I$90=TRUE,IF($C$11&gt;0,0.00025*N161,0),IF('prijem -inna mena'!$I$91=TRUE,IF('prijem -inna mena'!$F$91&gt;0,0.00025*N161*-1,0),0))</f>
        <v>0</v>
      </c>
    </row>
    <row r="163" spans="1:18" x14ac:dyDescent="0.2">
      <c r="A163" s="89">
        <v>147</v>
      </c>
      <c r="B163" s="237" t="e">
        <f t="shared" si="24"/>
        <v>#NUM!</v>
      </c>
      <c r="C163" s="142" t="e">
        <f t="shared" si="20"/>
        <v>#NUM!</v>
      </c>
      <c r="D163" s="142" t="e">
        <f t="shared" si="25"/>
        <v>#NUM!</v>
      </c>
      <c r="E163" s="142" t="e">
        <f t="shared" si="26"/>
        <v>#NUM!</v>
      </c>
      <c r="F163" s="142" t="e">
        <f t="shared" si="21"/>
        <v>#NUM!</v>
      </c>
      <c r="G163" s="184">
        <f>IF('prijem -inna mena'!$I$90=TRUE,IF($C$11&gt;0,0.00025*C162,0),IF('prijem -inna mena'!$I$91=TRUE,IF('prijem -inna mena'!$F$91&gt;0,0.00025*C162,0),0))</f>
        <v>0</v>
      </c>
      <c r="L163" s="89">
        <v>147</v>
      </c>
      <c r="M163" s="237" t="e">
        <f t="shared" si="27"/>
        <v>#DIV/0!</v>
      </c>
      <c r="N163" s="142" t="e">
        <f t="shared" si="22"/>
        <v>#DIV/0!</v>
      </c>
      <c r="O163" s="142" t="e">
        <f t="shared" si="23"/>
        <v>#DIV/0!</v>
      </c>
      <c r="P163" s="142" t="e">
        <f t="shared" si="28"/>
        <v>#DIV/0!</v>
      </c>
      <c r="Q163" s="142" t="e">
        <f t="shared" si="29"/>
        <v>#DIV/0!</v>
      </c>
      <c r="R163" s="184">
        <f>IF('prijem -inna mena'!$I$90=TRUE,IF($C$11&gt;0,0.00025*N162,0),IF('prijem -inna mena'!$I$91=TRUE,IF('prijem -inna mena'!$F$91&gt;0,0.00025*N162*-1,0),0))</f>
        <v>0</v>
      </c>
    </row>
    <row r="164" spans="1:18" x14ac:dyDescent="0.2">
      <c r="A164" s="89">
        <v>148</v>
      </c>
      <c r="B164" s="237" t="e">
        <f t="shared" si="24"/>
        <v>#NUM!</v>
      </c>
      <c r="C164" s="142" t="e">
        <f t="shared" si="20"/>
        <v>#NUM!</v>
      </c>
      <c r="D164" s="142" t="e">
        <f t="shared" si="25"/>
        <v>#NUM!</v>
      </c>
      <c r="E164" s="142" t="e">
        <f t="shared" si="26"/>
        <v>#NUM!</v>
      </c>
      <c r="F164" s="142" t="e">
        <f t="shared" si="21"/>
        <v>#NUM!</v>
      </c>
      <c r="G164" s="184">
        <f>IF('prijem -inna mena'!$I$90=TRUE,IF($C$11&gt;0,0.00025*C163,0),IF('prijem -inna mena'!$I$91=TRUE,IF('prijem -inna mena'!$F$91&gt;0,0.00025*C163,0),0))</f>
        <v>0</v>
      </c>
      <c r="L164" s="89">
        <v>148</v>
      </c>
      <c r="M164" s="237" t="e">
        <f t="shared" si="27"/>
        <v>#DIV/0!</v>
      </c>
      <c r="N164" s="142" t="e">
        <f t="shared" si="22"/>
        <v>#DIV/0!</v>
      </c>
      <c r="O164" s="142" t="e">
        <f t="shared" si="23"/>
        <v>#DIV/0!</v>
      </c>
      <c r="P164" s="142" t="e">
        <f t="shared" si="28"/>
        <v>#DIV/0!</v>
      </c>
      <c r="Q164" s="142" t="e">
        <f t="shared" si="29"/>
        <v>#DIV/0!</v>
      </c>
      <c r="R164" s="184">
        <f>IF('prijem -inna mena'!$I$90=TRUE,IF($C$11&gt;0,0.00025*N163,0),IF('prijem -inna mena'!$I$91=TRUE,IF('prijem -inna mena'!$F$91&gt;0,0.00025*N163*-1,0),0))</f>
        <v>0</v>
      </c>
    </row>
    <row r="165" spans="1:18" x14ac:dyDescent="0.2">
      <c r="A165" s="89">
        <v>149</v>
      </c>
      <c r="B165" s="237" t="e">
        <f t="shared" si="24"/>
        <v>#NUM!</v>
      </c>
      <c r="C165" s="142" t="e">
        <f t="shared" si="20"/>
        <v>#NUM!</v>
      </c>
      <c r="D165" s="142" t="e">
        <f t="shared" si="25"/>
        <v>#NUM!</v>
      </c>
      <c r="E165" s="142" t="e">
        <f t="shared" si="26"/>
        <v>#NUM!</v>
      </c>
      <c r="F165" s="142" t="e">
        <f t="shared" si="21"/>
        <v>#NUM!</v>
      </c>
      <c r="G165" s="184">
        <f>IF('prijem -inna mena'!$I$90=TRUE,IF($C$11&gt;0,0.00025*C164,0),IF('prijem -inna mena'!$I$91=TRUE,IF('prijem -inna mena'!$F$91&gt;0,0.00025*C164,0),0))</f>
        <v>0</v>
      </c>
      <c r="L165" s="89">
        <v>149</v>
      </c>
      <c r="M165" s="237" t="e">
        <f t="shared" si="27"/>
        <v>#DIV/0!</v>
      </c>
      <c r="N165" s="142" t="e">
        <f t="shared" si="22"/>
        <v>#DIV/0!</v>
      </c>
      <c r="O165" s="142" t="e">
        <f t="shared" si="23"/>
        <v>#DIV/0!</v>
      </c>
      <c r="P165" s="142" t="e">
        <f t="shared" si="28"/>
        <v>#DIV/0!</v>
      </c>
      <c r="Q165" s="142" t="e">
        <f t="shared" si="29"/>
        <v>#DIV/0!</v>
      </c>
      <c r="R165" s="184">
        <f>IF('prijem -inna mena'!$I$90=TRUE,IF($C$11&gt;0,0.00025*N164,0),IF('prijem -inna mena'!$I$91=TRUE,IF('prijem -inna mena'!$F$91&gt;0,0.00025*N164*-1,0),0))</f>
        <v>0</v>
      </c>
    </row>
    <row r="166" spans="1:18" x14ac:dyDescent="0.2">
      <c r="A166" s="89">
        <v>150</v>
      </c>
      <c r="B166" s="237" t="e">
        <f t="shared" si="24"/>
        <v>#NUM!</v>
      </c>
      <c r="C166" s="142" t="e">
        <f t="shared" si="20"/>
        <v>#NUM!</v>
      </c>
      <c r="D166" s="142" t="e">
        <f t="shared" si="25"/>
        <v>#NUM!</v>
      </c>
      <c r="E166" s="142" t="e">
        <f t="shared" si="26"/>
        <v>#NUM!</v>
      </c>
      <c r="F166" s="142" t="e">
        <f t="shared" si="21"/>
        <v>#NUM!</v>
      </c>
      <c r="G166" s="184">
        <f>IF('prijem -inna mena'!$I$90=TRUE,IF($C$11&gt;0,0.00025*C165,0),IF('prijem -inna mena'!$I$91=TRUE,IF('prijem -inna mena'!$F$91&gt;0,0.00025*C165,0),0))</f>
        <v>0</v>
      </c>
      <c r="L166" s="89">
        <v>150</v>
      </c>
      <c r="M166" s="237" t="e">
        <f t="shared" si="27"/>
        <v>#DIV/0!</v>
      </c>
      <c r="N166" s="142" t="e">
        <f t="shared" si="22"/>
        <v>#DIV/0!</v>
      </c>
      <c r="O166" s="142" t="e">
        <f t="shared" si="23"/>
        <v>#DIV/0!</v>
      </c>
      <c r="P166" s="142" t="e">
        <f t="shared" si="28"/>
        <v>#DIV/0!</v>
      </c>
      <c r="Q166" s="142" t="e">
        <f t="shared" si="29"/>
        <v>#DIV/0!</v>
      </c>
      <c r="R166" s="184">
        <f>IF('prijem -inna mena'!$I$90=TRUE,IF($C$11&gt;0,0.00025*N165,0),IF('prijem -inna mena'!$I$91=TRUE,IF('prijem -inna mena'!$F$91&gt;0,0.00025*N165*-1,0),0))</f>
        <v>0</v>
      </c>
    </row>
    <row r="167" spans="1:18" x14ac:dyDescent="0.2">
      <c r="A167" s="89">
        <v>151</v>
      </c>
      <c r="B167" s="237" t="e">
        <f t="shared" si="24"/>
        <v>#NUM!</v>
      </c>
      <c r="C167" s="142" t="e">
        <f t="shared" si="20"/>
        <v>#NUM!</v>
      </c>
      <c r="D167" s="142" t="e">
        <f t="shared" si="25"/>
        <v>#NUM!</v>
      </c>
      <c r="E167" s="142" t="e">
        <f t="shared" si="26"/>
        <v>#NUM!</v>
      </c>
      <c r="F167" s="142" t="e">
        <f t="shared" si="21"/>
        <v>#NUM!</v>
      </c>
      <c r="G167" s="184">
        <f>IF('prijem -inna mena'!$I$90=TRUE,IF($C$11&gt;0,0.00025*C166,0),IF('prijem -inna mena'!$I$91=TRUE,IF('prijem -inna mena'!$F$91&gt;0,0.00025*C166,0),0))</f>
        <v>0</v>
      </c>
      <c r="L167" s="89">
        <v>151</v>
      </c>
      <c r="M167" s="237" t="e">
        <f t="shared" si="27"/>
        <v>#DIV/0!</v>
      </c>
      <c r="N167" s="142" t="e">
        <f t="shared" si="22"/>
        <v>#DIV/0!</v>
      </c>
      <c r="O167" s="142" t="e">
        <f t="shared" si="23"/>
        <v>#DIV/0!</v>
      </c>
      <c r="P167" s="142" t="e">
        <f t="shared" si="28"/>
        <v>#DIV/0!</v>
      </c>
      <c r="Q167" s="142" t="e">
        <f t="shared" si="29"/>
        <v>#DIV/0!</v>
      </c>
      <c r="R167" s="184">
        <f>IF('prijem -inna mena'!$I$90=TRUE,IF($C$11&gt;0,0.00025*N166,0),IF('prijem -inna mena'!$I$91=TRUE,IF('prijem -inna mena'!$F$91&gt;0,0.00025*N166*-1,0),0))</f>
        <v>0</v>
      </c>
    </row>
    <row r="168" spans="1:18" x14ac:dyDescent="0.2">
      <c r="A168" s="89">
        <v>152</v>
      </c>
      <c r="B168" s="237" t="e">
        <f t="shared" si="24"/>
        <v>#NUM!</v>
      </c>
      <c r="C168" s="142" t="e">
        <f t="shared" si="20"/>
        <v>#NUM!</v>
      </c>
      <c r="D168" s="142" t="e">
        <f t="shared" si="25"/>
        <v>#NUM!</v>
      </c>
      <c r="E168" s="142" t="e">
        <f t="shared" si="26"/>
        <v>#NUM!</v>
      </c>
      <c r="F168" s="142" t="e">
        <f t="shared" si="21"/>
        <v>#NUM!</v>
      </c>
      <c r="G168" s="184">
        <f>IF('prijem -inna mena'!$I$90=TRUE,IF($C$11&gt;0,0.00025*C167,0),IF('prijem -inna mena'!$I$91=TRUE,IF('prijem -inna mena'!$F$91&gt;0,0.00025*C167,0),0))</f>
        <v>0</v>
      </c>
      <c r="L168" s="89">
        <v>152</v>
      </c>
      <c r="M168" s="237" t="e">
        <f t="shared" si="27"/>
        <v>#DIV/0!</v>
      </c>
      <c r="N168" s="142" t="e">
        <f t="shared" si="22"/>
        <v>#DIV/0!</v>
      </c>
      <c r="O168" s="142" t="e">
        <f t="shared" si="23"/>
        <v>#DIV/0!</v>
      </c>
      <c r="P168" s="142" t="e">
        <f t="shared" si="28"/>
        <v>#DIV/0!</v>
      </c>
      <c r="Q168" s="142" t="e">
        <f t="shared" si="29"/>
        <v>#DIV/0!</v>
      </c>
      <c r="R168" s="184">
        <f>IF('prijem -inna mena'!$I$90=TRUE,IF($C$11&gt;0,0.00025*N167,0),IF('prijem -inna mena'!$I$91=TRUE,IF('prijem -inna mena'!$F$91&gt;0,0.00025*N167*-1,0),0))</f>
        <v>0</v>
      </c>
    </row>
    <row r="169" spans="1:18" x14ac:dyDescent="0.2">
      <c r="A169" s="89">
        <v>153</v>
      </c>
      <c r="B169" s="237" t="e">
        <f t="shared" si="24"/>
        <v>#NUM!</v>
      </c>
      <c r="C169" s="142" t="e">
        <f t="shared" si="20"/>
        <v>#NUM!</v>
      </c>
      <c r="D169" s="142" t="e">
        <f t="shared" si="25"/>
        <v>#NUM!</v>
      </c>
      <c r="E169" s="142" t="e">
        <f t="shared" si="26"/>
        <v>#NUM!</v>
      </c>
      <c r="F169" s="142" t="e">
        <f t="shared" si="21"/>
        <v>#NUM!</v>
      </c>
      <c r="G169" s="184">
        <f>IF('prijem -inna mena'!$I$90=TRUE,IF($C$11&gt;0,0.00025*C168,0),IF('prijem -inna mena'!$I$91=TRUE,IF('prijem -inna mena'!$F$91&gt;0,0.00025*C168,0),0))</f>
        <v>0</v>
      </c>
      <c r="L169" s="89">
        <v>153</v>
      </c>
      <c r="M169" s="237" t="e">
        <f t="shared" si="27"/>
        <v>#DIV/0!</v>
      </c>
      <c r="N169" s="142" t="e">
        <f t="shared" si="22"/>
        <v>#DIV/0!</v>
      </c>
      <c r="O169" s="142" t="e">
        <f t="shared" si="23"/>
        <v>#DIV/0!</v>
      </c>
      <c r="P169" s="142" t="e">
        <f t="shared" si="28"/>
        <v>#DIV/0!</v>
      </c>
      <c r="Q169" s="142" t="e">
        <f t="shared" si="29"/>
        <v>#DIV/0!</v>
      </c>
      <c r="R169" s="184">
        <f>IF('prijem -inna mena'!$I$90=TRUE,IF($C$11&gt;0,0.00025*N168,0),IF('prijem -inna mena'!$I$91=TRUE,IF('prijem -inna mena'!$F$91&gt;0,0.00025*N168*-1,0),0))</f>
        <v>0</v>
      </c>
    </row>
    <row r="170" spans="1:18" x14ac:dyDescent="0.2">
      <c r="A170" s="89">
        <v>154</v>
      </c>
      <c r="B170" s="237" t="e">
        <f t="shared" si="24"/>
        <v>#NUM!</v>
      </c>
      <c r="C170" s="142" t="e">
        <f t="shared" si="20"/>
        <v>#NUM!</v>
      </c>
      <c r="D170" s="142" t="e">
        <f t="shared" si="25"/>
        <v>#NUM!</v>
      </c>
      <c r="E170" s="142" t="e">
        <f t="shared" si="26"/>
        <v>#NUM!</v>
      </c>
      <c r="F170" s="142" t="e">
        <f t="shared" si="21"/>
        <v>#NUM!</v>
      </c>
      <c r="G170" s="184">
        <f>IF('prijem -inna mena'!$I$90=TRUE,IF($C$11&gt;0,0.00025*C169,0),IF('prijem -inna mena'!$I$91=TRUE,IF('prijem -inna mena'!$F$91&gt;0,0.00025*C169,0),0))</f>
        <v>0</v>
      </c>
      <c r="L170" s="89">
        <v>154</v>
      </c>
      <c r="M170" s="237" t="e">
        <f t="shared" si="27"/>
        <v>#DIV/0!</v>
      </c>
      <c r="N170" s="142" t="e">
        <f t="shared" si="22"/>
        <v>#DIV/0!</v>
      </c>
      <c r="O170" s="142" t="e">
        <f t="shared" si="23"/>
        <v>#DIV/0!</v>
      </c>
      <c r="P170" s="142" t="e">
        <f t="shared" si="28"/>
        <v>#DIV/0!</v>
      </c>
      <c r="Q170" s="142" t="e">
        <f t="shared" si="29"/>
        <v>#DIV/0!</v>
      </c>
      <c r="R170" s="184">
        <f>IF('prijem -inna mena'!$I$90=TRUE,IF($C$11&gt;0,0.00025*N169,0),IF('prijem -inna mena'!$I$91=TRUE,IF('prijem -inna mena'!$F$91&gt;0,0.00025*N169*-1,0),0))</f>
        <v>0</v>
      </c>
    </row>
    <row r="171" spans="1:18" x14ac:dyDescent="0.2">
      <c r="A171" s="89">
        <v>155</v>
      </c>
      <c r="B171" s="237" t="e">
        <f t="shared" si="24"/>
        <v>#NUM!</v>
      </c>
      <c r="C171" s="142" t="e">
        <f t="shared" si="20"/>
        <v>#NUM!</v>
      </c>
      <c r="D171" s="142" t="e">
        <f t="shared" si="25"/>
        <v>#NUM!</v>
      </c>
      <c r="E171" s="142" t="e">
        <f t="shared" si="26"/>
        <v>#NUM!</v>
      </c>
      <c r="F171" s="142" t="e">
        <f t="shared" si="21"/>
        <v>#NUM!</v>
      </c>
      <c r="G171" s="184">
        <f>IF('prijem -inna mena'!$I$90=TRUE,IF($C$11&gt;0,0.00025*C170,0),IF('prijem -inna mena'!$I$91=TRUE,IF('prijem -inna mena'!$F$91&gt;0,0.00025*C170,0),0))</f>
        <v>0</v>
      </c>
      <c r="L171" s="89">
        <v>155</v>
      </c>
      <c r="M171" s="237" t="e">
        <f t="shared" si="27"/>
        <v>#DIV/0!</v>
      </c>
      <c r="N171" s="142" t="e">
        <f t="shared" si="22"/>
        <v>#DIV/0!</v>
      </c>
      <c r="O171" s="142" t="e">
        <f t="shared" si="23"/>
        <v>#DIV/0!</v>
      </c>
      <c r="P171" s="142" t="e">
        <f t="shared" si="28"/>
        <v>#DIV/0!</v>
      </c>
      <c r="Q171" s="142" t="e">
        <f t="shared" si="29"/>
        <v>#DIV/0!</v>
      </c>
      <c r="R171" s="184">
        <f>IF('prijem -inna mena'!$I$90=TRUE,IF($C$11&gt;0,0.00025*N170,0),IF('prijem -inna mena'!$I$91=TRUE,IF('prijem -inna mena'!$F$91&gt;0,0.00025*N170*-1,0),0))</f>
        <v>0</v>
      </c>
    </row>
    <row r="172" spans="1:18" x14ac:dyDescent="0.2">
      <c r="A172" s="89">
        <v>156</v>
      </c>
      <c r="B172" s="237" t="e">
        <f t="shared" si="24"/>
        <v>#NUM!</v>
      </c>
      <c r="C172" s="142" t="e">
        <f t="shared" si="20"/>
        <v>#NUM!</v>
      </c>
      <c r="D172" s="142" t="e">
        <f t="shared" si="25"/>
        <v>#NUM!</v>
      </c>
      <c r="E172" s="142" t="e">
        <f t="shared" si="26"/>
        <v>#NUM!</v>
      </c>
      <c r="F172" s="142" t="e">
        <f t="shared" si="21"/>
        <v>#NUM!</v>
      </c>
      <c r="G172" s="184">
        <f>IF('prijem -inna mena'!$I$90=TRUE,IF($C$11&gt;0,0.00025*C171,0),IF('prijem -inna mena'!$I$91=TRUE,IF('prijem -inna mena'!$F$91&gt;0,0.00025*C171,0),0))</f>
        <v>0</v>
      </c>
      <c r="L172" s="89">
        <v>156</v>
      </c>
      <c r="M172" s="237" t="e">
        <f t="shared" si="27"/>
        <v>#DIV/0!</v>
      </c>
      <c r="N172" s="142" t="e">
        <f t="shared" si="22"/>
        <v>#DIV/0!</v>
      </c>
      <c r="O172" s="142" t="e">
        <f t="shared" si="23"/>
        <v>#DIV/0!</v>
      </c>
      <c r="P172" s="142" t="e">
        <f t="shared" si="28"/>
        <v>#DIV/0!</v>
      </c>
      <c r="Q172" s="142" t="e">
        <f t="shared" si="29"/>
        <v>#DIV/0!</v>
      </c>
      <c r="R172" s="184">
        <f>IF('prijem -inna mena'!$I$90=TRUE,IF($C$11&gt;0,0.00025*N171,0),IF('prijem -inna mena'!$I$91=TRUE,IF('prijem -inna mena'!$F$91&gt;0,0.00025*N171*-1,0),0))</f>
        <v>0</v>
      </c>
    </row>
    <row r="173" spans="1:18" x14ac:dyDescent="0.2">
      <c r="A173" s="89">
        <v>157</v>
      </c>
      <c r="B173" s="237" t="e">
        <f t="shared" si="24"/>
        <v>#NUM!</v>
      </c>
      <c r="C173" s="142" t="e">
        <f t="shared" si="20"/>
        <v>#NUM!</v>
      </c>
      <c r="D173" s="142" t="e">
        <f t="shared" si="25"/>
        <v>#NUM!</v>
      </c>
      <c r="E173" s="142" t="e">
        <f t="shared" si="26"/>
        <v>#NUM!</v>
      </c>
      <c r="F173" s="142" t="e">
        <f t="shared" si="21"/>
        <v>#NUM!</v>
      </c>
      <c r="G173" s="184">
        <f>IF('prijem -inna mena'!$I$90=TRUE,IF($C$11&gt;0,0.00025*C172,0),IF('prijem -inna mena'!$I$91=TRUE,IF('prijem -inna mena'!$F$91&gt;0,0.00025*C172,0),0))</f>
        <v>0</v>
      </c>
      <c r="L173" s="89">
        <v>157</v>
      </c>
      <c r="M173" s="237" t="e">
        <f t="shared" si="27"/>
        <v>#DIV/0!</v>
      </c>
      <c r="N173" s="142" t="e">
        <f t="shared" si="22"/>
        <v>#DIV/0!</v>
      </c>
      <c r="O173" s="142" t="e">
        <f t="shared" si="23"/>
        <v>#DIV/0!</v>
      </c>
      <c r="P173" s="142" t="e">
        <f t="shared" si="28"/>
        <v>#DIV/0!</v>
      </c>
      <c r="Q173" s="142" t="e">
        <f t="shared" si="29"/>
        <v>#DIV/0!</v>
      </c>
      <c r="R173" s="184">
        <f>IF('prijem -inna mena'!$I$90=TRUE,IF($C$11&gt;0,0.00025*N172,0),IF('prijem -inna mena'!$I$91=TRUE,IF('prijem -inna mena'!$F$91&gt;0,0.00025*N172*-1,0),0))</f>
        <v>0</v>
      </c>
    </row>
    <row r="174" spans="1:18" x14ac:dyDescent="0.2">
      <c r="A174" s="89">
        <v>158</v>
      </c>
      <c r="B174" s="237" t="e">
        <f t="shared" si="24"/>
        <v>#NUM!</v>
      </c>
      <c r="C174" s="142" t="e">
        <f t="shared" si="20"/>
        <v>#NUM!</v>
      </c>
      <c r="D174" s="142" t="e">
        <f t="shared" si="25"/>
        <v>#NUM!</v>
      </c>
      <c r="E174" s="142" t="e">
        <f t="shared" si="26"/>
        <v>#NUM!</v>
      </c>
      <c r="F174" s="142" t="e">
        <f t="shared" si="21"/>
        <v>#NUM!</v>
      </c>
      <c r="G174" s="184">
        <f>IF('prijem -inna mena'!$I$90=TRUE,IF($C$11&gt;0,0.00025*C173,0),IF('prijem -inna mena'!$I$91=TRUE,IF('prijem -inna mena'!$F$91&gt;0,0.00025*C173,0),0))</f>
        <v>0</v>
      </c>
      <c r="L174" s="89">
        <v>158</v>
      </c>
      <c r="M174" s="237" t="e">
        <f t="shared" si="27"/>
        <v>#DIV/0!</v>
      </c>
      <c r="N174" s="142" t="e">
        <f t="shared" si="22"/>
        <v>#DIV/0!</v>
      </c>
      <c r="O174" s="142" t="e">
        <f t="shared" si="23"/>
        <v>#DIV/0!</v>
      </c>
      <c r="P174" s="142" t="e">
        <f t="shared" si="28"/>
        <v>#DIV/0!</v>
      </c>
      <c r="Q174" s="142" t="e">
        <f t="shared" si="29"/>
        <v>#DIV/0!</v>
      </c>
      <c r="R174" s="184">
        <f>IF('prijem -inna mena'!$I$90=TRUE,IF($C$11&gt;0,0.00025*N173,0),IF('prijem -inna mena'!$I$91=TRUE,IF('prijem -inna mena'!$F$91&gt;0,0.00025*N173*-1,0),0))</f>
        <v>0</v>
      </c>
    </row>
    <row r="175" spans="1:18" x14ac:dyDescent="0.2">
      <c r="A175" s="89">
        <v>159</v>
      </c>
      <c r="B175" s="237" t="e">
        <f t="shared" si="24"/>
        <v>#NUM!</v>
      </c>
      <c r="C175" s="142" t="e">
        <f t="shared" si="20"/>
        <v>#NUM!</v>
      </c>
      <c r="D175" s="142" t="e">
        <f t="shared" si="25"/>
        <v>#NUM!</v>
      </c>
      <c r="E175" s="142" t="e">
        <f t="shared" si="26"/>
        <v>#NUM!</v>
      </c>
      <c r="F175" s="142" t="e">
        <f t="shared" si="21"/>
        <v>#NUM!</v>
      </c>
      <c r="G175" s="184">
        <f>IF('prijem -inna mena'!$I$90=TRUE,IF($C$11&gt;0,0.00025*C174,0),IF('prijem -inna mena'!$I$91=TRUE,IF('prijem -inna mena'!$F$91&gt;0,0.00025*C174,0),0))</f>
        <v>0</v>
      </c>
      <c r="L175" s="89">
        <v>159</v>
      </c>
      <c r="M175" s="237" t="e">
        <f t="shared" si="27"/>
        <v>#DIV/0!</v>
      </c>
      <c r="N175" s="142" t="e">
        <f t="shared" si="22"/>
        <v>#DIV/0!</v>
      </c>
      <c r="O175" s="142" t="e">
        <f t="shared" si="23"/>
        <v>#DIV/0!</v>
      </c>
      <c r="P175" s="142" t="e">
        <f t="shared" si="28"/>
        <v>#DIV/0!</v>
      </c>
      <c r="Q175" s="142" t="e">
        <f t="shared" si="29"/>
        <v>#DIV/0!</v>
      </c>
      <c r="R175" s="184">
        <f>IF('prijem -inna mena'!$I$90=TRUE,IF($C$11&gt;0,0.00025*N174,0),IF('prijem -inna mena'!$I$91=TRUE,IF('prijem -inna mena'!$F$91&gt;0,0.00025*N174*-1,0),0))</f>
        <v>0</v>
      </c>
    </row>
    <row r="176" spans="1:18" x14ac:dyDescent="0.2">
      <c r="A176" s="89">
        <v>160</v>
      </c>
      <c r="B176" s="237" t="e">
        <f t="shared" si="24"/>
        <v>#NUM!</v>
      </c>
      <c r="C176" s="142" t="e">
        <f t="shared" si="20"/>
        <v>#NUM!</v>
      </c>
      <c r="D176" s="142" t="e">
        <f t="shared" si="25"/>
        <v>#NUM!</v>
      </c>
      <c r="E176" s="142" t="e">
        <f t="shared" si="26"/>
        <v>#NUM!</v>
      </c>
      <c r="F176" s="142" t="e">
        <f t="shared" si="21"/>
        <v>#NUM!</v>
      </c>
      <c r="G176" s="184">
        <f>IF('prijem -inna mena'!$I$90=TRUE,IF($C$11&gt;0,0.00025*C175,0),IF('prijem -inna mena'!$I$91=TRUE,IF('prijem -inna mena'!$F$91&gt;0,0.00025*C175,0),0))</f>
        <v>0</v>
      </c>
      <c r="L176" s="89">
        <v>160</v>
      </c>
      <c r="M176" s="237" t="e">
        <f t="shared" si="27"/>
        <v>#DIV/0!</v>
      </c>
      <c r="N176" s="142" t="e">
        <f t="shared" si="22"/>
        <v>#DIV/0!</v>
      </c>
      <c r="O176" s="142" t="e">
        <f t="shared" si="23"/>
        <v>#DIV/0!</v>
      </c>
      <c r="P176" s="142" t="e">
        <f t="shared" si="28"/>
        <v>#DIV/0!</v>
      </c>
      <c r="Q176" s="142" t="e">
        <f t="shared" si="29"/>
        <v>#DIV/0!</v>
      </c>
      <c r="R176" s="184">
        <f>IF('prijem -inna mena'!$I$90=TRUE,IF($C$11&gt;0,0.00025*N175,0),IF('prijem -inna mena'!$I$91=TRUE,IF('prijem -inna mena'!$F$91&gt;0,0.00025*N175*-1,0),0))</f>
        <v>0</v>
      </c>
    </row>
    <row r="177" spans="1:18" x14ac:dyDescent="0.2">
      <c r="A177" s="89">
        <v>161</v>
      </c>
      <c r="B177" s="237" t="e">
        <f t="shared" si="24"/>
        <v>#NUM!</v>
      </c>
      <c r="C177" s="142" t="e">
        <f t="shared" si="20"/>
        <v>#NUM!</v>
      </c>
      <c r="D177" s="142" t="e">
        <f t="shared" si="25"/>
        <v>#NUM!</v>
      </c>
      <c r="E177" s="142" t="e">
        <f t="shared" si="26"/>
        <v>#NUM!</v>
      </c>
      <c r="F177" s="142" t="e">
        <f t="shared" si="21"/>
        <v>#NUM!</v>
      </c>
      <c r="G177" s="184">
        <f>IF('prijem -inna mena'!$I$90=TRUE,IF($C$11&gt;0,0.00025*C176,0),IF('prijem -inna mena'!$I$91=TRUE,IF('prijem -inna mena'!$F$91&gt;0,0.00025*C176,0),0))</f>
        <v>0</v>
      </c>
      <c r="L177" s="89">
        <v>161</v>
      </c>
      <c r="M177" s="237" t="e">
        <f t="shared" si="27"/>
        <v>#DIV/0!</v>
      </c>
      <c r="N177" s="142" t="e">
        <f t="shared" si="22"/>
        <v>#DIV/0!</v>
      </c>
      <c r="O177" s="142" t="e">
        <f t="shared" si="23"/>
        <v>#DIV/0!</v>
      </c>
      <c r="P177" s="142" t="e">
        <f t="shared" si="28"/>
        <v>#DIV/0!</v>
      </c>
      <c r="Q177" s="142" t="e">
        <f t="shared" si="29"/>
        <v>#DIV/0!</v>
      </c>
      <c r="R177" s="184">
        <f>IF('prijem -inna mena'!$I$90=TRUE,IF($C$11&gt;0,0.00025*N176,0),IF('prijem -inna mena'!$I$91=TRUE,IF('prijem -inna mena'!$F$91&gt;0,0.00025*N176*-1,0),0))</f>
        <v>0</v>
      </c>
    </row>
    <row r="178" spans="1:18" x14ac:dyDescent="0.2">
      <c r="A178" s="89">
        <v>162</v>
      </c>
      <c r="B178" s="237" t="e">
        <f t="shared" si="24"/>
        <v>#NUM!</v>
      </c>
      <c r="C178" s="142" t="e">
        <f t="shared" si="20"/>
        <v>#NUM!</v>
      </c>
      <c r="D178" s="142" t="e">
        <f t="shared" si="25"/>
        <v>#NUM!</v>
      </c>
      <c r="E178" s="142" t="e">
        <f t="shared" si="26"/>
        <v>#NUM!</v>
      </c>
      <c r="F178" s="142" t="e">
        <f t="shared" si="21"/>
        <v>#NUM!</v>
      </c>
      <c r="G178" s="184">
        <f>IF('prijem -inna mena'!$I$90=TRUE,IF($C$11&gt;0,0.00025*C177,0),IF('prijem -inna mena'!$I$91=TRUE,IF('prijem -inna mena'!$F$91&gt;0,0.00025*C177,0),0))</f>
        <v>0</v>
      </c>
      <c r="L178" s="89">
        <v>162</v>
      </c>
      <c r="M178" s="237" t="e">
        <f t="shared" si="27"/>
        <v>#DIV/0!</v>
      </c>
      <c r="N178" s="142" t="e">
        <f t="shared" si="22"/>
        <v>#DIV/0!</v>
      </c>
      <c r="O178" s="142" t="e">
        <f t="shared" si="23"/>
        <v>#DIV/0!</v>
      </c>
      <c r="P178" s="142" t="e">
        <f t="shared" si="28"/>
        <v>#DIV/0!</v>
      </c>
      <c r="Q178" s="142" t="e">
        <f t="shared" si="29"/>
        <v>#DIV/0!</v>
      </c>
      <c r="R178" s="184">
        <f>IF('prijem -inna mena'!$I$90=TRUE,IF($C$11&gt;0,0.00025*N177,0),IF('prijem -inna mena'!$I$91=TRUE,IF('prijem -inna mena'!$F$91&gt;0,0.00025*N177*-1,0),0))</f>
        <v>0</v>
      </c>
    </row>
    <row r="179" spans="1:18" x14ac:dyDescent="0.2">
      <c r="A179" s="89">
        <v>163</v>
      </c>
      <c r="B179" s="237" t="e">
        <f t="shared" si="24"/>
        <v>#NUM!</v>
      </c>
      <c r="C179" s="142" t="e">
        <f t="shared" si="20"/>
        <v>#NUM!</v>
      </c>
      <c r="D179" s="142" t="e">
        <f t="shared" si="25"/>
        <v>#NUM!</v>
      </c>
      <c r="E179" s="142" t="e">
        <f t="shared" si="26"/>
        <v>#NUM!</v>
      </c>
      <c r="F179" s="142" t="e">
        <f t="shared" si="21"/>
        <v>#NUM!</v>
      </c>
      <c r="G179" s="184">
        <f>IF('prijem -inna mena'!$I$90=TRUE,IF($C$11&gt;0,0.00025*C178,0),IF('prijem -inna mena'!$I$91=TRUE,IF('prijem -inna mena'!$F$91&gt;0,0.00025*C178,0),0))</f>
        <v>0</v>
      </c>
      <c r="L179" s="89">
        <v>163</v>
      </c>
      <c r="M179" s="237" t="e">
        <f t="shared" si="27"/>
        <v>#DIV/0!</v>
      </c>
      <c r="N179" s="142" t="e">
        <f t="shared" si="22"/>
        <v>#DIV/0!</v>
      </c>
      <c r="O179" s="142" t="e">
        <f t="shared" si="23"/>
        <v>#DIV/0!</v>
      </c>
      <c r="P179" s="142" t="e">
        <f t="shared" si="28"/>
        <v>#DIV/0!</v>
      </c>
      <c r="Q179" s="142" t="e">
        <f t="shared" si="29"/>
        <v>#DIV/0!</v>
      </c>
      <c r="R179" s="184">
        <f>IF('prijem -inna mena'!$I$90=TRUE,IF($C$11&gt;0,0.00025*N178,0),IF('prijem -inna mena'!$I$91=TRUE,IF('prijem -inna mena'!$F$91&gt;0,0.00025*N178*-1,0),0))</f>
        <v>0</v>
      </c>
    </row>
    <row r="180" spans="1:18" x14ac:dyDescent="0.2">
      <c r="A180" s="89">
        <v>164</v>
      </c>
      <c r="B180" s="237" t="e">
        <f t="shared" si="24"/>
        <v>#NUM!</v>
      </c>
      <c r="C180" s="142" t="e">
        <f t="shared" si="20"/>
        <v>#NUM!</v>
      </c>
      <c r="D180" s="142" t="e">
        <f t="shared" si="25"/>
        <v>#NUM!</v>
      </c>
      <c r="E180" s="142" t="e">
        <f t="shared" si="26"/>
        <v>#NUM!</v>
      </c>
      <c r="F180" s="142" t="e">
        <f t="shared" si="21"/>
        <v>#NUM!</v>
      </c>
      <c r="G180" s="184">
        <f>IF('prijem -inna mena'!$I$90=TRUE,IF($C$11&gt;0,0.00025*C179,0),IF('prijem -inna mena'!$I$91=TRUE,IF('prijem -inna mena'!$F$91&gt;0,0.00025*C179,0),0))</f>
        <v>0</v>
      </c>
      <c r="L180" s="89">
        <v>164</v>
      </c>
      <c r="M180" s="237" t="e">
        <f t="shared" si="27"/>
        <v>#DIV/0!</v>
      </c>
      <c r="N180" s="142" t="e">
        <f t="shared" si="22"/>
        <v>#DIV/0!</v>
      </c>
      <c r="O180" s="142" t="e">
        <f t="shared" si="23"/>
        <v>#DIV/0!</v>
      </c>
      <c r="P180" s="142" t="e">
        <f t="shared" si="28"/>
        <v>#DIV/0!</v>
      </c>
      <c r="Q180" s="142" t="e">
        <f t="shared" si="29"/>
        <v>#DIV/0!</v>
      </c>
      <c r="R180" s="184">
        <f>IF('prijem -inna mena'!$I$90=TRUE,IF($C$11&gt;0,0.00025*N179,0),IF('prijem -inna mena'!$I$91=TRUE,IF('prijem -inna mena'!$F$91&gt;0,0.00025*N179*-1,0),0))</f>
        <v>0</v>
      </c>
    </row>
    <row r="181" spans="1:18" x14ac:dyDescent="0.2">
      <c r="A181" s="89">
        <v>165</v>
      </c>
      <c r="B181" s="237" t="e">
        <f t="shared" si="24"/>
        <v>#NUM!</v>
      </c>
      <c r="C181" s="142" t="e">
        <f t="shared" si="20"/>
        <v>#NUM!</v>
      </c>
      <c r="D181" s="142" t="e">
        <f t="shared" si="25"/>
        <v>#NUM!</v>
      </c>
      <c r="E181" s="142" t="e">
        <f t="shared" si="26"/>
        <v>#NUM!</v>
      </c>
      <c r="F181" s="142" t="e">
        <f t="shared" si="21"/>
        <v>#NUM!</v>
      </c>
      <c r="G181" s="184">
        <f>IF('prijem -inna mena'!$I$90=TRUE,IF($C$11&gt;0,0.00025*C180,0),IF('prijem -inna mena'!$I$91=TRUE,IF('prijem -inna mena'!$F$91&gt;0,0.00025*C180,0),0))</f>
        <v>0</v>
      </c>
      <c r="L181" s="89">
        <v>165</v>
      </c>
      <c r="M181" s="237" t="e">
        <f t="shared" si="27"/>
        <v>#DIV/0!</v>
      </c>
      <c r="N181" s="142" t="e">
        <f t="shared" si="22"/>
        <v>#DIV/0!</v>
      </c>
      <c r="O181" s="142" t="e">
        <f t="shared" si="23"/>
        <v>#DIV/0!</v>
      </c>
      <c r="P181" s="142" t="e">
        <f t="shared" si="28"/>
        <v>#DIV/0!</v>
      </c>
      <c r="Q181" s="142" t="e">
        <f t="shared" si="29"/>
        <v>#DIV/0!</v>
      </c>
      <c r="R181" s="184">
        <f>IF('prijem -inna mena'!$I$90=TRUE,IF($C$11&gt;0,0.00025*N180,0),IF('prijem -inna mena'!$I$91=TRUE,IF('prijem -inna mena'!$F$91&gt;0,0.00025*N180*-1,0),0))</f>
        <v>0</v>
      </c>
    </row>
    <row r="182" spans="1:18" x14ac:dyDescent="0.2">
      <c r="A182" s="89">
        <v>166</v>
      </c>
      <c r="B182" s="237" t="e">
        <f t="shared" si="24"/>
        <v>#NUM!</v>
      </c>
      <c r="C182" s="142" t="e">
        <f t="shared" si="20"/>
        <v>#NUM!</v>
      </c>
      <c r="D182" s="142" t="e">
        <f t="shared" si="25"/>
        <v>#NUM!</v>
      </c>
      <c r="E182" s="142" t="e">
        <f t="shared" si="26"/>
        <v>#NUM!</v>
      </c>
      <c r="F182" s="142" t="e">
        <f t="shared" si="21"/>
        <v>#NUM!</v>
      </c>
      <c r="G182" s="184">
        <f>IF('prijem -inna mena'!$I$90=TRUE,IF($C$11&gt;0,0.00025*C181,0),IF('prijem -inna mena'!$I$91=TRUE,IF('prijem -inna mena'!$F$91&gt;0,0.00025*C181,0),0))</f>
        <v>0</v>
      </c>
      <c r="L182" s="89">
        <v>166</v>
      </c>
      <c r="M182" s="237" t="e">
        <f t="shared" si="27"/>
        <v>#DIV/0!</v>
      </c>
      <c r="N182" s="142" t="e">
        <f t="shared" si="22"/>
        <v>#DIV/0!</v>
      </c>
      <c r="O182" s="142" t="e">
        <f t="shared" si="23"/>
        <v>#DIV/0!</v>
      </c>
      <c r="P182" s="142" t="e">
        <f t="shared" si="28"/>
        <v>#DIV/0!</v>
      </c>
      <c r="Q182" s="142" t="e">
        <f t="shared" si="29"/>
        <v>#DIV/0!</v>
      </c>
      <c r="R182" s="184">
        <f>IF('prijem -inna mena'!$I$90=TRUE,IF($C$11&gt;0,0.00025*N181,0),IF('prijem -inna mena'!$I$91=TRUE,IF('prijem -inna mena'!$F$91&gt;0,0.00025*N181*-1,0),0))</f>
        <v>0</v>
      </c>
    </row>
    <row r="183" spans="1:18" x14ac:dyDescent="0.2">
      <c r="A183" s="89">
        <v>167</v>
      </c>
      <c r="B183" s="237" t="e">
        <f t="shared" si="24"/>
        <v>#NUM!</v>
      </c>
      <c r="C183" s="142" t="e">
        <f t="shared" si="20"/>
        <v>#NUM!</v>
      </c>
      <c r="D183" s="142" t="e">
        <f t="shared" si="25"/>
        <v>#NUM!</v>
      </c>
      <c r="E183" s="142" t="e">
        <f t="shared" si="26"/>
        <v>#NUM!</v>
      </c>
      <c r="F183" s="142" t="e">
        <f t="shared" si="21"/>
        <v>#NUM!</v>
      </c>
      <c r="G183" s="184">
        <f>IF('prijem -inna mena'!$I$90=TRUE,IF($C$11&gt;0,0.00025*C182,0),IF('prijem -inna mena'!$I$91=TRUE,IF('prijem -inna mena'!$F$91&gt;0,0.00025*C182,0),0))</f>
        <v>0</v>
      </c>
      <c r="L183" s="89">
        <v>167</v>
      </c>
      <c r="M183" s="237" t="e">
        <f t="shared" si="27"/>
        <v>#DIV/0!</v>
      </c>
      <c r="N183" s="142" t="e">
        <f t="shared" si="22"/>
        <v>#DIV/0!</v>
      </c>
      <c r="O183" s="142" t="e">
        <f t="shared" si="23"/>
        <v>#DIV/0!</v>
      </c>
      <c r="P183" s="142" t="e">
        <f t="shared" si="28"/>
        <v>#DIV/0!</v>
      </c>
      <c r="Q183" s="142" t="e">
        <f t="shared" si="29"/>
        <v>#DIV/0!</v>
      </c>
      <c r="R183" s="184">
        <f>IF('prijem -inna mena'!$I$90=TRUE,IF($C$11&gt;0,0.00025*N182,0),IF('prijem -inna mena'!$I$91=TRUE,IF('prijem -inna mena'!$F$91&gt;0,0.00025*N182*-1,0),0))</f>
        <v>0</v>
      </c>
    </row>
    <row r="184" spans="1:18" x14ac:dyDescent="0.2">
      <c r="A184" s="89">
        <v>168</v>
      </c>
      <c r="B184" s="237" t="e">
        <f t="shared" si="24"/>
        <v>#NUM!</v>
      </c>
      <c r="C184" s="142" t="e">
        <f t="shared" si="20"/>
        <v>#NUM!</v>
      </c>
      <c r="D184" s="142" t="e">
        <f t="shared" si="25"/>
        <v>#NUM!</v>
      </c>
      <c r="E184" s="142" t="e">
        <f t="shared" si="26"/>
        <v>#NUM!</v>
      </c>
      <c r="F184" s="142" t="e">
        <f t="shared" si="21"/>
        <v>#NUM!</v>
      </c>
      <c r="G184" s="184">
        <f>IF('prijem -inna mena'!$I$90=TRUE,IF($C$11&gt;0,0.00025*C183,0),IF('prijem -inna mena'!$I$91=TRUE,IF('prijem -inna mena'!$F$91&gt;0,0.00025*C183,0),0))</f>
        <v>0</v>
      </c>
      <c r="L184" s="89">
        <v>168</v>
      </c>
      <c r="M184" s="237" t="e">
        <f t="shared" si="27"/>
        <v>#DIV/0!</v>
      </c>
      <c r="N184" s="142" t="e">
        <f t="shared" si="22"/>
        <v>#DIV/0!</v>
      </c>
      <c r="O184" s="142" t="e">
        <f t="shared" si="23"/>
        <v>#DIV/0!</v>
      </c>
      <c r="P184" s="142" t="e">
        <f t="shared" si="28"/>
        <v>#DIV/0!</v>
      </c>
      <c r="Q184" s="142" t="e">
        <f t="shared" si="29"/>
        <v>#DIV/0!</v>
      </c>
      <c r="R184" s="184">
        <f>IF('prijem -inna mena'!$I$90=TRUE,IF($C$11&gt;0,0.00025*N183,0),IF('prijem -inna mena'!$I$91=TRUE,IF('prijem -inna mena'!$F$91&gt;0,0.00025*N183*-1,0),0))</f>
        <v>0</v>
      </c>
    </row>
    <row r="185" spans="1:18" x14ac:dyDescent="0.2">
      <c r="A185" s="89">
        <v>169</v>
      </c>
      <c r="B185" s="237" t="e">
        <f t="shared" si="24"/>
        <v>#NUM!</v>
      </c>
      <c r="C185" s="142" t="e">
        <f t="shared" si="20"/>
        <v>#NUM!</v>
      </c>
      <c r="D185" s="142" t="e">
        <f t="shared" si="25"/>
        <v>#NUM!</v>
      </c>
      <c r="E185" s="142" t="e">
        <f t="shared" si="26"/>
        <v>#NUM!</v>
      </c>
      <c r="F185" s="142" t="e">
        <f t="shared" si="21"/>
        <v>#NUM!</v>
      </c>
      <c r="G185" s="184">
        <f>IF('prijem -inna mena'!$I$90=TRUE,IF($C$11&gt;0,0.00025*C184,0),IF('prijem -inna mena'!$I$91=TRUE,IF('prijem -inna mena'!$F$91&gt;0,0.00025*C184,0),0))</f>
        <v>0</v>
      </c>
      <c r="L185" s="89">
        <v>169</v>
      </c>
      <c r="M185" s="237" t="e">
        <f t="shared" si="27"/>
        <v>#DIV/0!</v>
      </c>
      <c r="N185" s="142" t="e">
        <f t="shared" si="22"/>
        <v>#DIV/0!</v>
      </c>
      <c r="O185" s="142" t="e">
        <f t="shared" si="23"/>
        <v>#DIV/0!</v>
      </c>
      <c r="P185" s="142" t="e">
        <f t="shared" si="28"/>
        <v>#DIV/0!</v>
      </c>
      <c r="Q185" s="142" t="e">
        <f t="shared" si="29"/>
        <v>#DIV/0!</v>
      </c>
      <c r="R185" s="184">
        <f>IF('prijem -inna mena'!$I$90=TRUE,IF($C$11&gt;0,0.00025*N184,0),IF('prijem -inna mena'!$I$91=TRUE,IF('prijem -inna mena'!$F$91&gt;0,0.00025*N184*-1,0),0))</f>
        <v>0</v>
      </c>
    </row>
    <row r="186" spans="1:18" x14ac:dyDescent="0.2">
      <c r="A186" s="89">
        <v>170</v>
      </c>
      <c r="B186" s="237" t="e">
        <f t="shared" si="24"/>
        <v>#NUM!</v>
      </c>
      <c r="C186" s="142" t="e">
        <f t="shared" si="20"/>
        <v>#NUM!</v>
      </c>
      <c r="D186" s="142" t="e">
        <f t="shared" si="25"/>
        <v>#NUM!</v>
      </c>
      <c r="E186" s="142" t="e">
        <f t="shared" si="26"/>
        <v>#NUM!</v>
      </c>
      <c r="F186" s="142" t="e">
        <f t="shared" si="21"/>
        <v>#NUM!</v>
      </c>
      <c r="G186" s="184">
        <f>IF('prijem -inna mena'!$I$90=TRUE,IF($C$11&gt;0,0.00025*C185,0),IF('prijem -inna mena'!$I$91=TRUE,IF('prijem -inna mena'!$F$91&gt;0,0.00025*C185,0),0))</f>
        <v>0</v>
      </c>
      <c r="L186" s="89">
        <v>170</v>
      </c>
      <c r="M186" s="237" t="e">
        <f t="shared" si="27"/>
        <v>#DIV/0!</v>
      </c>
      <c r="N186" s="142" t="e">
        <f t="shared" si="22"/>
        <v>#DIV/0!</v>
      </c>
      <c r="O186" s="142" t="e">
        <f t="shared" si="23"/>
        <v>#DIV/0!</v>
      </c>
      <c r="P186" s="142" t="e">
        <f t="shared" si="28"/>
        <v>#DIV/0!</v>
      </c>
      <c r="Q186" s="142" t="e">
        <f t="shared" si="29"/>
        <v>#DIV/0!</v>
      </c>
      <c r="R186" s="184">
        <f>IF('prijem -inna mena'!$I$90=TRUE,IF($C$11&gt;0,0.00025*N185,0),IF('prijem -inna mena'!$I$91=TRUE,IF('prijem -inna mena'!$F$91&gt;0,0.00025*N185*-1,0),0))</f>
        <v>0</v>
      </c>
    </row>
    <row r="187" spans="1:18" x14ac:dyDescent="0.2">
      <c r="A187" s="89">
        <v>171</v>
      </c>
      <c r="B187" s="237" t="e">
        <f t="shared" si="24"/>
        <v>#NUM!</v>
      </c>
      <c r="C187" s="142" t="e">
        <f t="shared" si="20"/>
        <v>#NUM!</v>
      </c>
      <c r="D187" s="142" t="e">
        <f t="shared" si="25"/>
        <v>#NUM!</v>
      </c>
      <c r="E187" s="142" t="e">
        <f t="shared" si="26"/>
        <v>#NUM!</v>
      </c>
      <c r="F187" s="142" t="e">
        <f t="shared" si="21"/>
        <v>#NUM!</v>
      </c>
      <c r="G187" s="184">
        <f>IF('prijem -inna mena'!$I$90=TRUE,IF($C$11&gt;0,0.00025*C186,0),IF('prijem -inna mena'!$I$91=TRUE,IF('prijem -inna mena'!$F$91&gt;0,0.00025*C186,0),0))</f>
        <v>0</v>
      </c>
      <c r="L187" s="89">
        <v>171</v>
      </c>
      <c r="M187" s="237" t="e">
        <f t="shared" si="27"/>
        <v>#DIV/0!</v>
      </c>
      <c r="N187" s="142" t="e">
        <f t="shared" si="22"/>
        <v>#DIV/0!</v>
      </c>
      <c r="O187" s="142" t="e">
        <f t="shared" si="23"/>
        <v>#DIV/0!</v>
      </c>
      <c r="P187" s="142" t="e">
        <f t="shared" si="28"/>
        <v>#DIV/0!</v>
      </c>
      <c r="Q187" s="142" t="e">
        <f t="shared" si="29"/>
        <v>#DIV/0!</v>
      </c>
      <c r="R187" s="184">
        <f>IF('prijem -inna mena'!$I$90=TRUE,IF($C$11&gt;0,0.00025*N186,0),IF('prijem -inna mena'!$I$91=TRUE,IF('prijem -inna mena'!$F$91&gt;0,0.00025*N186*-1,0),0))</f>
        <v>0</v>
      </c>
    </row>
    <row r="188" spans="1:18" x14ac:dyDescent="0.2">
      <c r="A188" s="89">
        <v>172</v>
      </c>
      <c r="B188" s="237" t="e">
        <f t="shared" si="24"/>
        <v>#NUM!</v>
      </c>
      <c r="C188" s="142" t="e">
        <f t="shared" si="20"/>
        <v>#NUM!</v>
      </c>
      <c r="D188" s="142" t="e">
        <f t="shared" si="25"/>
        <v>#NUM!</v>
      </c>
      <c r="E188" s="142" t="e">
        <f t="shared" si="26"/>
        <v>#NUM!</v>
      </c>
      <c r="F188" s="142" t="e">
        <f t="shared" si="21"/>
        <v>#NUM!</v>
      </c>
      <c r="G188" s="184">
        <f>IF('prijem -inna mena'!$I$90=TRUE,IF($C$11&gt;0,0.00025*C187,0),IF('prijem -inna mena'!$I$91=TRUE,IF('prijem -inna mena'!$F$91&gt;0,0.00025*C187,0),0))</f>
        <v>0</v>
      </c>
      <c r="L188" s="89">
        <v>172</v>
      </c>
      <c r="M188" s="237" t="e">
        <f t="shared" si="27"/>
        <v>#DIV/0!</v>
      </c>
      <c r="N188" s="142" t="e">
        <f t="shared" si="22"/>
        <v>#DIV/0!</v>
      </c>
      <c r="O188" s="142" t="e">
        <f t="shared" si="23"/>
        <v>#DIV/0!</v>
      </c>
      <c r="P188" s="142" t="e">
        <f t="shared" si="28"/>
        <v>#DIV/0!</v>
      </c>
      <c r="Q188" s="142" t="e">
        <f t="shared" si="29"/>
        <v>#DIV/0!</v>
      </c>
      <c r="R188" s="184">
        <f>IF('prijem -inna mena'!$I$90=TRUE,IF($C$11&gt;0,0.00025*N187,0),IF('prijem -inna mena'!$I$91=TRUE,IF('prijem -inna mena'!$F$91&gt;0,0.00025*N187*-1,0),0))</f>
        <v>0</v>
      </c>
    </row>
    <row r="189" spans="1:18" x14ac:dyDescent="0.2">
      <c r="A189" s="89">
        <v>173</v>
      </c>
      <c r="B189" s="237" t="e">
        <f t="shared" si="24"/>
        <v>#NUM!</v>
      </c>
      <c r="C189" s="142" t="e">
        <f t="shared" si="20"/>
        <v>#NUM!</v>
      </c>
      <c r="D189" s="142" t="e">
        <f t="shared" si="25"/>
        <v>#NUM!</v>
      </c>
      <c r="E189" s="142" t="e">
        <f t="shared" si="26"/>
        <v>#NUM!</v>
      </c>
      <c r="F189" s="142" t="e">
        <f t="shared" si="21"/>
        <v>#NUM!</v>
      </c>
      <c r="G189" s="184">
        <f>IF('prijem -inna mena'!$I$90=TRUE,IF($C$11&gt;0,0.00025*C188,0),IF('prijem -inna mena'!$I$91=TRUE,IF('prijem -inna mena'!$F$91&gt;0,0.00025*C188,0),0))</f>
        <v>0</v>
      </c>
      <c r="L189" s="89">
        <v>173</v>
      </c>
      <c r="M189" s="237" t="e">
        <f t="shared" si="27"/>
        <v>#DIV/0!</v>
      </c>
      <c r="N189" s="142" t="e">
        <f t="shared" si="22"/>
        <v>#DIV/0!</v>
      </c>
      <c r="O189" s="142" t="e">
        <f t="shared" si="23"/>
        <v>#DIV/0!</v>
      </c>
      <c r="P189" s="142" t="e">
        <f t="shared" si="28"/>
        <v>#DIV/0!</v>
      </c>
      <c r="Q189" s="142" t="e">
        <f t="shared" si="29"/>
        <v>#DIV/0!</v>
      </c>
      <c r="R189" s="184">
        <f>IF('prijem -inna mena'!$I$90=TRUE,IF($C$11&gt;0,0.00025*N188,0),IF('prijem -inna mena'!$I$91=TRUE,IF('prijem -inna mena'!$F$91&gt;0,0.00025*N188*-1,0),0))</f>
        <v>0</v>
      </c>
    </row>
    <row r="190" spans="1:18" x14ac:dyDescent="0.2">
      <c r="A190" s="89">
        <v>174</v>
      </c>
      <c r="B190" s="237" t="e">
        <f t="shared" si="24"/>
        <v>#NUM!</v>
      </c>
      <c r="C190" s="142" t="e">
        <f t="shared" si="20"/>
        <v>#NUM!</v>
      </c>
      <c r="D190" s="142" t="e">
        <f t="shared" si="25"/>
        <v>#NUM!</v>
      </c>
      <c r="E190" s="142" t="e">
        <f t="shared" si="26"/>
        <v>#NUM!</v>
      </c>
      <c r="F190" s="142" t="e">
        <f t="shared" si="21"/>
        <v>#NUM!</v>
      </c>
      <c r="G190" s="184">
        <f>IF('prijem -inna mena'!$I$90=TRUE,IF($C$11&gt;0,0.00025*C189,0),IF('prijem -inna mena'!$I$91=TRUE,IF('prijem -inna mena'!$F$91&gt;0,0.00025*C189,0),0))</f>
        <v>0</v>
      </c>
      <c r="L190" s="89">
        <v>174</v>
      </c>
      <c r="M190" s="237" t="e">
        <f t="shared" si="27"/>
        <v>#DIV/0!</v>
      </c>
      <c r="N190" s="142" t="e">
        <f t="shared" si="22"/>
        <v>#DIV/0!</v>
      </c>
      <c r="O190" s="142" t="e">
        <f t="shared" si="23"/>
        <v>#DIV/0!</v>
      </c>
      <c r="P190" s="142" t="e">
        <f t="shared" si="28"/>
        <v>#DIV/0!</v>
      </c>
      <c r="Q190" s="142" t="e">
        <f t="shared" si="29"/>
        <v>#DIV/0!</v>
      </c>
      <c r="R190" s="184">
        <f>IF('prijem -inna mena'!$I$90=TRUE,IF($C$11&gt;0,0.00025*N189,0),IF('prijem -inna mena'!$I$91=TRUE,IF('prijem -inna mena'!$F$91&gt;0,0.00025*N189*-1,0),0))</f>
        <v>0</v>
      </c>
    </row>
    <row r="191" spans="1:18" x14ac:dyDescent="0.2">
      <c r="A191" s="89">
        <v>175</v>
      </c>
      <c r="B191" s="237" t="e">
        <f t="shared" si="24"/>
        <v>#NUM!</v>
      </c>
      <c r="C191" s="142" t="e">
        <f t="shared" si="20"/>
        <v>#NUM!</v>
      </c>
      <c r="D191" s="142" t="e">
        <f t="shared" si="25"/>
        <v>#NUM!</v>
      </c>
      <c r="E191" s="142" t="e">
        <f t="shared" si="26"/>
        <v>#NUM!</v>
      </c>
      <c r="F191" s="142" t="e">
        <f t="shared" si="21"/>
        <v>#NUM!</v>
      </c>
      <c r="G191" s="184">
        <f>IF('prijem -inna mena'!$I$90=TRUE,IF($C$11&gt;0,0.00025*C190,0),IF('prijem -inna mena'!$I$91=TRUE,IF('prijem -inna mena'!$F$91&gt;0,0.00025*C190,0),0))</f>
        <v>0</v>
      </c>
      <c r="L191" s="89">
        <v>175</v>
      </c>
      <c r="M191" s="237" t="e">
        <f t="shared" si="27"/>
        <v>#DIV/0!</v>
      </c>
      <c r="N191" s="142" t="e">
        <f t="shared" si="22"/>
        <v>#DIV/0!</v>
      </c>
      <c r="O191" s="142" t="e">
        <f t="shared" si="23"/>
        <v>#DIV/0!</v>
      </c>
      <c r="P191" s="142" t="e">
        <f t="shared" si="28"/>
        <v>#DIV/0!</v>
      </c>
      <c r="Q191" s="142" t="e">
        <f t="shared" si="29"/>
        <v>#DIV/0!</v>
      </c>
      <c r="R191" s="184">
        <f>IF('prijem -inna mena'!$I$90=TRUE,IF($C$11&gt;0,0.00025*N190,0),IF('prijem -inna mena'!$I$91=TRUE,IF('prijem -inna mena'!$F$91&gt;0,0.00025*N190*-1,0),0))</f>
        <v>0</v>
      </c>
    </row>
    <row r="192" spans="1:18" x14ac:dyDescent="0.2">
      <c r="A192" s="89">
        <v>176</v>
      </c>
      <c r="B192" s="237" t="e">
        <f t="shared" si="24"/>
        <v>#NUM!</v>
      </c>
      <c r="C192" s="142" t="e">
        <f t="shared" si="20"/>
        <v>#NUM!</v>
      </c>
      <c r="D192" s="142" t="e">
        <f t="shared" si="25"/>
        <v>#NUM!</v>
      </c>
      <c r="E192" s="142" t="e">
        <f t="shared" si="26"/>
        <v>#NUM!</v>
      </c>
      <c r="F192" s="142" t="e">
        <f t="shared" si="21"/>
        <v>#NUM!</v>
      </c>
      <c r="G192" s="184">
        <f>IF('prijem -inna mena'!$I$90=TRUE,IF($C$11&gt;0,0.00025*C191,0),IF('prijem -inna mena'!$I$91=TRUE,IF('prijem -inna mena'!$F$91&gt;0,0.00025*C191,0),0))</f>
        <v>0</v>
      </c>
      <c r="L192" s="89">
        <v>176</v>
      </c>
      <c r="M192" s="237" t="e">
        <f t="shared" si="27"/>
        <v>#DIV/0!</v>
      </c>
      <c r="N192" s="142" t="e">
        <f t="shared" si="22"/>
        <v>#DIV/0!</v>
      </c>
      <c r="O192" s="142" t="e">
        <f t="shared" si="23"/>
        <v>#DIV/0!</v>
      </c>
      <c r="P192" s="142" t="e">
        <f t="shared" si="28"/>
        <v>#DIV/0!</v>
      </c>
      <c r="Q192" s="142" t="e">
        <f t="shared" si="29"/>
        <v>#DIV/0!</v>
      </c>
      <c r="R192" s="184">
        <f>IF('prijem -inna mena'!$I$90=TRUE,IF($C$11&gt;0,0.00025*N191,0),IF('prijem -inna mena'!$I$91=TRUE,IF('prijem -inna mena'!$F$91&gt;0,0.00025*N191*-1,0),0))</f>
        <v>0</v>
      </c>
    </row>
    <row r="193" spans="1:18" x14ac:dyDescent="0.2">
      <c r="A193" s="89">
        <v>177</v>
      </c>
      <c r="B193" s="237" t="e">
        <f t="shared" si="24"/>
        <v>#NUM!</v>
      </c>
      <c r="C193" s="142" t="e">
        <f t="shared" si="20"/>
        <v>#NUM!</v>
      </c>
      <c r="D193" s="142" t="e">
        <f t="shared" si="25"/>
        <v>#NUM!</v>
      </c>
      <c r="E193" s="142" t="e">
        <f t="shared" si="26"/>
        <v>#NUM!</v>
      </c>
      <c r="F193" s="142" t="e">
        <f t="shared" si="21"/>
        <v>#NUM!</v>
      </c>
      <c r="G193" s="184">
        <f>IF('prijem -inna mena'!$I$90=TRUE,IF($C$11&gt;0,0.00025*C192,0),IF('prijem -inna mena'!$I$91=TRUE,IF('prijem -inna mena'!$F$91&gt;0,0.00025*C192,0),0))</f>
        <v>0</v>
      </c>
      <c r="L193" s="89">
        <v>177</v>
      </c>
      <c r="M193" s="237" t="e">
        <f t="shared" si="27"/>
        <v>#DIV/0!</v>
      </c>
      <c r="N193" s="142" t="e">
        <f t="shared" si="22"/>
        <v>#DIV/0!</v>
      </c>
      <c r="O193" s="142" t="e">
        <f t="shared" si="23"/>
        <v>#DIV/0!</v>
      </c>
      <c r="P193" s="142" t="e">
        <f t="shared" si="28"/>
        <v>#DIV/0!</v>
      </c>
      <c r="Q193" s="142" t="e">
        <f t="shared" si="29"/>
        <v>#DIV/0!</v>
      </c>
      <c r="R193" s="184">
        <f>IF('prijem -inna mena'!$I$90=TRUE,IF($C$11&gt;0,0.00025*N192,0),IF('prijem -inna mena'!$I$91=TRUE,IF('prijem -inna mena'!$F$91&gt;0,0.00025*N192*-1,0),0))</f>
        <v>0</v>
      </c>
    </row>
    <row r="194" spans="1:18" x14ac:dyDescent="0.2">
      <c r="A194" s="89">
        <v>178</v>
      </c>
      <c r="B194" s="237" t="e">
        <f t="shared" si="24"/>
        <v>#NUM!</v>
      </c>
      <c r="C194" s="142" t="e">
        <f t="shared" si="20"/>
        <v>#NUM!</v>
      </c>
      <c r="D194" s="142" t="e">
        <f t="shared" si="25"/>
        <v>#NUM!</v>
      </c>
      <c r="E194" s="142" t="e">
        <f t="shared" si="26"/>
        <v>#NUM!</v>
      </c>
      <c r="F194" s="142" t="e">
        <f t="shared" si="21"/>
        <v>#NUM!</v>
      </c>
      <c r="G194" s="184">
        <f>IF('prijem -inna mena'!$I$90=TRUE,IF($C$11&gt;0,0.00025*C193,0),IF('prijem -inna mena'!$I$91=TRUE,IF('prijem -inna mena'!$F$91&gt;0,0.00025*C193,0),0))</f>
        <v>0</v>
      </c>
      <c r="L194" s="89">
        <v>178</v>
      </c>
      <c r="M194" s="237" t="e">
        <f t="shared" si="27"/>
        <v>#DIV/0!</v>
      </c>
      <c r="N194" s="142" t="e">
        <f t="shared" si="22"/>
        <v>#DIV/0!</v>
      </c>
      <c r="O194" s="142" t="e">
        <f t="shared" si="23"/>
        <v>#DIV/0!</v>
      </c>
      <c r="P194" s="142" t="e">
        <f t="shared" si="28"/>
        <v>#DIV/0!</v>
      </c>
      <c r="Q194" s="142" t="e">
        <f t="shared" si="29"/>
        <v>#DIV/0!</v>
      </c>
      <c r="R194" s="184">
        <f>IF('prijem -inna mena'!$I$90=TRUE,IF($C$11&gt;0,0.00025*N193,0),IF('prijem -inna mena'!$I$91=TRUE,IF('prijem -inna mena'!$F$91&gt;0,0.00025*N193*-1,0),0))</f>
        <v>0</v>
      </c>
    </row>
    <row r="195" spans="1:18" x14ac:dyDescent="0.2">
      <c r="A195" s="89">
        <v>179</v>
      </c>
      <c r="B195" s="237" t="e">
        <f t="shared" si="24"/>
        <v>#NUM!</v>
      </c>
      <c r="C195" s="142" t="e">
        <f t="shared" si="20"/>
        <v>#NUM!</v>
      </c>
      <c r="D195" s="142" t="e">
        <f t="shared" si="25"/>
        <v>#NUM!</v>
      </c>
      <c r="E195" s="142" t="e">
        <f t="shared" si="26"/>
        <v>#NUM!</v>
      </c>
      <c r="F195" s="142" t="e">
        <f t="shared" si="21"/>
        <v>#NUM!</v>
      </c>
      <c r="G195" s="184">
        <f>IF('prijem -inna mena'!$I$90=TRUE,IF($C$11&gt;0,0.00025*C194,0),IF('prijem -inna mena'!$I$91=TRUE,IF('prijem -inna mena'!$F$91&gt;0,0.00025*C194,0),0))</f>
        <v>0</v>
      </c>
      <c r="L195" s="89">
        <v>179</v>
      </c>
      <c r="M195" s="237" t="e">
        <f t="shared" si="27"/>
        <v>#DIV/0!</v>
      </c>
      <c r="N195" s="142" t="e">
        <f t="shared" si="22"/>
        <v>#DIV/0!</v>
      </c>
      <c r="O195" s="142" t="e">
        <f t="shared" si="23"/>
        <v>#DIV/0!</v>
      </c>
      <c r="P195" s="142" t="e">
        <f t="shared" si="28"/>
        <v>#DIV/0!</v>
      </c>
      <c r="Q195" s="142" t="e">
        <f t="shared" si="29"/>
        <v>#DIV/0!</v>
      </c>
      <c r="R195" s="184">
        <f>IF('prijem -inna mena'!$I$90=TRUE,IF($C$11&gt;0,0.00025*N194,0),IF('prijem -inna mena'!$I$91=TRUE,IF('prijem -inna mena'!$F$91&gt;0,0.00025*N194*-1,0),0))</f>
        <v>0</v>
      </c>
    </row>
    <row r="196" spans="1:18" x14ac:dyDescent="0.2">
      <c r="A196" s="89">
        <v>180</v>
      </c>
      <c r="B196" s="237" t="e">
        <f t="shared" si="24"/>
        <v>#NUM!</v>
      </c>
      <c r="C196" s="142" t="e">
        <f t="shared" si="20"/>
        <v>#NUM!</v>
      </c>
      <c r="D196" s="142" t="e">
        <f t="shared" si="25"/>
        <v>#NUM!</v>
      </c>
      <c r="E196" s="142" t="e">
        <f t="shared" si="26"/>
        <v>#NUM!</v>
      </c>
      <c r="F196" s="142" t="e">
        <f t="shared" si="21"/>
        <v>#NUM!</v>
      </c>
      <c r="G196" s="184">
        <f>IF('prijem -inna mena'!$I$90=TRUE,IF($C$11&gt;0,0.00025*C195,0),IF('prijem -inna mena'!$I$91=TRUE,IF('prijem -inna mena'!$F$91&gt;0,0.00025*C195,0),0))</f>
        <v>0</v>
      </c>
      <c r="L196" s="89">
        <v>180</v>
      </c>
      <c r="M196" s="237" t="e">
        <f t="shared" si="27"/>
        <v>#DIV/0!</v>
      </c>
      <c r="N196" s="142" t="e">
        <f t="shared" si="22"/>
        <v>#DIV/0!</v>
      </c>
      <c r="O196" s="142" t="e">
        <f t="shared" si="23"/>
        <v>#DIV/0!</v>
      </c>
      <c r="P196" s="142" t="e">
        <f t="shared" si="28"/>
        <v>#DIV/0!</v>
      </c>
      <c r="Q196" s="142" t="e">
        <f t="shared" si="29"/>
        <v>#DIV/0!</v>
      </c>
      <c r="R196" s="184">
        <f>IF('prijem -inna mena'!$I$90=TRUE,IF($C$11&gt;0,0.00025*N195,0),IF('prijem -inna mena'!$I$91=TRUE,IF('prijem -inna mena'!$F$91&gt;0,0.00025*N195*-1,0),0))</f>
        <v>0</v>
      </c>
    </row>
    <row r="197" spans="1:18" x14ac:dyDescent="0.2">
      <c r="A197" s="89">
        <v>181</v>
      </c>
      <c r="B197" s="237" t="e">
        <f t="shared" si="24"/>
        <v>#NUM!</v>
      </c>
      <c r="C197" s="142" t="e">
        <f t="shared" si="20"/>
        <v>#NUM!</v>
      </c>
      <c r="D197" s="142" t="e">
        <f t="shared" si="25"/>
        <v>#NUM!</v>
      </c>
      <c r="E197" s="142" t="e">
        <f t="shared" si="26"/>
        <v>#NUM!</v>
      </c>
      <c r="F197" s="142" t="e">
        <f t="shared" si="21"/>
        <v>#NUM!</v>
      </c>
      <c r="G197" s="184">
        <f>IF('prijem -inna mena'!$I$90=TRUE,IF($C$11&gt;0,0.00025*C196,0),IF('prijem -inna mena'!$I$91=TRUE,IF('prijem -inna mena'!$F$91&gt;0,0.00025*C196,0),0))</f>
        <v>0</v>
      </c>
      <c r="L197" s="89">
        <v>181</v>
      </c>
      <c r="M197" s="237" t="e">
        <f t="shared" si="27"/>
        <v>#DIV/0!</v>
      </c>
      <c r="N197" s="142" t="e">
        <f t="shared" si="22"/>
        <v>#DIV/0!</v>
      </c>
      <c r="O197" s="142" t="e">
        <f t="shared" si="23"/>
        <v>#DIV/0!</v>
      </c>
      <c r="P197" s="142" t="e">
        <f t="shared" si="28"/>
        <v>#DIV/0!</v>
      </c>
      <c r="Q197" s="142" t="e">
        <f t="shared" si="29"/>
        <v>#DIV/0!</v>
      </c>
      <c r="R197" s="184">
        <f>IF('prijem -inna mena'!$I$90=TRUE,IF($C$11&gt;0,0.00025*N196,0),IF('prijem -inna mena'!$I$91=TRUE,IF('prijem -inna mena'!$F$91&gt;0,0.00025*N196*-1,0),0))</f>
        <v>0</v>
      </c>
    </row>
    <row r="198" spans="1:18" x14ac:dyDescent="0.2">
      <c r="A198" s="89">
        <v>182</v>
      </c>
      <c r="B198" s="237" t="e">
        <f t="shared" si="24"/>
        <v>#NUM!</v>
      </c>
      <c r="C198" s="142" t="e">
        <f t="shared" si="20"/>
        <v>#NUM!</v>
      </c>
      <c r="D198" s="142" t="e">
        <f t="shared" si="25"/>
        <v>#NUM!</v>
      </c>
      <c r="E198" s="142" t="e">
        <f t="shared" si="26"/>
        <v>#NUM!</v>
      </c>
      <c r="F198" s="142" t="e">
        <f t="shared" si="21"/>
        <v>#NUM!</v>
      </c>
      <c r="G198" s="184">
        <f>IF('prijem -inna mena'!$I$90=TRUE,IF($C$11&gt;0,0.00025*C197,0),IF('prijem -inna mena'!$I$91=TRUE,IF('prijem -inna mena'!$F$91&gt;0,0.00025*C197,0),0))</f>
        <v>0</v>
      </c>
      <c r="L198" s="89">
        <v>182</v>
      </c>
      <c r="M198" s="237" t="e">
        <f t="shared" si="27"/>
        <v>#DIV/0!</v>
      </c>
      <c r="N198" s="142" t="e">
        <f t="shared" si="22"/>
        <v>#DIV/0!</v>
      </c>
      <c r="O198" s="142" t="e">
        <f t="shared" si="23"/>
        <v>#DIV/0!</v>
      </c>
      <c r="P198" s="142" t="e">
        <f t="shared" si="28"/>
        <v>#DIV/0!</v>
      </c>
      <c r="Q198" s="142" t="e">
        <f t="shared" si="29"/>
        <v>#DIV/0!</v>
      </c>
      <c r="R198" s="184">
        <f>IF('prijem -inna mena'!$I$90=TRUE,IF($C$11&gt;0,0.00025*N197,0),IF('prijem -inna mena'!$I$91=TRUE,IF('prijem -inna mena'!$F$91&gt;0,0.00025*N197*-1,0),0))</f>
        <v>0</v>
      </c>
    </row>
    <row r="199" spans="1:18" x14ac:dyDescent="0.2">
      <c r="A199" s="89">
        <v>183</v>
      </c>
      <c r="B199" s="237" t="e">
        <f t="shared" si="24"/>
        <v>#NUM!</v>
      </c>
      <c r="C199" s="142" t="e">
        <f t="shared" si="20"/>
        <v>#NUM!</v>
      </c>
      <c r="D199" s="142" t="e">
        <f t="shared" si="25"/>
        <v>#NUM!</v>
      </c>
      <c r="E199" s="142" t="e">
        <f t="shared" si="26"/>
        <v>#NUM!</v>
      </c>
      <c r="F199" s="142" t="e">
        <f t="shared" si="21"/>
        <v>#NUM!</v>
      </c>
      <c r="G199" s="184">
        <f>IF('prijem -inna mena'!$I$90=TRUE,IF($C$11&gt;0,0.00025*C198,0),IF('prijem -inna mena'!$I$91=TRUE,IF('prijem -inna mena'!$F$91&gt;0,0.00025*C198,0),0))</f>
        <v>0</v>
      </c>
      <c r="L199" s="89">
        <v>183</v>
      </c>
      <c r="M199" s="237" t="e">
        <f t="shared" si="27"/>
        <v>#DIV/0!</v>
      </c>
      <c r="N199" s="142" t="e">
        <f t="shared" si="22"/>
        <v>#DIV/0!</v>
      </c>
      <c r="O199" s="142" t="e">
        <f t="shared" si="23"/>
        <v>#DIV/0!</v>
      </c>
      <c r="P199" s="142" t="e">
        <f t="shared" si="28"/>
        <v>#DIV/0!</v>
      </c>
      <c r="Q199" s="142" t="e">
        <f t="shared" si="29"/>
        <v>#DIV/0!</v>
      </c>
      <c r="R199" s="184">
        <f>IF('prijem -inna mena'!$I$90=TRUE,IF($C$11&gt;0,0.00025*N198,0),IF('prijem -inna mena'!$I$91=TRUE,IF('prijem -inna mena'!$F$91&gt;0,0.00025*N198*-1,0),0))</f>
        <v>0</v>
      </c>
    </row>
    <row r="200" spans="1:18" x14ac:dyDescent="0.2">
      <c r="A200" s="89">
        <v>184</v>
      </c>
      <c r="B200" s="237" t="e">
        <f t="shared" si="24"/>
        <v>#NUM!</v>
      </c>
      <c r="C200" s="142" t="e">
        <f t="shared" si="20"/>
        <v>#NUM!</v>
      </c>
      <c r="D200" s="142" t="e">
        <f t="shared" si="25"/>
        <v>#NUM!</v>
      </c>
      <c r="E200" s="142" t="e">
        <f t="shared" si="26"/>
        <v>#NUM!</v>
      </c>
      <c r="F200" s="142" t="e">
        <f t="shared" si="21"/>
        <v>#NUM!</v>
      </c>
      <c r="G200" s="184">
        <f>IF('prijem -inna mena'!$I$90=TRUE,IF($C$11&gt;0,0.00025*C199,0),IF('prijem -inna mena'!$I$91=TRUE,IF('prijem -inna mena'!$F$91&gt;0,0.00025*C199,0),0))</f>
        <v>0</v>
      </c>
      <c r="L200" s="89">
        <v>184</v>
      </c>
      <c r="M200" s="237" t="e">
        <f t="shared" si="27"/>
        <v>#DIV/0!</v>
      </c>
      <c r="N200" s="142" t="e">
        <f t="shared" si="22"/>
        <v>#DIV/0!</v>
      </c>
      <c r="O200" s="142" t="e">
        <f t="shared" si="23"/>
        <v>#DIV/0!</v>
      </c>
      <c r="P200" s="142" t="e">
        <f t="shared" si="28"/>
        <v>#DIV/0!</v>
      </c>
      <c r="Q200" s="142" t="e">
        <f t="shared" si="29"/>
        <v>#DIV/0!</v>
      </c>
      <c r="R200" s="184">
        <f>IF('prijem -inna mena'!$I$90=TRUE,IF($C$11&gt;0,0.00025*N199,0),IF('prijem -inna mena'!$I$91=TRUE,IF('prijem -inna mena'!$F$91&gt;0,0.00025*N199*-1,0),0))</f>
        <v>0</v>
      </c>
    </row>
    <row r="201" spans="1:18" x14ac:dyDescent="0.2">
      <c r="A201" s="89">
        <v>185</v>
      </c>
      <c r="B201" s="237" t="e">
        <f t="shared" si="24"/>
        <v>#NUM!</v>
      </c>
      <c r="C201" s="142" t="e">
        <f t="shared" si="20"/>
        <v>#NUM!</v>
      </c>
      <c r="D201" s="142" t="e">
        <f t="shared" si="25"/>
        <v>#NUM!</v>
      </c>
      <c r="E201" s="142" t="e">
        <f t="shared" si="26"/>
        <v>#NUM!</v>
      </c>
      <c r="F201" s="142" t="e">
        <f t="shared" si="21"/>
        <v>#NUM!</v>
      </c>
      <c r="G201" s="184">
        <f>IF('prijem -inna mena'!$I$90=TRUE,IF($C$11&gt;0,0.00025*C200,0),IF('prijem -inna mena'!$I$91=TRUE,IF('prijem -inna mena'!$F$91&gt;0,0.00025*C200,0),0))</f>
        <v>0</v>
      </c>
      <c r="L201" s="89">
        <v>185</v>
      </c>
      <c r="M201" s="237" t="e">
        <f t="shared" si="27"/>
        <v>#DIV/0!</v>
      </c>
      <c r="N201" s="142" t="e">
        <f t="shared" si="22"/>
        <v>#DIV/0!</v>
      </c>
      <c r="O201" s="142" t="e">
        <f t="shared" si="23"/>
        <v>#DIV/0!</v>
      </c>
      <c r="P201" s="142" t="e">
        <f t="shared" si="28"/>
        <v>#DIV/0!</v>
      </c>
      <c r="Q201" s="142" t="e">
        <f t="shared" si="29"/>
        <v>#DIV/0!</v>
      </c>
      <c r="R201" s="184">
        <f>IF('prijem -inna mena'!$I$90=TRUE,IF($C$11&gt;0,0.00025*N200,0),IF('prijem -inna mena'!$I$91=TRUE,IF('prijem -inna mena'!$F$91&gt;0,0.00025*N200*-1,0),0))</f>
        <v>0</v>
      </c>
    </row>
    <row r="202" spans="1:18" x14ac:dyDescent="0.2">
      <c r="A202" s="89">
        <v>186</v>
      </c>
      <c r="B202" s="237" t="e">
        <f t="shared" si="24"/>
        <v>#NUM!</v>
      </c>
      <c r="C202" s="142" t="e">
        <f t="shared" si="20"/>
        <v>#NUM!</v>
      </c>
      <c r="D202" s="142" t="e">
        <f t="shared" si="25"/>
        <v>#NUM!</v>
      </c>
      <c r="E202" s="142" t="e">
        <f t="shared" si="26"/>
        <v>#NUM!</v>
      </c>
      <c r="F202" s="142" t="e">
        <f t="shared" si="21"/>
        <v>#NUM!</v>
      </c>
      <c r="G202" s="184">
        <f>IF('prijem -inna mena'!$I$90=TRUE,IF($C$11&gt;0,0.00025*C201,0),IF('prijem -inna mena'!$I$91=TRUE,IF('prijem -inna mena'!$F$91&gt;0,0.00025*C201,0),0))</f>
        <v>0</v>
      </c>
      <c r="L202" s="89">
        <v>186</v>
      </c>
      <c r="M202" s="237" t="e">
        <f t="shared" si="27"/>
        <v>#DIV/0!</v>
      </c>
      <c r="N202" s="142" t="e">
        <f t="shared" si="22"/>
        <v>#DIV/0!</v>
      </c>
      <c r="O202" s="142" t="e">
        <f t="shared" si="23"/>
        <v>#DIV/0!</v>
      </c>
      <c r="P202" s="142" t="e">
        <f t="shared" si="28"/>
        <v>#DIV/0!</v>
      </c>
      <c r="Q202" s="142" t="e">
        <f t="shared" si="29"/>
        <v>#DIV/0!</v>
      </c>
      <c r="R202" s="184">
        <f>IF('prijem -inna mena'!$I$90=TRUE,IF($C$11&gt;0,0.00025*N201,0),IF('prijem -inna mena'!$I$91=TRUE,IF('prijem -inna mena'!$F$91&gt;0,0.00025*N201*-1,0),0))</f>
        <v>0</v>
      </c>
    </row>
    <row r="203" spans="1:18" x14ac:dyDescent="0.2">
      <c r="A203" s="89">
        <v>187</v>
      </c>
      <c r="B203" s="237" t="e">
        <f t="shared" si="24"/>
        <v>#NUM!</v>
      </c>
      <c r="C203" s="142" t="e">
        <f t="shared" si="20"/>
        <v>#NUM!</v>
      </c>
      <c r="D203" s="142" t="e">
        <f t="shared" si="25"/>
        <v>#NUM!</v>
      </c>
      <c r="E203" s="142" t="e">
        <f t="shared" si="26"/>
        <v>#NUM!</v>
      </c>
      <c r="F203" s="142" t="e">
        <f t="shared" si="21"/>
        <v>#NUM!</v>
      </c>
      <c r="G203" s="184">
        <f>IF('prijem -inna mena'!$I$90=TRUE,IF($C$11&gt;0,0.00025*C202,0),IF('prijem -inna mena'!$I$91=TRUE,IF('prijem -inna mena'!$F$91&gt;0,0.00025*C202,0),0))</f>
        <v>0</v>
      </c>
      <c r="L203" s="89">
        <v>187</v>
      </c>
      <c r="M203" s="237" t="e">
        <f t="shared" si="27"/>
        <v>#DIV/0!</v>
      </c>
      <c r="N203" s="142" t="e">
        <f t="shared" si="22"/>
        <v>#DIV/0!</v>
      </c>
      <c r="O203" s="142" t="e">
        <f t="shared" si="23"/>
        <v>#DIV/0!</v>
      </c>
      <c r="P203" s="142" t="e">
        <f t="shared" si="28"/>
        <v>#DIV/0!</v>
      </c>
      <c r="Q203" s="142" t="e">
        <f t="shared" si="29"/>
        <v>#DIV/0!</v>
      </c>
      <c r="R203" s="184">
        <f>IF('prijem -inna mena'!$I$90=TRUE,IF($C$11&gt;0,0.00025*N202,0),IF('prijem -inna mena'!$I$91=TRUE,IF('prijem -inna mena'!$F$91&gt;0,0.00025*N202*-1,0),0))</f>
        <v>0</v>
      </c>
    </row>
    <row r="204" spans="1:18" x14ac:dyDescent="0.2">
      <c r="A204" s="89">
        <v>188</v>
      </c>
      <c r="B204" s="237" t="e">
        <f t="shared" si="24"/>
        <v>#NUM!</v>
      </c>
      <c r="C204" s="142" t="e">
        <f t="shared" si="20"/>
        <v>#NUM!</v>
      </c>
      <c r="D204" s="142" t="e">
        <f t="shared" si="25"/>
        <v>#NUM!</v>
      </c>
      <c r="E204" s="142" t="e">
        <f t="shared" si="26"/>
        <v>#NUM!</v>
      </c>
      <c r="F204" s="142" t="e">
        <f t="shared" si="21"/>
        <v>#NUM!</v>
      </c>
      <c r="G204" s="184">
        <f>IF('prijem -inna mena'!$I$90=TRUE,IF($C$11&gt;0,0.00025*C203,0),IF('prijem -inna mena'!$I$91=TRUE,IF('prijem -inna mena'!$F$91&gt;0,0.00025*C203,0),0))</f>
        <v>0</v>
      </c>
      <c r="L204" s="89">
        <v>188</v>
      </c>
      <c r="M204" s="237" t="e">
        <f t="shared" si="27"/>
        <v>#DIV/0!</v>
      </c>
      <c r="N204" s="142" t="e">
        <f t="shared" si="22"/>
        <v>#DIV/0!</v>
      </c>
      <c r="O204" s="142" t="e">
        <f t="shared" si="23"/>
        <v>#DIV/0!</v>
      </c>
      <c r="P204" s="142" t="e">
        <f t="shared" si="28"/>
        <v>#DIV/0!</v>
      </c>
      <c r="Q204" s="142" t="e">
        <f t="shared" si="29"/>
        <v>#DIV/0!</v>
      </c>
      <c r="R204" s="184">
        <f>IF('prijem -inna mena'!$I$90=TRUE,IF($C$11&gt;0,0.00025*N203,0),IF('prijem -inna mena'!$I$91=TRUE,IF('prijem -inna mena'!$F$91&gt;0,0.00025*N203*-1,0),0))</f>
        <v>0</v>
      </c>
    </row>
    <row r="205" spans="1:18" x14ac:dyDescent="0.2">
      <c r="A205" s="89">
        <v>189</v>
      </c>
      <c r="B205" s="237" t="e">
        <f t="shared" si="24"/>
        <v>#NUM!</v>
      </c>
      <c r="C205" s="142" t="e">
        <f t="shared" si="20"/>
        <v>#NUM!</v>
      </c>
      <c r="D205" s="142" t="e">
        <f t="shared" si="25"/>
        <v>#NUM!</v>
      </c>
      <c r="E205" s="142" t="e">
        <f t="shared" si="26"/>
        <v>#NUM!</v>
      </c>
      <c r="F205" s="142" t="e">
        <f t="shared" si="21"/>
        <v>#NUM!</v>
      </c>
      <c r="G205" s="184">
        <f>IF('prijem -inna mena'!$I$90=TRUE,IF($C$11&gt;0,0.00025*C204,0),IF('prijem -inna mena'!$I$91=TRUE,IF('prijem -inna mena'!$F$91&gt;0,0.00025*C204,0),0))</f>
        <v>0</v>
      </c>
      <c r="L205" s="89">
        <v>189</v>
      </c>
      <c r="M205" s="237" t="e">
        <f t="shared" si="27"/>
        <v>#DIV/0!</v>
      </c>
      <c r="N205" s="142" t="e">
        <f t="shared" si="22"/>
        <v>#DIV/0!</v>
      </c>
      <c r="O205" s="142" t="e">
        <f t="shared" si="23"/>
        <v>#DIV/0!</v>
      </c>
      <c r="P205" s="142" t="e">
        <f t="shared" si="28"/>
        <v>#DIV/0!</v>
      </c>
      <c r="Q205" s="142" t="e">
        <f t="shared" si="29"/>
        <v>#DIV/0!</v>
      </c>
      <c r="R205" s="184">
        <f>IF('prijem -inna mena'!$I$90=TRUE,IF($C$11&gt;0,0.00025*N204,0),IF('prijem -inna mena'!$I$91=TRUE,IF('prijem -inna mena'!$F$91&gt;0,0.00025*N204*-1,0),0))</f>
        <v>0</v>
      </c>
    </row>
    <row r="206" spans="1:18" x14ac:dyDescent="0.2">
      <c r="A206" s="89">
        <v>190</v>
      </c>
      <c r="B206" s="237" t="e">
        <f t="shared" si="24"/>
        <v>#NUM!</v>
      </c>
      <c r="C206" s="142" t="e">
        <f t="shared" si="20"/>
        <v>#NUM!</v>
      </c>
      <c r="D206" s="142" t="e">
        <f t="shared" si="25"/>
        <v>#NUM!</v>
      </c>
      <c r="E206" s="142" t="e">
        <f t="shared" si="26"/>
        <v>#NUM!</v>
      </c>
      <c r="F206" s="142" t="e">
        <f t="shared" si="21"/>
        <v>#NUM!</v>
      </c>
      <c r="G206" s="184">
        <f>IF('prijem -inna mena'!$I$90=TRUE,IF($C$11&gt;0,0.00025*C205,0),IF('prijem -inna mena'!$I$91=TRUE,IF('prijem -inna mena'!$F$91&gt;0,0.00025*C205,0),0))</f>
        <v>0</v>
      </c>
      <c r="L206" s="89">
        <v>190</v>
      </c>
      <c r="M206" s="237" t="e">
        <f t="shared" si="27"/>
        <v>#DIV/0!</v>
      </c>
      <c r="N206" s="142" t="e">
        <f t="shared" si="22"/>
        <v>#DIV/0!</v>
      </c>
      <c r="O206" s="142" t="e">
        <f t="shared" si="23"/>
        <v>#DIV/0!</v>
      </c>
      <c r="P206" s="142" t="e">
        <f t="shared" si="28"/>
        <v>#DIV/0!</v>
      </c>
      <c r="Q206" s="142" t="e">
        <f t="shared" si="29"/>
        <v>#DIV/0!</v>
      </c>
      <c r="R206" s="184">
        <f>IF('prijem -inna mena'!$I$90=TRUE,IF($C$11&gt;0,0.00025*N205,0),IF('prijem -inna mena'!$I$91=TRUE,IF('prijem -inna mena'!$F$91&gt;0,0.00025*N205*-1,0),0))</f>
        <v>0</v>
      </c>
    </row>
    <row r="207" spans="1:18" x14ac:dyDescent="0.2">
      <c r="A207" s="89">
        <v>191</v>
      </c>
      <c r="B207" s="237" t="e">
        <f t="shared" si="24"/>
        <v>#NUM!</v>
      </c>
      <c r="C207" s="142" t="e">
        <f t="shared" si="20"/>
        <v>#NUM!</v>
      </c>
      <c r="D207" s="142" t="e">
        <f t="shared" si="25"/>
        <v>#NUM!</v>
      </c>
      <c r="E207" s="142" t="e">
        <f t="shared" si="26"/>
        <v>#NUM!</v>
      </c>
      <c r="F207" s="142" t="e">
        <f t="shared" si="21"/>
        <v>#NUM!</v>
      </c>
      <c r="G207" s="184">
        <f>IF('prijem -inna mena'!$I$90=TRUE,IF($C$11&gt;0,0.00025*C206,0),IF('prijem -inna mena'!$I$91=TRUE,IF('prijem -inna mena'!$F$91&gt;0,0.00025*C206,0),0))</f>
        <v>0</v>
      </c>
      <c r="L207" s="89">
        <v>191</v>
      </c>
      <c r="M207" s="237" t="e">
        <f t="shared" si="27"/>
        <v>#DIV/0!</v>
      </c>
      <c r="N207" s="142" t="e">
        <f t="shared" si="22"/>
        <v>#DIV/0!</v>
      </c>
      <c r="O207" s="142" t="e">
        <f t="shared" si="23"/>
        <v>#DIV/0!</v>
      </c>
      <c r="P207" s="142" t="e">
        <f t="shared" si="28"/>
        <v>#DIV/0!</v>
      </c>
      <c r="Q207" s="142" t="e">
        <f t="shared" si="29"/>
        <v>#DIV/0!</v>
      </c>
      <c r="R207" s="184">
        <f>IF('prijem -inna mena'!$I$90=TRUE,IF($C$11&gt;0,0.00025*N206,0),IF('prijem -inna mena'!$I$91=TRUE,IF('prijem -inna mena'!$F$91&gt;0,0.00025*N206*-1,0),0))</f>
        <v>0</v>
      </c>
    </row>
    <row r="208" spans="1:18" x14ac:dyDescent="0.2">
      <c r="A208" s="89">
        <v>192</v>
      </c>
      <c r="B208" s="237" t="e">
        <f t="shared" si="24"/>
        <v>#NUM!</v>
      </c>
      <c r="C208" s="142" t="e">
        <f t="shared" si="20"/>
        <v>#NUM!</v>
      </c>
      <c r="D208" s="142" t="e">
        <f t="shared" si="25"/>
        <v>#NUM!</v>
      </c>
      <c r="E208" s="142" t="e">
        <f t="shared" si="26"/>
        <v>#NUM!</v>
      </c>
      <c r="F208" s="142" t="e">
        <f t="shared" si="21"/>
        <v>#NUM!</v>
      </c>
      <c r="G208" s="184">
        <f>IF('prijem -inna mena'!$I$90=TRUE,IF($C$11&gt;0,0.00025*C207,0),IF('prijem -inna mena'!$I$91=TRUE,IF('prijem -inna mena'!$F$91&gt;0,0.00025*C207,0),0))</f>
        <v>0</v>
      </c>
      <c r="L208" s="89">
        <v>192</v>
      </c>
      <c r="M208" s="237" t="e">
        <f t="shared" si="27"/>
        <v>#DIV/0!</v>
      </c>
      <c r="N208" s="142" t="e">
        <f t="shared" si="22"/>
        <v>#DIV/0!</v>
      </c>
      <c r="O208" s="142" t="e">
        <f t="shared" si="23"/>
        <v>#DIV/0!</v>
      </c>
      <c r="P208" s="142" t="e">
        <f t="shared" si="28"/>
        <v>#DIV/0!</v>
      </c>
      <c r="Q208" s="142" t="e">
        <f t="shared" si="29"/>
        <v>#DIV/0!</v>
      </c>
      <c r="R208" s="184">
        <f>IF('prijem -inna mena'!$I$90=TRUE,IF($C$11&gt;0,0.00025*N207,0),IF('prijem -inna mena'!$I$91=TRUE,IF('prijem -inna mena'!$F$91&gt;0,0.00025*N207*-1,0),0))</f>
        <v>0</v>
      </c>
    </row>
    <row r="209" spans="1:18" x14ac:dyDescent="0.2">
      <c r="A209" s="89">
        <v>193</v>
      </c>
      <c r="B209" s="237" t="e">
        <f t="shared" si="24"/>
        <v>#NUM!</v>
      </c>
      <c r="C209" s="142" t="e">
        <f t="shared" ref="C209:C272" si="30">MAX(C208-D209,0)</f>
        <v>#NUM!</v>
      </c>
      <c r="D209" s="142" t="e">
        <f t="shared" si="25"/>
        <v>#NUM!</v>
      </c>
      <c r="E209" s="142" t="e">
        <f t="shared" si="26"/>
        <v>#NUM!</v>
      </c>
      <c r="F209" s="142" t="e">
        <f t="shared" ref="F209:F272" si="31">PMT($C$4/12,$C$5,$C$3)</f>
        <v>#NUM!</v>
      </c>
      <c r="G209" s="184">
        <f>IF('prijem -inna mena'!$I$90=TRUE,IF($C$11&gt;0,0.00025*C208,0),IF('prijem -inna mena'!$I$91=TRUE,IF('prijem -inna mena'!$F$91&gt;0,0.00025*C208,0),0))</f>
        <v>0</v>
      </c>
      <c r="L209" s="89">
        <v>193</v>
      </c>
      <c r="M209" s="237" t="e">
        <f t="shared" si="27"/>
        <v>#DIV/0!</v>
      </c>
      <c r="N209" s="142" t="e">
        <f t="shared" ref="N209:N272" si="32">MAX(N208-O209,0)</f>
        <v>#DIV/0!</v>
      </c>
      <c r="O209" s="142" t="e">
        <f t="shared" ref="O209:O272" si="33">$N$16/$N$5</f>
        <v>#DIV/0!</v>
      </c>
      <c r="P209" s="142" t="e">
        <f t="shared" si="28"/>
        <v>#DIV/0!</v>
      </c>
      <c r="Q209" s="142" t="e">
        <f t="shared" si="29"/>
        <v>#DIV/0!</v>
      </c>
      <c r="R209" s="184">
        <f>IF('prijem -inna mena'!$I$90=TRUE,IF($C$11&gt;0,0.00025*N208,0),IF('prijem -inna mena'!$I$91=TRUE,IF('prijem -inna mena'!$F$91&gt;0,0.00025*N208*-1,0),0))</f>
        <v>0</v>
      </c>
    </row>
    <row r="210" spans="1:18" x14ac:dyDescent="0.2">
      <c r="A210" s="89">
        <v>194</v>
      </c>
      <c r="B210" s="237" t="e">
        <f t="shared" ref="B210:B273" si="34">IF(C209&gt;0.00001,F210-G210,0)</f>
        <v>#NUM!</v>
      </c>
      <c r="C210" s="142" t="e">
        <f t="shared" si="30"/>
        <v>#NUM!</v>
      </c>
      <c r="D210" s="142" t="e">
        <f t="shared" ref="D210:D273" si="35">(F210-E210)*-1</f>
        <v>#NUM!</v>
      </c>
      <c r="E210" s="142" t="e">
        <f t="shared" ref="E210:E273" si="36">IPMT($C$4/12,1,$C$5,C209)</f>
        <v>#NUM!</v>
      </c>
      <c r="F210" s="142" t="e">
        <f t="shared" si="31"/>
        <v>#NUM!</v>
      </c>
      <c r="G210" s="184">
        <f>IF('prijem -inna mena'!$I$90=TRUE,IF($C$11&gt;0,0.00025*C209,0),IF('prijem -inna mena'!$I$91=TRUE,IF('prijem -inna mena'!$F$91&gt;0,0.00025*C209,0),0))</f>
        <v>0</v>
      </c>
      <c r="L210" s="89">
        <v>194</v>
      </c>
      <c r="M210" s="237" t="e">
        <f t="shared" ref="M210:M273" si="37">IF(N209&gt;0.00001,Q210-R210,0)*-1</f>
        <v>#DIV/0!</v>
      </c>
      <c r="N210" s="142" t="e">
        <f t="shared" si="32"/>
        <v>#DIV/0!</v>
      </c>
      <c r="O210" s="142" t="e">
        <f t="shared" si="33"/>
        <v>#DIV/0!</v>
      </c>
      <c r="P210" s="142" t="e">
        <f t="shared" ref="P210:P273" si="38">N209*$N$4/12</f>
        <v>#DIV/0!</v>
      </c>
      <c r="Q210" s="142" t="e">
        <f t="shared" ref="Q210:Q273" si="39">P210+O210</f>
        <v>#DIV/0!</v>
      </c>
      <c r="R210" s="184">
        <f>IF('prijem -inna mena'!$I$90=TRUE,IF($C$11&gt;0,0.00025*N209,0),IF('prijem -inna mena'!$I$91=TRUE,IF('prijem -inna mena'!$F$91&gt;0,0.00025*N209*-1,0),0))</f>
        <v>0</v>
      </c>
    </row>
    <row r="211" spans="1:18" x14ac:dyDescent="0.2">
      <c r="A211" s="89">
        <v>195</v>
      </c>
      <c r="B211" s="237" t="e">
        <f t="shared" si="34"/>
        <v>#NUM!</v>
      </c>
      <c r="C211" s="142" t="e">
        <f t="shared" si="30"/>
        <v>#NUM!</v>
      </c>
      <c r="D211" s="142" t="e">
        <f t="shared" si="35"/>
        <v>#NUM!</v>
      </c>
      <c r="E211" s="142" t="e">
        <f t="shared" si="36"/>
        <v>#NUM!</v>
      </c>
      <c r="F211" s="142" t="e">
        <f t="shared" si="31"/>
        <v>#NUM!</v>
      </c>
      <c r="G211" s="184">
        <f>IF('prijem -inna mena'!$I$90=TRUE,IF($C$11&gt;0,0.00025*C210,0),IF('prijem -inna mena'!$I$91=TRUE,IF('prijem -inna mena'!$F$91&gt;0,0.00025*C210,0),0))</f>
        <v>0</v>
      </c>
      <c r="L211" s="89">
        <v>195</v>
      </c>
      <c r="M211" s="237" t="e">
        <f t="shared" si="37"/>
        <v>#DIV/0!</v>
      </c>
      <c r="N211" s="142" t="e">
        <f t="shared" si="32"/>
        <v>#DIV/0!</v>
      </c>
      <c r="O211" s="142" t="e">
        <f t="shared" si="33"/>
        <v>#DIV/0!</v>
      </c>
      <c r="P211" s="142" t="e">
        <f t="shared" si="38"/>
        <v>#DIV/0!</v>
      </c>
      <c r="Q211" s="142" t="e">
        <f t="shared" si="39"/>
        <v>#DIV/0!</v>
      </c>
      <c r="R211" s="184">
        <f>IF('prijem -inna mena'!$I$90=TRUE,IF($C$11&gt;0,0.00025*N210,0),IF('prijem -inna mena'!$I$91=TRUE,IF('prijem -inna mena'!$F$91&gt;0,0.00025*N210*-1,0),0))</f>
        <v>0</v>
      </c>
    </row>
    <row r="212" spans="1:18" x14ac:dyDescent="0.2">
      <c r="A212" s="89">
        <v>196</v>
      </c>
      <c r="B212" s="237" t="e">
        <f t="shared" si="34"/>
        <v>#NUM!</v>
      </c>
      <c r="C212" s="142" t="e">
        <f t="shared" si="30"/>
        <v>#NUM!</v>
      </c>
      <c r="D212" s="142" t="e">
        <f t="shared" si="35"/>
        <v>#NUM!</v>
      </c>
      <c r="E212" s="142" t="e">
        <f t="shared" si="36"/>
        <v>#NUM!</v>
      </c>
      <c r="F212" s="142" t="e">
        <f t="shared" si="31"/>
        <v>#NUM!</v>
      </c>
      <c r="G212" s="184">
        <f>IF('prijem -inna mena'!$I$90=TRUE,IF($C$11&gt;0,0.00025*C211,0),IF('prijem -inna mena'!$I$91=TRUE,IF('prijem -inna mena'!$F$91&gt;0,0.00025*C211,0),0))</f>
        <v>0</v>
      </c>
      <c r="L212" s="89">
        <v>196</v>
      </c>
      <c r="M212" s="237" t="e">
        <f t="shared" si="37"/>
        <v>#DIV/0!</v>
      </c>
      <c r="N212" s="142" t="e">
        <f t="shared" si="32"/>
        <v>#DIV/0!</v>
      </c>
      <c r="O212" s="142" t="e">
        <f t="shared" si="33"/>
        <v>#DIV/0!</v>
      </c>
      <c r="P212" s="142" t="e">
        <f t="shared" si="38"/>
        <v>#DIV/0!</v>
      </c>
      <c r="Q212" s="142" t="e">
        <f t="shared" si="39"/>
        <v>#DIV/0!</v>
      </c>
      <c r="R212" s="184">
        <f>IF('prijem -inna mena'!$I$90=TRUE,IF($C$11&gt;0,0.00025*N211,0),IF('prijem -inna mena'!$I$91=TRUE,IF('prijem -inna mena'!$F$91&gt;0,0.00025*N211*-1,0),0))</f>
        <v>0</v>
      </c>
    </row>
    <row r="213" spans="1:18" x14ac:dyDescent="0.2">
      <c r="A213" s="89">
        <v>197</v>
      </c>
      <c r="B213" s="237" t="e">
        <f t="shared" si="34"/>
        <v>#NUM!</v>
      </c>
      <c r="C213" s="142" t="e">
        <f t="shared" si="30"/>
        <v>#NUM!</v>
      </c>
      <c r="D213" s="142" t="e">
        <f t="shared" si="35"/>
        <v>#NUM!</v>
      </c>
      <c r="E213" s="142" t="e">
        <f t="shared" si="36"/>
        <v>#NUM!</v>
      </c>
      <c r="F213" s="142" t="e">
        <f t="shared" si="31"/>
        <v>#NUM!</v>
      </c>
      <c r="G213" s="184">
        <f>IF('prijem -inna mena'!$I$90=TRUE,IF($C$11&gt;0,0.00025*C212,0),IF('prijem -inna mena'!$I$91=TRUE,IF('prijem -inna mena'!$F$91&gt;0,0.00025*C212,0),0))</f>
        <v>0</v>
      </c>
      <c r="L213" s="89">
        <v>197</v>
      </c>
      <c r="M213" s="237" t="e">
        <f t="shared" si="37"/>
        <v>#DIV/0!</v>
      </c>
      <c r="N213" s="142" t="e">
        <f t="shared" si="32"/>
        <v>#DIV/0!</v>
      </c>
      <c r="O213" s="142" t="e">
        <f t="shared" si="33"/>
        <v>#DIV/0!</v>
      </c>
      <c r="P213" s="142" t="e">
        <f t="shared" si="38"/>
        <v>#DIV/0!</v>
      </c>
      <c r="Q213" s="142" t="e">
        <f t="shared" si="39"/>
        <v>#DIV/0!</v>
      </c>
      <c r="R213" s="184">
        <f>IF('prijem -inna mena'!$I$90=TRUE,IF($C$11&gt;0,0.00025*N212,0),IF('prijem -inna mena'!$I$91=TRUE,IF('prijem -inna mena'!$F$91&gt;0,0.00025*N212*-1,0),0))</f>
        <v>0</v>
      </c>
    </row>
    <row r="214" spans="1:18" x14ac:dyDescent="0.2">
      <c r="A214" s="89">
        <v>198</v>
      </c>
      <c r="B214" s="237" t="e">
        <f t="shared" si="34"/>
        <v>#NUM!</v>
      </c>
      <c r="C214" s="142" t="e">
        <f t="shared" si="30"/>
        <v>#NUM!</v>
      </c>
      <c r="D214" s="142" t="e">
        <f t="shared" si="35"/>
        <v>#NUM!</v>
      </c>
      <c r="E214" s="142" t="e">
        <f t="shared" si="36"/>
        <v>#NUM!</v>
      </c>
      <c r="F214" s="142" t="e">
        <f t="shared" si="31"/>
        <v>#NUM!</v>
      </c>
      <c r="G214" s="184">
        <f>IF('prijem -inna mena'!$I$90=TRUE,IF($C$11&gt;0,0.00025*C213,0),IF('prijem -inna mena'!$I$91=TRUE,IF('prijem -inna mena'!$F$91&gt;0,0.00025*C213,0),0))</f>
        <v>0</v>
      </c>
      <c r="L214" s="89">
        <v>198</v>
      </c>
      <c r="M214" s="237" t="e">
        <f t="shared" si="37"/>
        <v>#DIV/0!</v>
      </c>
      <c r="N214" s="142" t="e">
        <f t="shared" si="32"/>
        <v>#DIV/0!</v>
      </c>
      <c r="O214" s="142" t="e">
        <f t="shared" si="33"/>
        <v>#DIV/0!</v>
      </c>
      <c r="P214" s="142" t="e">
        <f t="shared" si="38"/>
        <v>#DIV/0!</v>
      </c>
      <c r="Q214" s="142" t="e">
        <f t="shared" si="39"/>
        <v>#DIV/0!</v>
      </c>
      <c r="R214" s="184">
        <f>IF('prijem -inna mena'!$I$90=TRUE,IF($C$11&gt;0,0.00025*N213,0),IF('prijem -inna mena'!$I$91=TRUE,IF('prijem -inna mena'!$F$91&gt;0,0.00025*N213*-1,0),0))</f>
        <v>0</v>
      </c>
    </row>
    <row r="215" spans="1:18" x14ac:dyDescent="0.2">
      <c r="A215" s="89">
        <v>199</v>
      </c>
      <c r="B215" s="237" t="e">
        <f t="shared" si="34"/>
        <v>#NUM!</v>
      </c>
      <c r="C215" s="142" t="e">
        <f t="shared" si="30"/>
        <v>#NUM!</v>
      </c>
      <c r="D215" s="142" t="e">
        <f t="shared" si="35"/>
        <v>#NUM!</v>
      </c>
      <c r="E215" s="142" t="e">
        <f t="shared" si="36"/>
        <v>#NUM!</v>
      </c>
      <c r="F215" s="142" t="e">
        <f t="shared" si="31"/>
        <v>#NUM!</v>
      </c>
      <c r="G215" s="184">
        <f>IF('prijem -inna mena'!$I$90=TRUE,IF($C$11&gt;0,0.00025*C214,0),IF('prijem -inna mena'!$I$91=TRUE,IF('prijem -inna mena'!$F$91&gt;0,0.00025*C214,0),0))</f>
        <v>0</v>
      </c>
      <c r="L215" s="89">
        <v>199</v>
      </c>
      <c r="M215" s="237" t="e">
        <f t="shared" si="37"/>
        <v>#DIV/0!</v>
      </c>
      <c r="N215" s="142" t="e">
        <f t="shared" si="32"/>
        <v>#DIV/0!</v>
      </c>
      <c r="O215" s="142" t="e">
        <f t="shared" si="33"/>
        <v>#DIV/0!</v>
      </c>
      <c r="P215" s="142" t="e">
        <f t="shared" si="38"/>
        <v>#DIV/0!</v>
      </c>
      <c r="Q215" s="142" t="e">
        <f t="shared" si="39"/>
        <v>#DIV/0!</v>
      </c>
      <c r="R215" s="184">
        <f>IF('prijem -inna mena'!$I$90=TRUE,IF($C$11&gt;0,0.00025*N214,0),IF('prijem -inna mena'!$I$91=TRUE,IF('prijem -inna mena'!$F$91&gt;0,0.00025*N214*-1,0),0))</f>
        <v>0</v>
      </c>
    </row>
    <row r="216" spans="1:18" x14ac:dyDescent="0.2">
      <c r="A216" s="89">
        <v>200</v>
      </c>
      <c r="B216" s="237" t="e">
        <f t="shared" si="34"/>
        <v>#NUM!</v>
      </c>
      <c r="C216" s="142" t="e">
        <f t="shared" si="30"/>
        <v>#NUM!</v>
      </c>
      <c r="D216" s="142" t="e">
        <f t="shared" si="35"/>
        <v>#NUM!</v>
      </c>
      <c r="E216" s="142" t="e">
        <f t="shared" si="36"/>
        <v>#NUM!</v>
      </c>
      <c r="F216" s="142" t="e">
        <f t="shared" si="31"/>
        <v>#NUM!</v>
      </c>
      <c r="G216" s="184">
        <f>IF('prijem -inna mena'!$I$90=TRUE,IF($C$11&gt;0,0.00025*C215,0),IF('prijem -inna mena'!$I$91=TRUE,IF('prijem -inna mena'!$F$91&gt;0,0.00025*C215,0),0))</f>
        <v>0</v>
      </c>
      <c r="L216" s="89">
        <v>200</v>
      </c>
      <c r="M216" s="237" t="e">
        <f t="shared" si="37"/>
        <v>#DIV/0!</v>
      </c>
      <c r="N216" s="142" t="e">
        <f t="shared" si="32"/>
        <v>#DIV/0!</v>
      </c>
      <c r="O216" s="142" t="e">
        <f t="shared" si="33"/>
        <v>#DIV/0!</v>
      </c>
      <c r="P216" s="142" t="e">
        <f t="shared" si="38"/>
        <v>#DIV/0!</v>
      </c>
      <c r="Q216" s="142" t="e">
        <f t="shared" si="39"/>
        <v>#DIV/0!</v>
      </c>
      <c r="R216" s="184">
        <f>IF('prijem -inna mena'!$I$90=TRUE,IF($C$11&gt;0,0.00025*N215,0),IF('prijem -inna mena'!$I$91=TRUE,IF('prijem -inna mena'!$F$91&gt;0,0.00025*N215*-1,0),0))</f>
        <v>0</v>
      </c>
    </row>
    <row r="217" spans="1:18" x14ac:dyDescent="0.2">
      <c r="A217" s="89">
        <v>201</v>
      </c>
      <c r="B217" s="237" t="e">
        <f t="shared" si="34"/>
        <v>#NUM!</v>
      </c>
      <c r="C217" s="142" t="e">
        <f t="shared" si="30"/>
        <v>#NUM!</v>
      </c>
      <c r="D217" s="142" t="e">
        <f t="shared" si="35"/>
        <v>#NUM!</v>
      </c>
      <c r="E217" s="142" t="e">
        <f t="shared" si="36"/>
        <v>#NUM!</v>
      </c>
      <c r="F217" s="142" t="e">
        <f t="shared" si="31"/>
        <v>#NUM!</v>
      </c>
      <c r="G217" s="184">
        <f>IF('prijem -inna mena'!$I$90=TRUE,IF($C$11&gt;0,0.00025*C216,0),IF('prijem -inna mena'!$I$91=TRUE,IF('prijem -inna mena'!$F$91&gt;0,0.00025*C216,0),0))</f>
        <v>0</v>
      </c>
      <c r="L217" s="89">
        <v>201</v>
      </c>
      <c r="M217" s="237" t="e">
        <f t="shared" si="37"/>
        <v>#DIV/0!</v>
      </c>
      <c r="N217" s="142" t="e">
        <f t="shared" si="32"/>
        <v>#DIV/0!</v>
      </c>
      <c r="O217" s="142" t="e">
        <f t="shared" si="33"/>
        <v>#DIV/0!</v>
      </c>
      <c r="P217" s="142" t="e">
        <f t="shared" si="38"/>
        <v>#DIV/0!</v>
      </c>
      <c r="Q217" s="142" t="e">
        <f t="shared" si="39"/>
        <v>#DIV/0!</v>
      </c>
      <c r="R217" s="184">
        <f>IF('prijem -inna mena'!$I$90=TRUE,IF($C$11&gt;0,0.00025*N216,0),IF('prijem -inna mena'!$I$91=TRUE,IF('prijem -inna mena'!$F$91&gt;0,0.00025*N216*-1,0),0))</f>
        <v>0</v>
      </c>
    </row>
    <row r="218" spans="1:18" x14ac:dyDescent="0.2">
      <c r="A218" s="89">
        <v>202</v>
      </c>
      <c r="B218" s="237" t="e">
        <f t="shared" si="34"/>
        <v>#NUM!</v>
      </c>
      <c r="C218" s="142" t="e">
        <f t="shared" si="30"/>
        <v>#NUM!</v>
      </c>
      <c r="D218" s="142" t="e">
        <f t="shared" si="35"/>
        <v>#NUM!</v>
      </c>
      <c r="E218" s="142" t="e">
        <f t="shared" si="36"/>
        <v>#NUM!</v>
      </c>
      <c r="F218" s="142" t="e">
        <f t="shared" si="31"/>
        <v>#NUM!</v>
      </c>
      <c r="G218" s="184">
        <f>IF('prijem -inna mena'!$I$90=TRUE,IF($C$11&gt;0,0.00025*C217,0),IF('prijem -inna mena'!$I$91=TRUE,IF('prijem -inna mena'!$F$91&gt;0,0.00025*C217,0),0))</f>
        <v>0</v>
      </c>
      <c r="L218" s="89">
        <v>202</v>
      </c>
      <c r="M218" s="237" t="e">
        <f t="shared" si="37"/>
        <v>#DIV/0!</v>
      </c>
      <c r="N218" s="142" t="e">
        <f t="shared" si="32"/>
        <v>#DIV/0!</v>
      </c>
      <c r="O218" s="142" t="e">
        <f t="shared" si="33"/>
        <v>#DIV/0!</v>
      </c>
      <c r="P218" s="142" t="e">
        <f t="shared" si="38"/>
        <v>#DIV/0!</v>
      </c>
      <c r="Q218" s="142" t="e">
        <f t="shared" si="39"/>
        <v>#DIV/0!</v>
      </c>
      <c r="R218" s="184">
        <f>IF('prijem -inna mena'!$I$90=TRUE,IF($C$11&gt;0,0.00025*N217,0),IF('prijem -inna mena'!$I$91=TRUE,IF('prijem -inna mena'!$F$91&gt;0,0.00025*N217*-1,0),0))</f>
        <v>0</v>
      </c>
    </row>
    <row r="219" spans="1:18" x14ac:dyDescent="0.2">
      <c r="A219" s="89">
        <v>203</v>
      </c>
      <c r="B219" s="237" t="e">
        <f t="shared" si="34"/>
        <v>#NUM!</v>
      </c>
      <c r="C219" s="142" t="e">
        <f t="shared" si="30"/>
        <v>#NUM!</v>
      </c>
      <c r="D219" s="142" t="e">
        <f t="shared" si="35"/>
        <v>#NUM!</v>
      </c>
      <c r="E219" s="142" t="e">
        <f t="shared" si="36"/>
        <v>#NUM!</v>
      </c>
      <c r="F219" s="142" t="e">
        <f t="shared" si="31"/>
        <v>#NUM!</v>
      </c>
      <c r="G219" s="184">
        <f>IF('prijem -inna mena'!$I$90=TRUE,IF($C$11&gt;0,0.00025*C218,0),IF('prijem -inna mena'!$I$91=TRUE,IF('prijem -inna mena'!$F$91&gt;0,0.00025*C218,0),0))</f>
        <v>0</v>
      </c>
      <c r="L219" s="89">
        <v>203</v>
      </c>
      <c r="M219" s="237" t="e">
        <f t="shared" si="37"/>
        <v>#DIV/0!</v>
      </c>
      <c r="N219" s="142" t="e">
        <f t="shared" si="32"/>
        <v>#DIV/0!</v>
      </c>
      <c r="O219" s="142" t="e">
        <f t="shared" si="33"/>
        <v>#DIV/0!</v>
      </c>
      <c r="P219" s="142" t="e">
        <f t="shared" si="38"/>
        <v>#DIV/0!</v>
      </c>
      <c r="Q219" s="142" t="e">
        <f t="shared" si="39"/>
        <v>#DIV/0!</v>
      </c>
      <c r="R219" s="184">
        <f>IF('prijem -inna mena'!$I$90=TRUE,IF($C$11&gt;0,0.00025*N218,0),IF('prijem -inna mena'!$I$91=TRUE,IF('prijem -inna mena'!$F$91&gt;0,0.00025*N218*-1,0),0))</f>
        <v>0</v>
      </c>
    </row>
    <row r="220" spans="1:18" x14ac:dyDescent="0.2">
      <c r="A220" s="89">
        <v>204</v>
      </c>
      <c r="B220" s="237" t="e">
        <f t="shared" si="34"/>
        <v>#NUM!</v>
      </c>
      <c r="C220" s="142" t="e">
        <f t="shared" si="30"/>
        <v>#NUM!</v>
      </c>
      <c r="D220" s="142" t="e">
        <f t="shared" si="35"/>
        <v>#NUM!</v>
      </c>
      <c r="E220" s="142" t="e">
        <f t="shared" si="36"/>
        <v>#NUM!</v>
      </c>
      <c r="F220" s="142" t="e">
        <f t="shared" si="31"/>
        <v>#NUM!</v>
      </c>
      <c r="G220" s="184">
        <f>IF('prijem -inna mena'!$I$90=TRUE,IF($C$11&gt;0,0.00025*C219,0),IF('prijem -inna mena'!$I$91=TRUE,IF('prijem -inna mena'!$F$91&gt;0,0.00025*C219,0),0))</f>
        <v>0</v>
      </c>
      <c r="L220" s="89">
        <v>204</v>
      </c>
      <c r="M220" s="237" t="e">
        <f t="shared" si="37"/>
        <v>#DIV/0!</v>
      </c>
      <c r="N220" s="142" t="e">
        <f t="shared" si="32"/>
        <v>#DIV/0!</v>
      </c>
      <c r="O220" s="142" t="e">
        <f t="shared" si="33"/>
        <v>#DIV/0!</v>
      </c>
      <c r="P220" s="142" t="e">
        <f t="shared" si="38"/>
        <v>#DIV/0!</v>
      </c>
      <c r="Q220" s="142" t="e">
        <f t="shared" si="39"/>
        <v>#DIV/0!</v>
      </c>
      <c r="R220" s="184">
        <f>IF('prijem -inna mena'!$I$90=TRUE,IF($C$11&gt;0,0.00025*N219,0),IF('prijem -inna mena'!$I$91=TRUE,IF('prijem -inna mena'!$F$91&gt;0,0.00025*N219*-1,0),0))</f>
        <v>0</v>
      </c>
    </row>
    <row r="221" spans="1:18" x14ac:dyDescent="0.2">
      <c r="A221" s="89">
        <v>205</v>
      </c>
      <c r="B221" s="237" t="e">
        <f t="shared" si="34"/>
        <v>#NUM!</v>
      </c>
      <c r="C221" s="142" t="e">
        <f t="shared" si="30"/>
        <v>#NUM!</v>
      </c>
      <c r="D221" s="142" t="e">
        <f t="shared" si="35"/>
        <v>#NUM!</v>
      </c>
      <c r="E221" s="142" t="e">
        <f t="shared" si="36"/>
        <v>#NUM!</v>
      </c>
      <c r="F221" s="142" t="e">
        <f t="shared" si="31"/>
        <v>#NUM!</v>
      </c>
      <c r="G221" s="184">
        <f>IF('prijem -inna mena'!$I$90=TRUE,IF($C$11&gt;0,0.00025*C220,0),IF('prijem -inna mena'!$I$91=TRUE,IF('prijem -inna mena'!$F$91&gt;0,0.00025*C220,0),0))</f>
        <v>0</v>
      </c>
      <c r="L221" s="89">
        <v>205</v>
      </c>
      <c r="M221" s="237" t="e">
        <f t="shared" si="37"/>
        <v>#DIV/0!</v>
      </c>
      <c r="N221" s="142" t="e">
        <f t="shared" si="32"/>
        <v>#DIV/0!</v>
      </c>
      <c r="O221" s="142" t="e">
        <f t="shared" si="33"/>
        <v>#DIV/0!</v>
      </c>
      <c r="P221" s="142" t="e">
        <f t="shared" si="38"/>
        <v>#DIV/0!</v>
      </c>
      <c r="Q221" s="142" t="e">
        <f t="shared" si="39"/>
        <v>#DIV/0!</v>
      </c>
      <c r="R221" s="184">
        <f>IF('prijem -inna mena'!$I$90=TRUE,IF($C$11&gt;0,0.00025*N220,0),IF('prijem -inna mena'!$I$91=TRUE,IF('prijem -inna mena'!$F$91&gt;0,0.00025*N220*-1,0),0))</f>
        <v>0</v>
      </c>
    </row>
    <row r="222" spans="1:18" x14ac:dyDescent="0.2">
      <c r="A222" s="89">
        <v>206</v>
      </c>
      <c r="B222" s="237" t="e">
        <f t="shared" si="34"/>
        <v>#NUM!</v>
      </c>
      <c r="C222" s="142" t="e">
        <f t="shared" si="30"/>
        <v>#NUM!</v>
      </c>
      <c r="D222" s="142" t="e">
        <f t="shared" si="35"/>
        <v>#NUM!</v>
      </c>
      <c r="E222" s="142" t="e">
        <f t="shared" si="36"/>
        <v>#NUM!</v>
      </c>
      <c r="F222" s="142" t="e">
        <f t="shared" si="31"/>
        <v>#NUM!</v>
      </c>
      <c r="G222" s="184">
        <f>IF('prijem -inna mena'!$I$90=TRUE,IF($C$11&gt;0,0.00025*C221,0),IF('prijem -inna mena'!$I$91=TRUE,IF('prijem -inna mena'!$F$91&gt;0,0.00025*C221,0),0))</f>
        <v>0</v>
      </c>
      <c r="L222" s="89">
        <v>206</v>
      </c>
      <c r="M222" s="237" t="e">
        <f t="shared" si="37"/>
        <v>#DIV/0!</v>
      </c>
      <c r="N222" s="142" t="e">
        <f t="shared" si="32"/>
        <v>#DIV/0!</v>
      </c>
      <c r="O222" s="142" t="e">
        <f t="shared" si="33"/>
        <v>#DIV/0!</v>
      </c>
      <c r="P222" s="142" t="e">
        <f t="shared" si="38"/>
        <v>#DIV/0!</v>
      </c>
      <c r="Q222" s="142" t="e">
        <f t="shared" si="39"/>
        <v>#DIV/0!</v>
      </c>
      <c r="R222" s="184">
        <f>IF('prijem -inna mena'!$I$90=TRUE,IF($C$11&gt;0,0.00025*N221,0),IF('prijem -inna mena'!$I$91=TRUE,IF('prijem -inna mena'!$F$91&gt;0,0.00025*N221*-1,0),0))</f>
        <v>0</v>
      </c>
    </row>
    <row r="223" spans="1:18" x14ac:dyDescent="0.2">
      <c r="A223" s="89">
        <v>207</v>
      </c>
      <c r="B223" s="237" t="e">
        <f t="shared" si="34"/>
        <v>#NUM!</v>
      </c>
      <c r="C223" s="142" t="e">
        <f t="shared" si="30"/>
        <v>#NUM!</v>
      </c>
      <c r="D223" s="142" t="e">
        <f t="shared" si="35"/>
        <v>#NUM!</v>
      </c>
      <c r="E223" s="142" t="e">
        <f t="shared" si="36"/>
        <v>#NUM!</v>
      </c>
      <c r="F223" s="142" t="e">
        <f t="shared" si="31"/>
        <v>#NUM!</v>
      </c>
      <c r="G223" s="184">
        <f>IF('prijem -inna mena'!$I$90=TRUE,IF($C$11&gt;0,0.00025*C222,0),IF('prijem -inna mena'!$I$91=TRUE,IF('prijem -inna mena'!$F$91&gt;0,0.00025*C222,0),0))</f>
        <v>0</v>
      </c>
      <c r="L223" s="89">
        <v>207</v>
      </c>
      <c r="M223" s="237" t="e">
        <f t="shared" si="37"/>
        <v>#DIV/0!</v>
      </c>
      <c r="N223" s="142" t="e">
        <f t="shared" si="32"/>
        <v>#DIV/0!</v>
      </c>
      <c r="O223" s="142" t="e">
        <f t="shared" si="33"/>
        <v>#DIV/0!</v>
      </c>
      <c r="P223" s="142" t="e">
        <f t="shared" si="38"/>
        <v>#DIV/0!</v>
      </c>
      <c r="Q223" s="142" t="e">
        <f t="shared" si="39"/>
        <v>#DIV/0!</v>
      </c>
      <c r="R223" s="184">
        <f>IF('prijem -inna mena'!$I$90=TRUE,IF($C$11&gt;0,0.00025*N222,0),IF('prijem -inna mena'!$I$91=TRUE,IF('prijem -inna mena'!$F$91&gt;0,0.00025*N222*-1,0),0))</f>
        <v>0</v>
      </c>
    </row>
    <row r="224" spans="1:18" x14ac:dyDescent="0.2">
      <c r="A224" s="89">
        <v>208</v>
      </c>
      <c r="B224" s="237" t="e">
        <f t="shared" si="34"/>
        <v>#NUM!</v>
      </c>
      <c r="C224" s="142" t="e">
        <f t="shared" si="30"/>
        <v>#NUM!</v>
      </c>
      <c r="D224" s="142" t="e">
        <f t="shared" si="35"/>
        <v>#NUM!</v>
      </c>
      <c r="E224" s="142" t="e">
        <f t="shared" si="36"/>
        <v>#NUM!</v>
      </c>
      <c r="F224" s="142" t="e">
        <f t="shared" si="31"/>
        <v>#NUM!</v>
      </c>
      <c r="G224" s="184">
        <f>IF('prijem -inna mena'!$I$90=TRUE,IF($C$11&gt;0,0.00025*C223,0),IF('prijem -inna mena'!$I$91=TRUE,IF('prijem -inna mena'!$F$91&gt;0,0.00025*C223,0),0))</f>
        <v>0</v>
      </c>
      <c r="L224" s="89">
        <v>208</v>
      </c>
      <c r="M224" s="237" t="e">
        <f t="shared" si="37"/>
        <v>#DIV/0!</v>
      </c>
      <c r="N224" s="142" t="e">
        <f t="shared" si="32"/>
        <v>#DIV/0!</v>
      </c>
      <c r="O224" s="142" t="e">
        <f t="shared" si="33"/>
        <v>#DIV/0!</v>
      </c>
      <c r="P224" s="142" t="e">
        <f t="shared" si="38"/>
        <v>#DIV/0!</v>
      </c>
      <c r="Q224" s="142" t="e">
        <f t="shared" si="39"/>
        <v>#DIV/0!</v>
      </c>
      <c r="R224" s="184">
        <f>IF('prijem -inna mena'!$I$90=TRUE,IF($C$11&gt;0,0.00025*N223,0),IF('prijem -inna mena'!$I$91=TRUE,IF('prijem -inna mena'!$F$91&gt;0,0.00025*N223*-1,0),0))</f>
        <v>0</v>
      </c>
    </row>
    <row r="225" spans="1:18" x14ac:dyDescent="0.2">
      <c r="A225" s="89">
        <v>209</v>
      </c>
      <c r="B225" s="237" t="e">
        <f t="shared" si="34"/>
        <v>#NUM!</v>
      </c>
      <c r="C225" s="142" t="e">
        <f t="shared" si="30"/>
        <v>#NUM!</v>
      </c>
      <c r="D225" s="142" t="e">
        <f t="shared" si="35"/>
        <v>#NUM!</v>
      </c>
      <c r="E225" s="142" t="e">
        <f t="shared" si="36"/>
        <v>#NUM!</v>
      </c>
      <c r="F225" s="142" t="e">
        <f t="shared" si="31"/>
        <v>#NUM!</v>
      </c>
      <c r="G225" s="184">
        <f>IF('prijem -inna mena'!$I$90=TRUE,IF($C$11&gt;0,0.00025*C224,0),IF('prijem -inna mena'!$I$91=TRUE,IF('prijem -inna mena'!$F$91&gt;0,0.00025*C224,0),0))</f>
        <v>0</v>
      </c>
      <c r="L225" s="89">
        <v>209</v>
      </c>
      <c r="M225" s="237" t="e">
        <f t="shared" si="37"/>
        <v>#DIV/0!</v>
      </c>
      <c r="N225" s="142" t="e">
        <f t="shared" si="32"/>
        <v>#DIV/0!</v>
      </c>
      <c r="O225" s="142" t="e">
        <f t="shared" si="33"/>
        <v>#DIV/0!</v>
      </c>
      <c r="P225" s="142" t="e">
        <f t="shared" si="38"/>
        <v>#DIV/0!</v>
      </c>
      <c r="Q225" s="142" t="e">
        <f t="shared" si="39"/>
        <v>#DIV/0!</v>
      </c>
      <c r="R225" s="184">
        <f>IF('prijem -inna mena'!$I$90=TRUE,IF($C$11&gt;0,0.00025*N224,0),IF('prijem -inna mena'!$I$91=TRUE,IF('prijem -inna mena'!$F$91&gt;0,0.00025*N224*-1,0),0))</f>
        <v>0</v>
      </c>
    </row>
    <row r="226" spans="1:18" x14ac:dyDescent="0.2">
      <c r="A226" s="89">
        <v>210</v>
      </c>
      <c r="B226" s="237" t="e">
        <f t="shared" si="34"/>
        <v>#NUM!</v>
      </c>
      <c r="C226" s="142" t="e">
        <f t="shared" si="30"/>
        <v>#NUM!</v>
      </c>
      <c r="D226" s="142" t="e">
        <f t="shared" si="35"/>
        <v>#NUM!</v>
      </c>
      <c r="E226" s="142" t="e">
        <f t="shared" si="36"/>
        <v>#NUM!</v>
      </c>
      <c r="F226" s="142" t="e">
        <f t="shared" si="31"/>
        <v>#NUM!</v>
      </c>
      <c r="G226" s="184">
        <f>IF('prijem -inna mena'!$I$90=TRUE,IF($C$11&gt;0,0.00025*C225,0),IF('prijem -inna mena'!$I$91=TRUE,IF('prijem -inna mena'!$F$91&gt;0,0.00025*C225,0),0))</f>
        <v>0</v>
      </c>
      <c r="L226" s="89">
        <v>210</v>
      </c>
      <c r="M226" s="237" t="e">
        <f t="shared" si="37"/>
        <v>#DIV/0!</v>
      </c>
      <c r="N226" s="142" t="e">
        <f t="shared" si="32"/>
        <v>#DIV/0!</v>
      </c>
      <c r="O226" s="142" t="e">
        <f t="shared" si="33"/>
        <v>#DIV/0!</v>
      </c>
      <c r="P226" s="142" t="e">
        <f t="shared" si="38"/>
        <v>#DIV/0!</v>
      </c>
      <c r="Q226" s="142" t="e">
        <f t="shared" si="39"/>
        <v>#DIV/0!</v>
      </c>
      <c r="R226" s="184">
        <f>IF('prijem -inna mena'!$I$90=TRUE,IF($C$11&gt;0,0.00025*N225,0),IF('prijem -inna mena'!$I$91=TRUE,IF('prijem -inna mena'!$F$91&gt;0,0.00025*N225*-1,0),0))</f>
        <v>0</v>
      </c>
    </row>
    <row r="227" spans="1:18" x14ac:dyDescent="0.2">
      <c r="A227" s="89">
        <v>211</v>
      </c>
      <c r="B227" s="237" t="e">
        <f t="shared" si="34"/>
        <v>#NUM!</v>
      </c>
      <c r="C227" s="142" t="e">
        <f t="shared" si="30"/>
        <v>#NUM!</v>
      </c>
      <c r="D227" s="142" t="e">
        <f t="shared" si="35"/>
        <v>#NUM!</v>
      </c>
      <c r="E227" s="142" t="e">
        <f t="shared" si="36"/>
        <v>#NUM!</v>
      </c>
      <c r="F227" s="142" t="e">
        <f t="shared" si="31"/>
        <v>#NUM!</v>
      </c>
      <c r="G227" s="184">
        <f>IF('prijem -inna mena'!$I$90=TRUE,IF($C$11&gt;0,0.00025*C226,0),IF('prijem -inna mena'!$I$91=TRUE,IF('prijem -inna mena'!$F$91&gt;0,0.00025*C226,0),0))</f>
        <v>0</v>
      </c>
      <c r="L227" s="89">
        <v>211</v>
      </c>
      <c r="M227" s="237" t="e">
        <f t="shared" si="37"/>
        <v>#DIV/0!</v>
      </c>
      <c r="N227" s="142" t="e">
        <f t="shared" si="32"/>
        <v>#DIV/0!</v>
      </c>
      <c r="O227" s="142" t="e">
        <f t="shared" si="33"/>
        <v>#DIV/0!</v>
      </c>
      <c r="P227" s="142" t="e">
        <f t="shared" si="38"/>
        <v>#DIV/0!</v>
      </c>
      <c r="Q227" s="142" t="e">
        <f t="shared" si="39"/>
        <v>#DIV/0!</v>
      </c>
      <c r="R227" s="184">
        <f>IF('prijem -inna mena'!$I$90=TRUE,IF($C$11&gt;0,0.00025*N226,0),IF('prijem -inna mena'!$I$91=TRUE,IF('prijem -inna mena'!$F$91&gt;0,0.00025*N226*-1,0),0))</f>
        <v>0</v>
      </c>
    </row>
    <row r="228" spans="1:18" x14ac:dyDescent="0.2">
      <c r="A228" s="89">
        <v>212</v>
      </c>
      <c r="B228" s="237" t="e">
        <f t="shared" si="34"/>
        <v>#NUM!</v>
      </c>
      <c r="C228" s="142" t="e">
        <f t="shared" si="30"/>
        <v>#NUM!</v>
      </c>
      <c r="D228" s="142" t="e">
        <f t="shared" si="35"/>
        <v>#NUM!</v>
      </c>
      <c r="E228" s="142" t="e">
        <f t="shared" si="36"/>
        <v>#NUM!</v>
      </c>
      <c r="F228" s="142" t="e">
        <f t="shared" si="31"/>
        <v>#NUM!</v>
      </c>
      <c r="G228" s="184">
        <f>IF('prijem -inna mena'!$I$90=TRUE,IF($C$11&gt;0,0.00025*C227,0),IF('prijem -inna mena'!$I$91=TRUE,IF('prijem -inna mena'!$F$91&gt;0,0.00025*C227,0),0))</f>
        <v>0</v>
      </c>
      <c r="L228" s="89">
        <v>212</v>
      </c>
      <c r="M228" s="237" t="e">
        <f t="shared" si="37"/>
        <v>#DIV/0!</v>
      </c>
      <c r="N228" s="142" t="e">
        <f t="shared" si="32"/>
        <v>#DIV/0!</v>
      </c>
      <c r="O228" s="142" t="e">
        <f t="shared" si="33"/>
        <v>#DIV/0!</v>
      </c>
      <c r="P228" s="142" t="e">
        <f t="shared" si="38"/>
        <v>#DIV/0!</v>
      </c>
      <c r="Q228" s="142" t="e">
        <f t="shared" si="39"/>
        <v>#DIV/0!</v>
      </c>
      <c r="R228" s="184">
        <f>IF('prijem -inna mena'!$I$90=TRUE,IF($C$11&gt;0,0.00025*N227,0),IF('prijem -inna mena'!$I$91=TRUE,IF('prijem -inna mena'!$F$91&gt;0,0.00025*N227*-1,0),0))</f>
        <v>0</v>
      </c>
    </row>
    <row r="229" spans="1:18" x14ac:dyDescent="0.2">
      <c r="A229" s="89">
        <v>213</v>
      </c>
      <c r="B229" s="237" t="e">
        <f t="shared" si="34"/>
        <v>#NUM!</v>
      </c>
      <c r="C229" s="142" t="e">
        <f t="shared" si="30"/>
        <v>#NUM!</v>
      </c>
      <c r="D229" s="142" t="e">
        <f t="shared" si="35"/>
        <v>#NUM!</v>
      </c>
      <c r="E229" s="142" t="e">
        <f t="shared" si="36"/>
        <v>#NUM!</v>
      </c>
      <c r="F229" s="142" t="e">
        <f t="shared" si="31"/>
        <v>#NUM!</v>
      </c>
      <c r="G229" s="184">
        <f>IF('prijem -inna mena'!$I$90=TRUE,IF($C$11&gt;0,0.00025*C228,0),IF('prijem -inna mena'!$I$91=TRUE,IF('prijem -inna mena'!$F$91&gt;0,0.00025*C228,0),0))</f>
        <v>0</v>
      </c>
      <c r="L229" s="89">
        <v>213</v>
      </c>
      <c r="M229" s="237" t="e">
        <f t="shared" si="37"/>
        <v>#DIV/0!</v>
      </c>
      <c r="N229" s="142" t="e">
        <f t="shared" si="32"/>
        <v>#DIV/0!</v>
      </c>
      <c r="O229" s="142" t="e">
        <f t="shared" si="33"/>
        <v>#DIV/0!</v>
      </c>
      <c r="P229" s="142" t="e">
        <f t="shared" si="38"/>
        <v>#DIV/0!</v>
      </c>
      <c r="Q229" s="142" t="e">
        <f t="shared" si="39"/>
        <v>#DIV/0!</v>
      </c>
      <c r="R229" s="184">
        <f>IF('prijem -inna mena'!$I$90=TRUE,IF($C$11&gt;0,0.00025*N228,0),IF('prijem -inna mena'!$I$91=TRUE,IF('prijem -inna mena'!$F$91&gt;0,0.00025*N228*-1,0),0))</f>
        <v>0</v>
      </c>
    </row>
    <row r="230" spans="1:18" x14ac:dyDescent="0.2">
      <c r="A230" s="89">
        <v>214</v>
      </c>
      <c r="B230" s="237" t="e">
        <f t="shared" si="34"/>
        <v>#NUM!</v>
      </c>
      <c r="C230" s="142" t="e">
        <f t="shared" si="30"/>
        <v>#NUM!</v>
      </c>
      <c r="D230" s="142" t="e">
        <f t="shared" si="35"/>
        <v>#NUM!</v>
      </c>
      <c r="E230" s="142" t="e">
        <f t="shared" si="36"/>
        <v>#NUM!</v>
      </c>
      <c r="F230" s="142" t="e">
        <f t="shared" si="31"/>
        <v>#NUM!</v>
      </c>
      <c r="G230" s="184">
        <f>IF('prijem -inna mena'!$I$90=TRUE,IF($C$11&gt;0,0.00025*C229,0),IF('prijem -inna mena'!$I$91=TRUE,IF('prijem -inna mena'!$F$91&gt;0,0.00025*C229,0),0))</f>
        <v>0</v>
      </c>
      <c r="L230" s="89">
        <v>214</v>
      </c>
      <c r="M230" s="237" t="e">
        <f t="shared" si="37"/>
        <v>#DIV/0!</v>
      </c>
      <c r="N230" s="142" t="e">
        <f t="shared" si="32"/>
        <v>#DIV/0!</v>
      </c>
      <c r="O230" s="142" t="e">
        <f t="shared" si="33"/>
        <v>#DIV/0!</v>
      </c>
      <c r="P230" s="142" t="e">
        <f t="shared" si="38"/>
        <v>#DIV/0!</v>
      </c>
      <c r="Q230" s="142" t="e">
        <f t="shared" si="39"/>
        <v>#DIV/0!</v>
      </c>
      <c r="R230" s="184">
        <f>IF('prijem -inna mena'!$I$90=TRUE,IF($C$11&gt;0,0.00025*N229,0),IF('prijem -inna mena'!$I$91=TRUE,IF('prijem -inna mena'!$F$91&gt;0,0.00025*N229*-1,0),0))</f>
        <v>0</v>
      </c>
    </row>
    <row r="231" spans="1:18" x14ac:dyDescent="0.2">
      <c r="A231" s="89">
        <v>215</v>
      </c>
      <c r="B231" s="237" t="e">
        <f t="shared" si="34"/>
        <v>#NUM!</v>
      </c>
      <c r="C231" s="142" t="e">
        <f t="shared" si="30"/>
        <v>#NUM!</v>
      </c>
      <c r="D231" s="142" t="e">
        <f t="shared" si="35"/>
        <v>#NUM!</v>
      </c>
      <c r="E231" s="142" t="e">
        <f t="shared" si="36"/>
        <v>#NUM!</v>
      </c>
      <c r="F231" s="142" t="e">
        <f t="shared" si="31"/>
        <v>#NUM!</v>
      </c>
      <c r="G231" s="184">
        <f>IF('prijem -inna mena'!$I$90=TRUE,IF($C$11&gt;0,0.00025*C230,0),IF('prijem -inna mena'!$I$91=TRUE,IF('prijem -inna mena'!$F$91&gt;0,0.00025*C230,0),0))</f>
        <v>0</v>
      </c>
      <c r="L231" s="89">
        <v>215</v>
      </c>
      <c r="M231" s="237" t="e">
        <f t="shared" si="37"/>
        <v>#DIV/0!</v>
      </c>
      <c r="N231" s="142" t="e">
        <f t="shared" si="32"/>
        <v>#DIV/0!</v>
      </c>
      <c r="O231" s="142" t="e">
        <f t="shared" si="33"/>
        <v>#DIV/0!</v>
      </c>
      <c r="P231" s="142" t="e">
        <f t="shared" si="38"/>
        <v>#DIV/0!</v>
      </c>
      <c r="Q231" s="142" t="e">
        <f t="shared" si="39"/>
        <v>#DIV/0!</v>
      </c>
      <c r="R231" s="184">
        <f>IF('prijem -inna mena'!$I$90=TRUE,IF($C$11&gt;0,0.00025*N230,0),IF('prijem -inna mena'!$I$91=TRUE,IF('prijem -inna mena'!$F$91&gt;0,0.00025*N230*-1,0),0))</f>
        <v>0</v>
      </c>
    </row>
    <row r="232" spans="1:18" x14ac:dyDescent="0.2">
      <c r="A232" s="89">
        <v>216</v>
      </c>
      <c r="B232" s="237" t="e">
        <f t="shared" si="34"/>
        <v>#NUM!</v>
      </c>
      <c r="C232" s="142" t="e">
        <f t="shared" si="30"/>
        <v>#NUM!</v>
      </c>
      <c r="D232" s="142" t="e">
        <f t="shared" si="35"/>
        <v>#NUM!</v>
      </c>
      <c r="E232" s="142" t="e">
        <f t="shared" si="36"/>
        <v>#NUM!</v>
      </c>
      <c r="F232" s="142" t="e">
        <f t="shared" si="31"/>
        <v>#NUM!</v>
      </c>
      <c r="G232" s="184">
        <f>IF('prijem -inna mena'!$I$90=TRUE,IF($C$11&gt;0,0.00025*C231,0),IF('prijem -inna mena'!$I$91=TRUE,IF('prijem -inna mena'!$F$91&gt;0,0.00025*C231,0),0))</f>
        <v>0</v>
      </c>
      <c r="L232" s="89">
        <v>216</v>
      </c>
      <c r="M232" s="237" t="e">
        <f t="shared" si="37"/>
        <v>#DIV/0!</v>
      </c>
      <c r="N232" s="142" t="e">
        <f t="shared" si="32"/>
        <v>#DIV/0!</v>
      </c>
      <c r="O232" s="142" t="e">
        <f t="shared" si="33"/>
        <v>#DIV/0!</v>
      </c>
      <c r="P232" s="142" t="e">
        <f t="shared" si="38"/>
        <v>#DIV/0!</v>
      </c>
      <c r="Q232" s="142" t="e">
        <f t="shared" si="39"/>
        <v>#DIV/0!</v>
      </c>
      <c r="R232" s="184">
        <f>IF('prijem -inna mena'!$I$90=TRUE,IF($C$11&gt;0,0.00025*N231,0),IF('prijem -inna mena'!$I$91=TRUE,IF('prijem -inna mena'!$F$91&gt;0,0.00025*N231*-1,0),0))</f>
        <v>0</v>
      </c>
    </row>
    <row r="233" spans="1:18" x14ac:dyDescent="0.2">
      <c r="A233" s="89">
        <v>217</v>
      </c>
      <c r="B233" s="237" t="e">
        <f t="shared" si="34"/>
        <v>#NUM!</v>
      </c>
      <c r="C233" s="142" t="e">
        <f t="shared" si="30"/>
        <v>#NUM!</v>
      </c>
      <c r="D233" s="142" t="e">
        <f t="shared" si="35"/>
        <v>#NUM!</v>
      </c>
      <c r="E233" s="142" t="e">
        <f t="shared" si="36"/>
        <v>#NUM!</v>
      </c>
      <c r="F233" s="142" t="e">
        <f t="shared" si="31"/>
        <v>#NUM!</v>
      </c>
      <c r="G233" s="184">
        <f>IF('prijem -inna mena'!$I$90=TRUE,IF($C$11&gt;0,0.00025*C232,0),IF('prijem -inna mena'!$I$91=TRUE,IF('prijem -inna mena'!$F$91&gt;0,0.00025*C232,0),0))</f>
        <v>0</v>
      </c>
      <c r="L233" s="89">
        <v>217</v>
      </c>
      <c r="M233" s="237" t="e">
        <f t="shared" si="37"/>
        <v>#DIV/0!</v>
      </c>
      <c r="N233" s="142" t="e">
        <f t="shared" si="32"/>
        <v>#DIV/0!</v>
      </c>
      <c r="O233" s="142" t="e">
        <f t="shared" si="33"/>
        <v>#DIV/0!</v>
      </c>
      <c r="P233" s="142" t="e">
        <f t="shared" si="38"/>
        <v>#DIV/0!</v>
      </c>
      <c r="Q233" s="142" t="e">
        <f t="shared" si="39"/>
        <v>#DIV/0!</v>
      </c>
      <c r="R233" s="184">
        <f>IF('prijem -inna mena'!$I$90=TRUE,IF($C$11&gt;0,0.00025*N232,0),IF('prijem -inna mena'!$I$91=TRUE,IF('prijem -inna mena'!$F$91&gt;0,0.00025*N232*-1,0),0))</f>
        <v>0</v>
      </c>
    </row>
    <row r="234" spans="1:18" x14ac:dyDescent="0.2">
      <c r="A234" s="89">
        <v>218</v>
      </c>
      <c r="B234" s="237" t="e">
        <f t="shared" si="34"/>
        <v>#NUM!</v>
      </c>
      <c r="C234" s="142" t="e">
        <f t="shared" si="30"/>
        <v>#NUM!</v>
      </c>
      <c r="D234" s="142" t="e">
        <f t="shared" si="35"/>
        <v>#NUM!</v>
      </c>
      <c r="E234" s="142" t="e">
        <f t="shared" si="36"/>
        <v>#NUM!</v>
      </c>
      <c r="F234" s="142" t="e">
        <f t="shared" si="31"/>
        <v>#NUM!</v>
      </c>
      <c r="G234" s="184">
        <f>IF('prijem -inna mena'!$I$90=TRUE,IF($C$11&gt;0,0.00025*C233,0),IF('prijem -inna mena'!$I$91=TRUE,IF('prijem -inna mena'!$F$91&gt;0,0.00025*C233,0),0))</f>
        <v>0</v>
      </c>
      <c r="L234" s="89">
        <v>218</v>
      </c>
      <c r="M234" s="237" t="e">
        <f t="shared" si="37"/>
        <v>#DIV/0!</v>
      </c>
      <c r="N234" s="142" t="e">
        <f t="shared" si="32"/>
        <v>#DIV/0!</v>
      </c>
      <c r="O234" s="142" t="e">
        <f t="shared" si="33"/>
        <v>#DIV/0!</v>
      </c>
      <c r="P234" s="142" t="e">
        <f t="shared" si="38"/>
        <v>#DIV/0!</v>
      </c>
      <c r="Q234" s="142" t="e">
        <f t="shared" si="39"/>
        <v>#DIV/0!</v>
      </c>
      <c r="R234" s="184">
        <f>IF('prijem -inna mena'!$I$90=TRUE,IF($C$11&gt;0,0.00025*N233,0),IF('prijem -inna mena'!$I$91=TRUE,IF('prijem -inna mena'!$F$91&gt;0,0.00025*N233*-1,0),0))</f>
        <v>0</v>
      </c>
    </row>
    <row r="235" spans="1:18" x14ac:dyDescent="0.2">
      <c r="A235" s="89">
        <v>219</v>
      </c>
      <c r="B235" s="237" t="e">
        <f t="shared" si="34"/>
        <v>#NUM!</v>
      </c>
      <c r="C235" s="142" t="e">
        <f t="shared" si="30"/>
        <v>#NUM!</v>
      </c>
      <c r="D235" s="142" t="e">
        <f t="shared" si="35"/>
        <v>#NUM!</v>
      </c>
      <c r="E235" s="142" t="e">
        <f t="shared" si="36"/>
        <v>#NUM!</v>
      </c>
      <c r="F235" s="142" t="e">
        <f t="shared" si="31"/>
        <v>#NUM!</v>
      </c>
      <c r="G235" s="184">
        <f>IF('prijem -inna mena'!$I$90=TRUE,IF($C$11&gt;0,0.00025*C234,0),IF('prijem -inna mena'!$I$91=TRUE,IF('prijem -inna mena'!$F$91&gt;0,0.00025*C234,0),0))</f>
        <v>0</v>
      </c>
      <c r="L235" s="89">
        <v>219</v>
      </c>
      <c r="M235" s="237" t="e">
        <f t="shared" si="37"/>
        <v>#DIV/0!</v>
      </c>
      <c r="N235" s="142" t="e">
        <f t="shared" si="32"/>
        <v>#DIV/0!</v>
      </c>
      <c r="O235" s="142" t="e">
        <f t="shared" si="33"/>
        <v>#DIV/0!</v>
      </c>
      <c r="P235" s="142" t="e">
        <f t="shared" si="38"/>
        <v>#DIV/0!</v>
      </c>
      <c r="Q235" s="142" t="e">
        <f t="shared" si="39"/>
        <v>#DIV/0!</v>
      </c>
      <c r="R235" s="184">
        <f>IF('prijem -inna mena'!$I$90=TRUE,IF($C$11&gt;0,0.00025*N234,0),IF('prijem -inna mena'!$I$91=TRUE,IF('prijem -inna mena'!$F$91&gt;0,0.00025*N234*-1,0),0))</f>
        <v>0</v>
      </c>
    </row>
    <row r="236" spans="1:18" x14ac:dyDescent="0.2">
      <c r="A236" s="89">
        <v>220</v>
      </c>
      <c r="B236" s="237" t="e">
        <f t="shared" si="34"/>
        <v>#NUM!</v>
      </c>
      <c r="C236" s="142" t="e">
        <f t="shared" si="30"/>
        <v>#NUM!</v>
      </c>
      <c r="D236" s="142" t="e">
        <f t="shared" si="35"/>
        <v>#NUM!</v>
      </c>
      <c r="E236" s="142" t="e">
        <f t="shared" si="36"/>
        <v>#NUM!</v>
      </c>
      <c r="F236" s="142" t="e">
        <f t="shared" si="31"/>
        <v>#NUM!</v>
      </c>
      <c r="G236" s="184">
        <f>IF('prijem -inna mena'!$I$90=TRUE,IF($C$11&gt;0,0.00025*C235,0),IF('prijem -inna mena'!$I$91=TRUE,IF('prijem -inna mena'!$F$91&gt;0,0.00025*C235,0),0))</f>
        <v>0</v>
      </c>
      <c r="L236" s="89">
        <v>220</v>
      </c>
      <c r="M236" s="237" t="e">
        <f t="shared" si="37"/>
        <v>#DIV/0!</v>
      </c>
      <c r="N236" s="142" t="e">
        <f t="shared" si="32"/>
        <v>#DIV/0!</v>
      </c>
      <c r="O236" s="142" t="e">
        <f t="shared" si="33"/>
        <v>#DIV/0!</v>
      </c>
      <c r="P236" s="142" t="e">
        <f t="shared" si="38"/>
        <v>#DIV/0!</v>
      </c>
      <c r="Q236" s="142" t="e">
        <f t="shared" si="39"/>
        <v>#DIV/0!</v>
      </c>
      <c r="R236" s="184">
        <f>IF('prijem -inna mena'!$I$90=TRUE,IF($C$11&gt;0,0.00025*N235,0),IF('prijem -inna mena'!$I$91=TRUE,IF('prijem -inna mena'!$F$91&gt;0,0.00025*N235*-1,0),0))</f>
        <v>0</v>
      </c>
    </row>
    <row r="237" spans="1:18" x14ac:dyDescent="0.2">
      <c r="A237" s="89">
        <v>221</v>
      </c>
      <c r="B237" s="237" t="e">
        <f t="shared" si="34"/>
        <v>#NUM!</v>
      </c>
      <c r="C237" s="142" t="e">
        <f t="shared" si="30"/>
        <v>#NUM!</v>
      </c>
      <c r="D237" s="142" t="e">
        <f t="shared" si="35"/>
        <v>#NUM!</v>
      </c>
      <c r="E237" s="142" t="e">
        <f t="shared" si="36"/>
        <v>#NUM!</v>
      </c>
      <c r="F237" s="142" t="e">
        <f t="shared" si="31"/>
        <v>#NUM!</v>
      </c>
      <c r="G237" s="184">
        <f>IF('prijem -inna mena'!$I$90=TRUE,IF($C$11&gt;0,0.00025*C236,0),IF('prijem -inna mena'!$I$91=TRUE,IF('prijem -inna mena'!$F$91&gt;0,0.00025*C236,0),0))</f>
        <v>0</v>
      </c>
      <c r="L237" s="89">
        <v>221</v>
      </c>
      <c r="M237" s="237" t="e">
        <f t="shared" si="37"/>
        <v>#DIV/0!</v>
      </c>
      <c r="N237" s="142" t="e">
        <f t="shared" si="32"/>
        <v>#DIV/0!</v>
      </c>
      <c r="O237" s="142" t="e">
        <f t="shared" si="33"/>
        <v>#DIV/0!</v>
      </c>
      <c r="P237" s="142" t="e">
        <f t="shared" si="38"/>
        <v>#DIV/0!</v>
      </c>
      <c r="Q237" s="142" t="e">
        <f t="shared" si="39"/>
        <v>#DIV/0!</v>
      </c>
      <c r="R237" s="184">
        <f>IF('prijem -inna mena'!$I$90=TRUE,IF($C$11&gt;0,0.00025*N236,0),IF('prijem -inna mena'!$I$91=TRUE,IF('prijem -inna mena'!$F$91&gt;0,0.00025*N236*-1,0),0))</f>
        <v>0</v>
      </c>
    </row>
    <row r="238" spans="1:18" x14ac:dyDescent="0.2">
      <c r="A238" s="89">
        <v>222</v>
      </c>
      <c r="B238" s="237" t="e">
        <f t="shared" si="34"/>
        <v>#NUM!</v>
      </c>
      <c r="C238" s="142" t="e">
        <f t="shared" si="30"/>
        <v>#NUM!</v>
      </c>
      <c r="D238" s="142" t="e">
        <f t="shared" si="35"/>
        <v>#NUM!</v>
      </c>
      <c r="E238" s="142" t="e">
        <f t="shared" si="36"/>
        <v>#NUM!</v>
      </c>
      <c r="F238" s="142" t="e">
        <f t="shared" si="31"/>
        <v>#NUM!</v>
      </c>
      <c r="G238" s="184">
        <f>IF('prijem -inna mena'!$I$90=TRUE,IF($C$11&gt;0,0.00025*C237,0),IF('prijem -inna mena'!$I$91=TRUE,IF('prijem -inna mena'!$F$91&gt;0,0.00025*C237,0),0))</f>
        <v>0</v>
      </c>
      <c r="L238" s="89">
        <v>222</v>
      </c>
      <c r="M238" s="237" t="e">
        <f t="shared" si="37"/>
        <v>#DIV/0!</v>
      </c>
      <c r="N238" s="142" t="e">
        <f t="shared" si="32"/>
        <v>#DIV/0!</v>
      </c>
      <c r="O238" s="142" t="e">
        <f t="shared" si="33"/>
        <v>#DIV/0!</v>
      </c>
      <c r="P238" s="142" t="e">
        <f t="shared" si="38"/>
        <v>#DIV/0!</v>
      </c>
      <c r="Q238" s="142" t="e">
        <f t="shared" si="39"/>
        <v>#DIV/0!</v>
      </c>
      <c r="R238" s="184">
        <f>IF('prijem -inna mena'!$I$90=TRUE,IF($C$11&gt;0,0.00025*N237,0),IF('prijem -inna mena'!$I$91=TRUE,IF('prijem -inna mena'!$F$91&gt;0,0.00025*N237*-1,0),0))</f>
        <v>0</v>
      </c>
    </row>
    <row r="239" spans="1:18" x14ac:dyDescent="0.2">
      <c r="A239" s="89">
        <v>223</v>
      </c>
      <c r="B239" s="237" t="e">
        <f t="shared" si="34"/>
        <v>#NUM!</v>
      </c>
      <c r="C239" s="142" t="e">
        <f t="shared" si="30"/>
        <v>#NUM!</v>
      </c>
      <c r="D239" s="142" t="e">
        <f t="shared" si="35"/>
        <v>#NUM!</v>
      </c>
      <c r="E239" s="142" t="e">
        <f t="shared" si="36"/>
        <v>#NUM!</v>
      </c>
      <c r="F239" s="142" t="e">
        <f t="shared" si="31"/>
        <v>#NUM!</v>
      </c>
      <c r="G239" s="184">
        <f>IF('prijem -inna mena'!$I$90=TRUE,IF($C$11&gt;0,0.00025*C238,0),IF('prijem -inna mena'!$I$91=TRUE,IF('prijem -inna mena'!$F$91&gt;0,0.00025*C238,0),0))</f>
        <v>0</v>
      </c>
      <c r="L239" s="89">
        <v>223</v>
      </c>
      <c r="M239" s="237" t="e">
        <f t="shared" si="37"/>
        <v>#DIV/0!</v>
      </c>
      <c r="N239" s="142" t="e">
        <f t="shared" si="32"/>
        <v>#DIV/0!</v>
      </c>
      <c r="O239" s="142" t="e">
        <f t="shared" si="33"/>
        <v>#DIV/0!</v>
      </c>
      <c r="P239" s="142" t="e">
        <f t="shared" si="38"/>
        <v>#DIV/0!</v>
      </c>
      <c r="Q239" s="142" t="e">
        <f t="shared" si="39"/>
        <v>#DIV/0!</v>
      </c>
      <c r="R239" s="184">
        <f>IF('prijem -inna mena'!$I$90=TRUE,IF($C$11&gt;0,0.00025*N238,0),IF('prijem -inna mena'!$I$91=TRUE,IF('prijem -inna mena'!$F$91&gt;0,0.00025*N238*-1,0),0))</f>
        <v>0</v>
      </c>
    </row>
    <row r="240" spans="1:18" x14ac:dyDescent="0.2">
      <c r="A240" s="89">
        <v>224</v>
      </c>
      <c r="B240" s="237" t="e">
        <f t="shared" si="34"/>
        <v>#NUM!</v>
      </c>
      <c r="C240" s="142" t="e">
        <f t="shared" si="30"/>
        <v>#NUM!</v>
      </c>
      <c r="D240" s="142" t="e">
        <f t="shared" si="35"/>
        <v>#NUM!</v>
      </c>
      <c r="E240" s="142" t="e">
        <f t="shared" si="36"/>
        <v>#NUM!</v>
      </c>
      <c r="F240" s="142" t="e">
        <f t="shared" si="31"/>
        <v>#NUM!</v>
      </c>
      <c r="G240" s="184">
        <f>IF('prijem -inna mena'!$I$90=TRUE,IF($C$11&gt;0,0.00025*C239,0),IF('prijem -inna mena'!$I$91=TRUE,IF('prijem -inna mena'!$F$91&gt;0,0.00025*C239,0),0))</f>
        <v>0</v>
      </c>
      <c r="L240" s="89">
        <v>224</v>
      </c>
      <c r="M240" s="237" t="e">
        <f t="shared" si="37"/>
        <v>#DIV/0!</v>
      </c>
      <c r="N240" s="142" t="e">
        <f t="shared" si="32"/>
        <v>#DIV/0!</v>
      </c>
      <c r="O240" s="142" t="e">
        <f t="shared" si="33"/>
        <v>#DIV/0!</v>
      </c>
      <c r="P240" s="142" t="e">
        <f t="shared" si="38"/>
        <v>#DIV/0!</v>
      </c>
      <c r="Q240" s="142" t="e">
        <f t="shared" si="39"/>
        <v>#DIV/0!</v>
      </c>
      <c r="R240" s="184">
        <f>IF('prijem -inna mena'!$I$90=TRUE,IF($C$11&gt;0,0.00025*N239,0),IF('prijem -inna mena'!$I$91=TRUE,IF('prijem -inna mena'!$F$91&gt;0,0.00025*N239*-1,0),0))</f>
        <v>0</v>
      </c>
    </row>
    <row r="241" spans="1:18" x14ac:dyDescent="0.2">
      <c r="A241" s="89">
        <v>225</v>
      </c>
      <c r="B241" s="237" t="e">
        <f t="shared" si="34"/>
        <v>#NUM!</v>
      </c>
      <c r="C241" s="142" t="e">
        <f t="shared" si="30"/>
        <v>#NUM!</v>
      </c>
      <c r="D241" s="142" t="e">
        <f t="shared" si="35"/>
        <v>#NUM!</v>
      </c>
      <c r="E241" s="142" t="e">
        <f t="shared" si="36"/>
        <v>#NUM!</v>
      </c>
      <c r="F241" s="142" t="e">
        <f t="shared" si="31"/>
        <v>#NUM!</v>
      </c>
      <c r="G241" s="184">
        <f>IF('prijem -inna mena'!$I$90=TRUE,IF($C$11&gt;0,0.00025*C240,0),IF('prijem -inna mena'!$I$91=TRUE,IF('prijem -inna mena'!$F$91&gt;0,0.00025*C240,0),0))</f>
        <v>0</v>
      </c>
      <c r="L241" s="89">
        <v>225</v>
      </c>
      <c r="M241" s="237" t="e">
        <f t="shared" si="37"/>
        <v>#DIV/0!</v>
      </c>
      <c r="N241" s="142" t="e">
        <f t="shared" si="32"/>
        <v>#DIV/0!</v>
      </c>
      <c r="O241" s="142" t="e">
        <f t="shared" si="33"/>
        <v>#DIV/0!</v>
      </c>
      <c r="P241" s="142" t="e">
        <f t="shared" si="38"/>
        <v>#DIV/0!</v>
      </c>
      <c r="Q241" s="142" t="e">
        <f t="shared" si="39"/>
        <v>#DIV/0!</v>
      </c>
      <c r="R241" s="184">
        <f>IF('prijem -inna mena'!$I$90=TRUE,IF($C$11&gt;0,0.00025*N240,0),IF('prijem -inna mena'!$I$91=TRUE,IF('prijem -inna mena'!$F$91&gt;0,0.00025*N240*-1,0),0))</f>
        <v>0</v>
      </c>
    </row>
    <row r="242" spans="1:18" x14ac:dyDescent="0.2">
      <c r="A242" s="89">
        <v>226</v>
      </c>
      <c r="B242" s="237" t="e">
        <f t="shared" si="34"/>
        <v>#NUM!</v>
      </c>
      <c r="C242" s="142" t="e">
        <f t="shared" si="30"/>
        <v>#NUM!</v>
      </c>
      <c r="D242" s="142" t="e">
        <f t="shared" si="35"/>
        <v>#NUM!</v>
      </c>
      <c r="E242" s="142" t="e">
        <f t="shared" si="36"/>
        <v>#NUM!</v>
      </c>
      <c r="F242" s="142" t="e">
        <f t="shared" si="31"/>
        <v>#NUM!</v>
      </c>
      <c r="G242" s="184">
        <f>IF('prijem -inna mena'!$I$90=TRUE,IF($C$11&gt;0,0.00025*C241,0),IF('prijem -inna mena'!$I$91=TRUE,IF('prijem -inna mena'!$F$91&gt;0,0.00025*C241,0),0))</f>
        <v>0</v>
      </c>
      <c r="L242" s="89">
        <v>226</v>
      </c>
      <c r="M242" s="237" t="e">
        <f t="shared" si="37"/>
        <v>#DIV/0!</v>
      </c>
      <c r="N242" s="142" t="e">
        <f t="shared" si="32"/>
        <v>#DIV/0!</v>
      </c>
      <c r="O242" s="142" t="e">
        <f t="shared" si="33"/>
        <v>#DIV/0!</v>
      </c>
      <c r="P242" s="142" t="e">
        <f t="shared" si="38"/>
        <v>#DIV/0!</v>
      </c>
      <c r="Q242" s="142" t="e">
        <f t="shared" si="39"/>
        <v>#DIV/0!</v>
      </c>
      <c r="R242" s="184">
        <f>IF('prijem -inna mena'!$I$90=TRUE,IF($C$11&gt;0,0.00025*N241,0),IF('prijem -inna mena'!$I$91=TRUE,IF('prijem -inna mena'!$F$91&gt;0,0.00025*N241*-1,0),0))</f>
        <v>0</v>
      </c>
    </row>
    <row r="243" spans="1:18" x14ac:dyDescent="0.2">
      <c r="A243" s="89">
        <v>227</v>
      </c>
      <c r="B243" s="237" t="e">
        <f t="shared" si="34"/>
        <v>#NUM!</v>
      </c>
      <c r="C243" s="142" t="e">
        <f t="shared" si="30"/>
        <v>#NUM!</v>
      </c>
      <c r="D243" s="142" t="e">
        <f t="shared" si="35"/>
        <v>#NUM!</v>
      </c>
      <c r="E243" s="142" t="e">
        <f t="shared" si="36"/>
        <v>#NUM!</v>
      </c>
      <c r="F243" s="142" t="e">
        <f t="shared" si="31"/>
        <v>#NUM!</v>
      </c>
      <c r="G243" s="184">
        <f>IF('prijem -inna mena'!$I$90=TRUE,IF($C$11&gt;0,0.00025*C242,0),IF('prijem -inna mena'!$I$91=TRUE,IF('prijem -inna mena'!$F$91&gt;0,0.00025*C242,0),0))</f>
        <v>0</v>
      </c>
      <c r="L243" s="89">
        <v>227</v>
      </c>
      <c r="M243" s="237" t="e">
        <f t="shared" si="37"/>
        <v>#DIV/0!</v>
      </c>
      <c r="N243" s="142" t="e">
        <f t="shared" si="32"/>
        <v>#DIV/0!</v>
      </c>
      <c r="O243" s="142" t="e">
        <f t="shared" si="33"/>
        <v>#DIV/0!</v>
      </c>
      <c r="P243" s="142" t="e">
        <f t="shared" si="38"/>
        <v>#DIV/0!</v>
      </c>
      <c r="Q243" s="142" t="e">
        <f t="shared" si="39"/>
        <v>#DIV/0!</v>
      </c>
      <c r="R243" s="184">
        <f>IF('prijem -inna mena'!$I$90=TRUE,IF($C$11&gt;0,0.00025*N242,0),IF('prijem -inna mena'!$I$91=TRUE,IF('prijem -inna mena'!$F$91&gt;0,0.00025*N242*-1,0),0))</f>
        <v>0</v>
      </c>
    </row>
    <row r="244" spans="1:18" x14ac:dyDescent="0.2">
      <c r="A244" s="89">
        <v>228</v>
      </c>
      <c r="B244" s="237" t="e">
        <f t="shared" si="34"/>
        <v>#NUM!</v>
      </c>
      <c r="C244" s="142" t="e">
        <f t="shared" si="30"/>
        <v>#NUM!</v>
      </c>
      <c r="D244" s="142" t="e">
        <f t="shared" si="35"/>
        <v>#NUM!</v>
      </c>
      <c r="E244" s="142" t="e">
        <f t="shared" si="36"/>
        <v>#NUM!</v>
      </c>
      <c r="F244" s="142" t="e">
        <f t="shared" si="31"/>
        <v>#NUM!</v>
      </c>
      <c r="G244" s="184">
        <f>IF('prijem -inna mena'!$I$90=TRUE,IF($C$11&gt;0,0.00025*C243,0),IF('prijem -inna mena'!$I$91=TRUE,IF('prijem -inna mena'!$F$91&gt;0,0.00025*C243,0),0))</f>
        <v>0</v>
      </c>
      <c r="L244" s="89">
        <v>228</v>
      </c>
      <c r="M244" s="237" t="e">
        <f t="shared" si="37"/>
        <v>#DIV/0!</v>
      </c>
      <c r="N244" s="142" t="e">
        <f t="shared" si="32"/>
        <v>#DIV/0!</v>
      </c>
      <c r="O244" s="142" t="e">
        <f t="shared" si="33"/>
        <v>#DIV/0!</v>
      </c>
      <c r="P244" s="142" t="e">
        <f t="shared" si="38"/>
        <v>#DIV/0!</v>
      </c>
      <c r="Q244" s="142" t="e">
        <f t="shared" si="39"/>
        <v>#DIV/0!</v>
      </c>
      <c r="R244" s="184">
        <f>IF('prijem -inna mena'!$I$90=TRUE,IF($C$11&gt;0,0.00025*N243,0),IF('prijem -inna mena'!$I$91=TRUE,IF('prijem -inna mena'!$F$91&gt;0,0.00025*N243*-1,0),0))</f>
        <v>0</v>
      </c>
    </row>
    <row r="245" spans="1:18" x14ac:dyDescent="0.2">
      <c r="A245" s="89">
        <v>229</v>
      </c>
      <c r="B245" s="237" t="e">
        <f t="shared" si="34"/>
        <v>#NUM!</v>
      </c>
      <c r="C245" s="142" t="e">
        <f t="shared" si="30"/>
        <v>#NUM!</v>
      </c>
      <c r="D245" s="142" t="e">
        <f t="shared" si="35"/>
        <v>#NUM!</v>
      </c>
      <c r="E245" s="142" t="e">
        <f t="shared" si="36"/>
        <v>#NUM!</v>
      </c>
      <c r="F245" s="142" t="e">
        <f t="shared" si="31"/>
        <v>#NUM!</v>
      </c>
      <c r="G245" s="184">
        <f>IF('prijem -inna mena'!$I$90=TRUE,IF($C$11&gt;0,0.00025*C244,0),IF('prijem -inna mena'!$I$91=TRUE,IF('prijem -inna mena'!$F$91&gt;0,0.00025*C244,0),0))</f>
        <v>0</v>
      </c>
      <c r="L245" s="89">
        <v>229</v>
      </c>
      <c r="M245" s="237" t="e">
        <f t="shared" si="37"/>
        <v>#DIV/0!</v>
      </c>
      <c r="N245" s="142" t="e">
        <f t="shared" si="32"/>
        <v>#DIV/0!</v>
      </c>
      <c r="O245" s="142" t="e">
        <f t="shared" si="33"/>
        <v>#DIV/0!</v>
      </c>
      <c r="P245" s="142" t="e">
        <f t="shared" si="38"/>
        <v>#DIV/0!</v>
      </c>
      <c r="Q245" s="142" t="e">
        <f t="shared" si="39"/>
        <v>#DIV/0!</v>
      </c>
      <c r="R245" s="184">
        <f>IF('prijem -inna mena'!$I$90=TRUE,IF($C$11&gt;0,0.00025*N244,0),IF('prijem -inna mena'!$I$91=TRUE,IF('prijem -inna mena'!$F$91&gt;0,0.00025*N244*-1,0),0))</f>
        <v>0</v>
      </c>
    </row>
    <row r="246" spans="1:18" x14ac:dyDescent="0.2">
      <c r="A246" s="89">
        <v>230</v>
      </c>
      <c r="B246" s="237" t="e">
        <f t="shared" si="34"/>
        <v>#NUM!</v>
      </c>
      <c r="C246" s="142" t="e">
        <f t="shared" si="30"/>
        <v>#NUM!</v>
      </c>
      <c r="D246" s="142" t="e">
        <f t="shared" si="35"/>
        <v>#NUM!</v>
      </c>
      <c r="E246" s="142" t="e">
        <f t="shared" si="36"/>
        <v>#NUM!</v>
      </c>
      <c r="F246" s="142" t="e">
        <f t="shared" si="31"/>
        <v>#NUM!</v>
      </c>
      <c r="G246" s="184">
        <f>IF('prijem -inna mena'!$I$90=TRUE,IF($C$11&gt;0,0.00025*C245,0),IF('prijem -inna mena'!$I$91=TRUE,IF('prijem -inna mena'!$F$91&gt;0,0.00025*C245,0),0))</f>
        <v>0</v>
      </c>
      <c r="L246" s="89">
        <v>230</v>
      </c>
      <c r="M246" s="237" t="e">
        <f t="shared" si="37"/>
        <v>#DIV/0!</v>
      </c>
      <c r="N246" s="142" t="e">
        <f t="shared" si="32"/>
        <v>#DIV/0!</v>
      </c>
      <c r="O246" s="142" t="e">
        <f t="shared" si="33"/>
        <v>#DIV/0!</v>
      </c>
      <c r="P246" s="142" t="e">
        <f t="shared" si="38"/>
        <v>#DIV/0!</v>
      </c>
      <c r="Q246" s="142" t="e">
        <f t="shared" si="39"/>
        <v>#DIV/0!</v>
      </c>
      <c r="R246" s="184">
        <f>IF('prijem -inna mena'!$I$90=TRUE,IF($C$11&gt;0,0.00025*N245,0),IF('prijem -inna mena'!$I$91=TRUE,IF('prijem -inna mena'!$F$91&gt;0,0.00025*N245*-1,0),0))</f>
        <v>0</v>
      </c>
    </row>
    <row r="247" spans="1:18" x14ac:dyDescent="0.2">
      <c r="A247" s="89">
        <v>231</v>
      </c>
      <c r="B247" s="237" t="e">
        <f t="shared" si="34"/>
        <v>#NUM!</v>
      </c>
      <c r="C247" s="142" t="e">
        <f t="shared" si="30"/>
        <v>#NUM!</v>
      </c>
      <c r="D247" s="142" t="e">
        <f t="shared" si="35"/>
        <v>#NUM!</v>
      </c>
      <c r="E247" s="142" t="e">
        <f t="shared" si="36"/>
        <v>#NUM!</v>
      </c>
      <c r="F247" s="142" t="e">
        <f t="shared" si="31"/>
        <v>#NUM!</v>
      </c>
      <c r="G247" s="184">
        <f>IF('prijem -inna mena'!$I$90=TRUE,IF($C$11&gt;0,0.00025*C246,0),IF('prijem -inna mena'!$I$91=TRUE,IF('prijem -inna mena'!$F$91&gt;0,0.00025*C246,0),0))</f>
        <v>0</v>
      </c>
      <c r="L247" s="89">
        <v>231</v>
      </c>
      <c r="M247" s="237" t="e">
        <f t="shared" si="37"/>
        <v>#DIV/0!</v>
      </c>
      <c r="N247" s="142" t="e">
        <f t="shared" si="32"/>
        <v>#DIV/0!</v>
      </c>
      <c r="O247" s="142" t="e">
        <f t="shared" si="33"/>
        <v>#DIV/0!</v>
      </c>
      <c r="P247" s="142" t="e">
        <f t="shared" si="38"/>
        <v>#DIV/0!</v>
      </c>
      <c r="Q247" s="142" t="e">
        <f t="shared" si="39"/>
        <v>#DIV/0!</v>
      </c>
      <c r="R247" s="184">
        <f>IF('prijem -inna mena'!$I$90=TRUE,IF($C$11&gt;0,0.00025*N246,0),IF('prijem -inna mena'!$I$91=TRUE,IF('prijem -inna mena'!$F$91&gt;0,0.00025*N246*-1,0),0))</f>
        <v>0</v>
      </c>
    </row>
    <row r="248" spans="1:18" x14ac:dyDescent="0.2">
      <c r="A248" s="89">
        <v>232</v>
      </c>
      <c r="B248" s="237" t="e">
        <f t="shared" si="34"/>
        <v>#NUM!</v>
      </c>
      <c r="C248" s="142" t="e">
        <f t="shared" si="30"/>
        <v>#NUM!</v>
      </c>
      <c r="D248" s="142" t="e">
        <f t="shared" si="35"/>
        <v>#NUM!</v>
      </c>
      <c r="E248" s="142" t="e">
        <f t="shared" si="36"/>
        <v>#NUM!</v>
      </c>
      <c r="F248" s="142" t="e">
        <f t="shared" si="31"/>
        <v>#NUM!</v>
      </c>
      <c r="G248" s="184">
        <f>IF('prijem -inna mena'!$I$90=TRUE,IF($C$11&gt;0,0.00025*C247,0),IF('prijem -inna mena'!$I$91=TRUE,IF('prijem -inna mena'!$F$91&gt;0,0.00025*C247,0),0))</f>
        <v>0</v>
      </c>
      <c r="L248" s="89">
        <v>232</v>
      </c>
      <c r="M248" s="237" t="e">
        <f t="shared" si="37"/>
        <v>#DIV/0!</v>
      </c>
      <c r="N248" s="142" t="e">
        <f t="shared" si="32"/>
        <v>#DIV/0!</v>
      </c>
      <c r="O248" s="142" t="e">
        <f t="shared" si="33"/>
        <v>#DIV/0!</v>
      </c>
      <c r="P248" s="142" t="e">
        <f t="shared" si="38"/>
        <v>#DIV/0!</v>
      </c>
      <c r="Q248" s="142" t="e">
        <f t="shared" si="39"/>
        <v>#DIV/0!</v>
      </c>
      <c r="R248" s="184">
        <f>IF('prijem -inna mena'!$I$90=TRUE,IF($C$11&gt;0,0.00025*N247,0),IF('prijem -inna mena'!$I$91=TRUE,IF('prijem -inna mena'!$F$91&gt;0,0.00025*N247*-1,0),0))</f>
        <v>0</v>
      </c>
    </row>
    <row r="249" spans="1:18" x14ac:dyDescent="0.2">
      <c r="A249" s="89">
        <v>233</v>
      </c>
      <c r="B249" s="237" t="e">
        <f t="shared" si="34"/>
        <v>#NUM!</v>
      </c>
      <c r="C249" s="142" t="e">
        <f t="shared" si="30"/>
        <v>#NUM!</v>
      </c>
      <c r="D249" s="142" t="e">
        <f t="shared" si="35"/>
        <v>#NUM!</v>
      </c>
      <c r="E249" s="142" t="e">
        <f t="shared" si="36"/>
        <v>#NUM!</v>
      </c>
      <c r="F249" s="142" t="e">
        <f t="shared" si="31"/>
        <v>#NUM!</v>
      </c>
      <c r="G249" s="184">
        <f>IF('prijem -inna mena'!$I$90=TRUE,IF($C$11&gt;0,0.00025*C248,0),IF('prijem -inna mena'!$I$91=TRUE,IF('prijem -inna mena'!$F$91&gt;0,0.00025*C248,0),0))</f>
        <v>0</v>
      </c>
      <c r="L249" s="89">
        <v>233</v>
      </c>
      <c r="M249" s="237" t="e">
        <f t="shared" si="37"/>
        <v>#DIV/0!</v>
      </c>
      <c r="N249" s="142" t="e">
        <f t="shared" si="32"/>
        <v>#DIV/0!</v>
      </c>
      <c r="O249" s="142" t="e">
        <f t="shared" si="33"/>
        <v>#DIV/0!</v>
      </c>
      <c r="P249" s="142" t="e">
        <f t="shared" si="38"/>
        <v>#DIV/0!</v>
      </c>
      <c r="Q249" s="142" t="e">
        <f t="shared" si="39"/>
        <v>#DIV/0!</v>
      </c>
      <c r="R249" s="184">
        <f>IF('prijem -inna mena'!$I$90=TRUE,IF($C$11&gt;0,0.00025*N248,0),IF('prijem -inna mena'!$I$91=TRUE,IF('prijem -inna mena'!$F$91&gt;0,0.00025*N248*-1,0),0))</f>
        <v>0</v>
      </c>
    </row>
    <row r="250" spans="1:18" x14ac:dyDescent="0.2">
      <c r="A250" s="89">
        <v>234</v>
      </c>
      <c r="B250" s="237" t="e">
        <f t="shared" si="34"/>
        <v>#NUM!</v>
      </c>
      <c r="C250" s="142" t="e">
        <f t="shared" si="30"/>
        <v>#NUM!</v>
      </c>
      <c r="D250" s="142" t="e">
        <f t="shared" si="35"/>
        <v>#NUM!</v>
      </c>
      <c r="E250" s="142" t="e">
        <f t="shared" si="36"/>
        <v>#NUM!</v>
      </c>
      <c r="F250" s="142" t="e">
        <f t="shared" si="31"/>
        <v>#NUM!</v>
      </c>
      <c r="G250" s="184">
        <f>IF('prijem -inna mena'!$I$90=TRUE,IF($C$11&gt;0,0.00025*C249,0),IF('prijem -inna mena'!$I$91=TRUE,IF('prijem -inna mena'!$F$91&gt;0,0.00025*C249,0),0))</f>
        <v>0</v>
      </c>
      <c r="L250" s="89">
        <v>234</v>
      </c>
      <c r="M250" s="237" t="e">
        <f t="shared" si="37"/>
        <v>#DIV/0!</v>
      </c>
      <c r="N250" s="142" t="e">
        <f t="shared" si="32"/>
        <v>#DIV/0!</v>
      </c>
      <c r="O250" s="142" t="e">
        <f t="shared" si="33"/>
        <v>#DIV/0!</v>
      </c>
      <c r="P250" s="142" t="e">
        <f t="shared" si="38"/>
        <v>#DIV/0!</v>
      </c>
      <c r="Q250" s="142" t="e">
        <f t="shared" si="39"/>
        <v>#DIV/0!</v>
      </c>
      <c r="R250" s="184">
        <f>IF('prijem -inna mena'!$I$90=TRUE,IF($C$11&gt;0,0.00025*N249,0),IF('prijem -inna mena'!$I$91=TRUE,IF('prijem -inna mena'!$F$91&gt;0,0.00025*N249*-1,0),0))</f>
        <v>0</v>
      </c>
    </row>
    <row r="251" spans="1:18" x14ac:dyDescent="0.2">
      <c r="A251" s="89">
        <v>235</v>
      </c>
      <c r="B251" s="237" t="e">
        <f t="shared" si="34"/>
        <v>#NUM!</v>
      </c>
      <c r="C251" s="142" t="e">
        <f t="shared" si="30"/>
        <v>#NUM!</v>
      </c>
      <c r="D251" s="142" t="e">
        <f t="shared" si="35"/>
        <v>#NUM!</v>
      </c>
      <c r="E251" s="142" t="e">
        <f t="shared" si="36"/>
        <v>#NUM!</v>
      </c>
      <c r="F251" s="142" t="e">
        <f t="shared" si="31"/>
        <v>#NUM!</v>
      </c>
      <c r="G251" s="184">
        <f>IF('prijem -inna mena'!$I$90=TRUE,IF($C$11&gt;0,0.00025*C250,0),IF('prijem -inna mena'!$I$91=TRUE,IF('prijem -inna mena'!$F$91&gt;0,0.00025*C250,0),0))</f>
        <v>0</v>
      </c>
      <c r="L251" s="89">
        <v>235</v>
      </c>
      <c r="M251" s="237" t="e">
        <f t="shared" si="37"/>
        <v>#DIV/0!</v>
      </c>
      <c r="N251" s="142" t="e">
        <f t="shared" si="32"/>
        <v>#DIV/0!</v>
      </c>
      <c r="O251" s="142" t="e">
        <f t="shared" si="33"/>
        <v>#DIV/0!</v>
      </c>
      <c r="P251" s="142" t="e">
        <f t="shared" si="38"/>
        <v>#DIV/0!</v>
      </c>
      <c r="Q251" s="142" t="e">
        <f t="shared" si="39"/>
        <v>#DIV/0!</v>
      </c>
      <c r="R251" s="184">
        <f>IF('prijem -inna mena'!$I$90=TRUE,IF($C$11&gt;0,0.00025*N250,0),IF('prijem -inna mena'!$I$91=TRUE,IF('prijem -inna mena'!$F$91&gt;0,0.00025*N250*-1,0),0))</f>
        <v>0</v>
      </c>
    </row>
    <row r="252" spans="1:18" x14ac:dyDescent="0.2">
      <c r="A252" s="89">
        <v>236</v>
      </c>
      <c r="B252" s="237" t="e">
        <f t="shared" si="34"/>
        <v>#NUM!</v>
      </c>
      <c r="C252" s="142" t="e">
        <f t="shared" si="30"/>
        <v>#NUM!</v>
      </c>
      <c r="D252" s="142" t="e">
        <f t="shared" si="35"/>
        <v>#NUM!</v>
      </c>
      <c r="E252" s="142" t="e">
        <f t="shared" si="36"/>
        <v>#NUM!</v>
      </c>
      <c r="F252" s="142" t="e">
        <f t="shared" si="31"/>
        <v>#NUM!</v>
      </c>
      <c r="G252" s="184">
        <f>IF('prijem -inna mena'!$I$90=TRUE,IF($C$11&gt;0,0.00025*C251,0),IF('prijem -inna mena'!$I$91=TRUE,IF('prijem -inna mena'!$F$91&gt;0,0.00025*C251,0),0))</f>
        <v>0</v>
      </c>
      <c r="L252" s="89">
        <v>236</v>
      </c>
      <c r="M252" s="237" t="e">
        <f t="shared" si="37"/>
        <v>#DIV/0!</v>
      </c>
      <c r="N252" s="142" t="e">
        <f t="shared" si="32"/>
        <v>#DIV/0!</v>
      </c>
      <c r="O252" s="142" t="e">
        <f t="shared" si="33"/>
        <v>#DIV/0!</v>
      </c>
      <c r="P252" s="142" t="e">
        <f t="shared" si="38"/>
        <v>#DIV/0!</v>
      </c>
      <c r="Q252" s="142" t="e">
        <f t="shared" si="39"/>
        <v>#DIV/0!</v>
      </c>
      <c r="R252" s="184">
        <f>IF('prijem -inna mena'!$I$90=TRUE,IF($C$11&gt;0,0.00025*N251,0),IF('prijem -inna mena'!$I$91=TRUE,IF('prijem -inna mena'!$F$91&gt;0,0.00025*N251*-1,0),0))</f>
        <v>0</v>
      </c>
    </row>
    <row r="253" spans="1:18" x14ac:dyDescent="0.2">
      <c r="A253" s="89">
        <v>237</v>
      </c>
      <c r="B253" s="237" t="e">
        <f t="shared" si="34"/>
        <v>#NUM!</v>
      </c>
      <c r="C253" s="142" t="e">
        <f t="shared" si="30"/>
        <v>#NUM!</v>
      </c>
      <c r="D253" s="142" t="e">
        <f t="shared" si="35"/>
        <v>#NUM!</v>
      </c>
      <c r="E253" s="142" t="e">
        <f t="shared" si="36"/>
        <v>#NUM!</v>
      </c>
      <c r="F253" s="142" t="e">
        <f t="shared" si="31"/>
        <v>#NUM!</v>
      </c>
      <c r="G253" s="184">
        <f>IF('prijem -inna mena'!$I$90=TRUE,IF($C$11&gt;0,0.00025*C252,0),IF('prijem -inna mena'!$I$91=TRUE,IF('prijem -inna mena'!$F$91&gt;0,0.00025*C252,0),0))</f>
        <v>0</v>
      </c>
      <c r="L253" s="89">
        <v>237</v>
      </c>
      <c r="M253" s="237" t="e">
        <f t="shared" si="37"/>
        <v>#DIV/0!</v>
      </c>
      <c r="N253" s="142" t="e">
        <f t="shared" si="32"/>
        <v>#DIV/0!</v>
      </c>
      <c r="O253" s="142" t="e">
        <f t="shared" si="33"/>
        <v>#DIV/0!</v>
      </c>
      <c r="P253" s="142" t="e">
        <f t="shared" si="38"/>
        <v>#DIV/0!</v>
      </c>
      <c r="Q253" s="142" t="e">
        <f t="shared" si="39"/>
        <v>#DIV/0!</v>
      </c>
      <c r="R253" s="184">
        <f>IF('prijem -inna mena'!$I$90=TRUE,IF($C$11&gt;0,0.00025*N252,0),IF('prijem -inna mena'!$I$91=TRUE,IF('prijem -inna mena'!$F$91&gt;0,0.00025*N252*-1,0),0))</f>
        <v>0</v>
      </c>
    </row>
    <row r="254" spans="1:18" x14ac:dyDescent="0.2">
      <c r="A254" s="89">
        <v>238</v>
      </c>
      <c r="B254" s="237" t="e">
        <f t="shared" si="34"/>
        <v>#NUM!</v>
      </c>
      <c r="C254" s="142" t="e">
        <f t="shared" si="30"/>
        <v>#NUM!</v>
      </c>
      <c r="D254" s="142" t="e">
        <f t="shared" si="35"/>
        <v>#NUM!</v>
      </c>
      <c r="E254" s="142" t="e">
        <f t="shared" si="36"/>
        <v>#NUM!</v>
      </c>
      <c r="F254" s="142" t="e">
        <f t="shared" si="31"/>
        <v>#NUM!</v>
      </c>
      <c r="G254" s="184">
        <f>IF('prijem -inna mena'!$I$90=TRUE,IF($C$11&gt;0,0.00025*C253,0),IF('prijem -inna mena'!$I$91=TRUE,IF('prijem -inna mena'!$F$91&gt;0,0.00025*C253,0),0))</f>
        <v>0</v>
      </c>
      <c r="L254" s="89">
        <v>238</v>
      </c>
      <c r="M254" s="237" t="e">
        <f t="shared" si="37"/>
        <v>#DIV/0!</v>
      </c>
      <c r="N254" s="142" t="e">
        <f t="shared" si="32"/>
        <v>#DIV/0!</v>
      </c>
      <c r="O254" s="142" t="e">
        <f t="shared" si="33"/>
        <v>#DIV/0!</v>
      </c>
      <c r="P254" s="142" t="e">
        <f t="shared" si="38"/>
        <v>#DIV/0!</v>
      </c>
      <c r="Q254" s="142" t="e">
        <f t="shared" si="39"/>
        <v>#DIV/0!</v>
      </c>
      <c r="R254" s="184">
        <f>IF('prijem -inna mena'!$I$90=TRUE,IF($C$11&gt;0,0.00025*N253,0),IF('prijem -inna mena'!$I$91=TRUE,IF('prijem -inna mena'!$F$91&gt;0,0.00025*N253*-1,0),0))</f>
        <v>0</v>
      </c>
    </row>
    <row r="255" spans="1:18" x14ac:dyDescent="0.2">
      <c r="A255" s="89">
        <v>239</v>
      </c>
      <c r="B255" s="237" t="e">
        <f t="shared" si="34"/>
        <v>#NUM!</v>
      </c>
      <c r="C255" s="142" t="e">
        <f t="shared" si="30"/>
        <v>#NUM!</v>
      </c>
      <c r="D255" s="142" t="e">
        <f t="shared" si="35"/>
        <v>#NUM!</v>
      </c>
      <c r="E255" s="142" t="e">
        <f t="shared" si="36"/>
        <v>#NUM!</v>
      </c>
      <c r="F255" s="142" t="e">
        <f t="shared" si="31"/>
        <v>#NUM!</v>
      </c>
      <c r="G255" s="184">
        <f>IF('prijem -inna mena'!$I$90=TRUE,IF($C$11&gt;0,0.00025*C254,0),IF('prijem -inna mena'!$I$91=TRUE,IF('prijem -inna mena'!$F$91&gt;0,0.00025*C254,0),0))</f>
        <v>0</v>
      </c>
      <c r="L255" s="89">
        <v>239</v>
      </c>
      <c r="M255" s="237" t="e">
        <f t="shared" si="37"/>
        <v>#DIV/0!</v>
      </c>
      <c r="N255" s="142" t="e">
        <f t="shared" si="32"/>
        <v>#DIV/0!</v>
      </c>
      <c r="O255" s="142" t="e">
        <f t="shared" si="33"/>
        <v>#DIV/0!</v>
      </c>
      <c r="P255" s="142" t="e">
        <f t="shared" si="38"/>
        <v>#DIV/0!</v>
      </c>
      <c r="Q255" s="142" t="e">
        <f t="shared" si="39"/>
        <v>#DIV/0!</v>
      </c>
      <c r="R255" s="184">
        <f>IF('prijem -inna mena'!$I$90=TRUE,IF($C$11&gt;0,0.00025*N254,0),IF('prijem -inna mena'!$I$91=TRUE,IF('prijem -inna mena'!$F$91&gt;0,0.00025*N254*-1,0),0))</f>
        <v>0</v>
      </c>
    </row>
    <row r="256" spans="1:18" x14ac:dyDescent="0.2">
      <c r="A256" s="89">
        <v>240</v>
      </c>
      <c r="B256" s="237" t="e">
        <f t="shared" si="34"/>
        <v>#NUM!</v>
      </c>
      <c r="C256" s="142" t="e">
        <f t="shared" si="30"/>
        <v>#NUM!</v>
      </c>
      <c r="D256" s="142" t="e">
        <f t="shared" si="35"/>
        <v>#NUM!</v>
      </c>
      <c r="E256" s="142" t="e">
        <f t="shared" si="36"/>
        <v>#NUM!</v>
      </c>
      <c r="F256" s="142" t="e">
        <f t="shared" si="31"/>
        <v>#NUM!</v>
      </c>
      <c r="G256" s="184">
        <f>IF('prijem -inna mena'!$I$90=TRUE,IF($C$11&gt;0,0.00025*C255,0),IF('prijem -inna mena'!$I$91=TRUE,IF('prijem -inna mena'!$F$91&gt;0,0.00025*C255,0),0))</f>
        <v>0</v>
      </c>
      <c r="L256" s="89">
        <v>240</v>
      </c>
      <c r="M256" s="237" t="e">
        <f t="shared" si="37"/>
        <v>#DIV/0!</v>
      </c>
      <c r="N256" s="142" t="e">
        <f t="shared" si="32"/>
        <v>#DIV/0!</v>
      </c>
      <c r="O256" s="142" t="e">
        <f t="shared" si="33"/>
        <v>#DIV/0!</v>
      </c>
      <c r="P256" s="142" t="e">
        <f t="shared" si="38"/>
        <v>#DIV/0!</v>
      </c>
      <c r="Q256" s="142" t="e">
        <f t="shared" si="39"/>
        <v>#DIV/0!</v>
      </c>
      <c r="R256" s="184">
        <f>IF('prijem -inna mena'!$I$90=TRUE,IF($C$11&gt;0,0.00025*N255,0),IF('prijem -inna mena'!$I$91=TRUE,IF('prijem -inna mena'!$F$91&gt;0,0.00025*N255*-1,0),0))</f>
        <v>0</v>
      </c>
    </row>
    <row r="257" spans="1:18" x14ac:dyDescent="0.2">
      <c r="A257" s="89">
        <v>241</v>
      </c>
      <c r="B257" s="237" t="e">
        <f t="shared" si="34"/>
        <v>#NUM!</v>
      </c>
      <c r="C257" s="142" t="e">
        <f t="shared" si="30"/>
        <v>#NUM!</v>
      </c>
      <c r="D257" s="142" t="e">
        <f t="shared" si="35"/>
        <v>#NUM!</v>
      </c>
      <c r="E257" s="142" t="e">
        <f t="shared" si="36"/>
        <v>#NUM!</v>
      </c>
      <c r="F257" s="142" t="e">
        <f t="shared" si="31"/>
        <v>#NUM!</v>
      </c>
      <c r="G257" s="184">
        <f>IF('prijem -inna mena'!$I$90=TRUE,IF($C$11&gt;0,0.00025*C256,0),IF('prijem -inna mena'!$I$91=TRUE,IF('prijem -inna mena'!$F$91&gt;0,0.00025*C256,0),0))</f>
        <v>0</v>
      </c>
      <c r="L257" s="89">
        <v>241</v>
      </c>
      <c r="M257" s="237" t="e">
        <f t="shared" si="37"/>
        <v>#DIV/0!</v>
      </c>
      <c r="N257" s="142" t="e">
        <f t="shared" si="32"/>
        <v>#DIV/0!</v>
      </c>
      <c r="O257" s="142" t="e">
        <f t="shared" si="33"/>
        <v>#DIV/0!</v>
      </c>
      <c r="P257" s="142" t="e">
        <f t="shared" si="38"/>
        <v>#DIV/0!</v>
      </c>
      <c r="Q257" s="142" t="e">
        <f t="shared" si="39"/>
        <v>#DIV/0!</v>
      </c>
      <c r="R257" s="184">
        <f>IF('prijem -inna mena'!$I$90=TRUE,IF($C$11&gt;0,0.00025*N256,0),IF('prijem -inna mena'!$I$91=TRUE,IF('prijem -inna mena'!$F$91&gt;0,0.00025*N256*-1,0),0))</f>
        <v>0</v>
      </c>
    </row>
    <row r="258" spans="1:18" x14ac:dyDescent="0.2">
      <c r="A258" s="89">
        <v>242</v>
      </c>
      <c r="B258" s="237" t="e">
        <f t="shared" si="34"/>
        <v>#NUM!</v>
      </c>
      <c r="C258" s="142" t="e">
        <f t="shared" si="30"/>
        <v>#NUM!</v>
      </c>
      <c r="D258" s="142" t="e">
        <f t="shared" si="35"/>
        <v>#NUM!</v>
      </c>
      <c r="E258" s="142" t="e">
        <f t="shared" si="36"/>
        <v>#NUM!</v>
      </c>
      <c r="F258" s="142" t="e">
        <f t="shared" si="31"/>
        <v>#NUM!</v>
      </c>
      <c r="G258" s="184">
        <f>IF('prijem -inna mena'!$I$90=TRUE,IF($C$11&gt;0,0.00025*C257,0),IF('prijem -inna mena'!$I$91=TRUE,IF('prijem -inna mena'!$F$91&gt;0,0.00025*C257,0),0))</f>
        <v>0</v>
      </c>
      <c r="L258" s="89">
        <v>242</v>
      </c>
      <c r="M258" s="237" t="e">
        <f t="shared" si="37"/>
        <v>#DIV/0!</v>
      </c>
      <c r="N258" s="142" t="e">
        <f t="shared" si="32"/>
        <v>#DIV/0!</v>
      </c>
      <c r="O258" s="142" t="e">
        <f t="shared" si="33"/>
        <v>#DIV/0!</v>
      </c>
      <c r="P258" s="142" t="e">
        <f t="shared" si="38"/>
        <v>#DIV/0!</v>
      </c>
      <c r="Q258" s="142" t="e">
        <f t="shared" si="39"/>
        <v>#DIV/0!</v>
      </c>
      <c r="R258" s="184">
        <f>IF('prijem -inna mena'!$I$90=TRUE,IF($C$11&gt;0,0.00025*N257,0),IF('prijem -inna mena'!$I$91=TRUE,IF('prijem -inna mena'!$F$91&gt;0,0.00025*N257*-1,0),0))</f>
        <v>0</v>
      </c>
    </row>
    <row r="259" spans="1:18" x14ac:dyDescent="0.2">
      <c r="A259" s="89">
        <v>243</v>
      </c>
      <c r="B259" s="237" t="e">
        <f t="shared" si="34"/>
        <v>#NUM!</v>
      </c>
      <c r="C259" s="142" t="e">
        <f t="shared" si="30"/>
        <v>#NUM!</v>
      </c>
      <c r="D259" s="142" t="e">
        <f t="shared" si="35"/>
        <v>#NUM!</v>
      </c>
      <c r="E259" s="142" t="e">
        <f t="shared" si="36"/>
        <v>#NUM!</v>
      </c>
      <c r="F259" s="142" t="e">
        <f t="shared" si="31"/>
        <v>#NUM!</v>
      </c>
      <c r="G259" s="184">
        <f>IF('prijem -inna mena'!$I$90=TRUE,IF($C$11&gt;0,0.00025*C258,0),IF('prijem -inna mena'!$I$91=TRUE,IF('prijem -inna mena'!$F$91&gt;0,0.00025*C258,0),0))</f>
        <v>0</v>
      </c>
      <c r="L259" s="89">
        <v>243</v>
      </c>
      <c r="M259" s="237" t="e">
        <f t="shared" si="37"/>
        <v>#DIV/0!</v>
      </c>
      <c r="N259" s="142" t="e">
        <f t="shared" si="32"/>
        <v>#DIV/0!</v>
      </c>
      <c r="O259" s="142" t="e">
        <f t="shared" si="33"/>
        <v>#DIV/0!</v>
      </c>
      <c r="P259" s="142" t="e">
        <f t="shared" si="38"/>
        <v>#DIV/0!</v>
      </c>
      <c r="Q259" s="142" t="e">
        <f t="shared" si="39"/>
        <v>#DIV/0!</v>
      </c>
      <c r="R259" s="184">
        <f>IF('prijem -inna mena'!$I$90=TRUE,IF($C$11&gt;0,0.00025*N258,0),IF('prijem -inna mena'!$I$91=TRUE,IF('prijem -inna mena'!$F$91&gt;0,0.00025*N258*-1,0),0))</f>
        <v>0</v>
      </c>
    </row>
    <row r="260" spans="1:18" x14ac:dyDescent="0.2">
      <c r="A260" s="89">
        <v>244</v>
      </c>
      <c r="B260" s="237" t="e">
        <f t="shared" si="34"/>
        <v>#NUM!</v>
      </c>
      <c r="C260" s="142" t="e">
        <f t="shared" si="30"/>
        <v>#NUM!</v>
      </c>
      <c r="D260" s="142" t="e">
        <f t="shared" si="35"/>
        <v>#NUM!</v>
      </c>
      <c r="E260" s="142" t="e">
        <f t="shared" si="36"/>
        <v>#NUM!</v>
      </c>
      <c r="F260" s="142" t="e">
        <f t="shared" si="31"/>
        <v>#NUM!</v>
      </c>
      <c r="G260" s="184">
        <f>IF('prijem -inna mena'!$I$90=TRUE,IF($C$11&gt;0,0.00025*C259,0),IF('prijem -inna mena'!$I$91=TRUE,IF('prijem -inna mena'!$F$91&gt;0,0.00025*C259,0),0))</f>
        <v>0</v>
      </c>
      <c r="L260" s="89">
        <v>244</v>
      </c>
      <c r="M260" s="237" t="e">
        <f t="shared" si="37"/>
        <v>#DIV/0!</v>
      </c>
      <c r="N260" s="142" t="e">
        <f t="shared" si="32"/>
        <v>#DIV/0!</v>
      </c>
      <c r="O260" s="142" t="e">
        <f t="shared" si="33"/>
        <v>#DIV/0!</v>
      </c>
      <c r="P260" s="142" t="e">
        <f t="shared" si="38"/>
        <v>#DIV/0!</v>
      </c>
      <c r="Q260" s="142" t="e">
        <f t="shared" si="39"/>
        <v>#DIV/0!</v>
      </c>
      <c r="R260" s="184">
        <f>IF('prijem -inna mena'!$I$90=TRUE,IF($C$11&gt;0,0.00025*N259,0),IF('prijem -inna mena'!$I$91=TRUE,IF('prijem -inna mena'!$F$91&gt;0,0.00025*N259*-1,0),0))</f>
        <v>0</v>
      </c>
    </row>
    <row r="261" spans="1:18" x14ac:dyDescent="0.2">
      <c r="A261" s="89">
        <v>245</v>
      </c>
      <c r="B261" s="237" t="e">
        <f t="shared" si="34"/>
        <v>#NUM!</v>
      </c>
      <c r="C261" s="142" t="e">
        <f t="shared" si="30"/>
        <v>#NUM!</v>
      </c>
      <c r="D261" s="142" t="e">
        <f t="shared" si="35"/>
        <v>#NUM!</v>
      </c>
      <c r="E261" s="142" t="e">
        <f t="shared" si="36"/>
        <v>#NUM!</v>
      </c>
      <c r="F261" s="142" t="e">
        <f t="shared" si="31"/>
        <v>#NUM!</v>
      </c>
      <c r="G261" s="184">
        <f>IF('prijem -inna mena'!$I$90=TRUE,IF($C$11&gt;0,0.00025*C260,0),IF('prijem -inna mena'!$I$91=TRUE,IF('prijem -inna mena'!$F$91&gt;0,0.00025*C260,0),0))</f>
        <v>0</v>
      </c>
      <c r="L261" s="89">
        <v>245</v>
      </c>
      <c r="M261" s="237" t="e">
        <f t="shared" si="37"/>
        <v>#DIV/0!</v>
      </c>
      <c r="N261" s="142" t="e">
        <f t="shared" si="32"/>
        <v>#DIV/0!</v>
      </c>
      <c r="O261" s="142" t="e">
        <f t="shared" si="33"/>
        <v>#DIV/0!</v>
      </c>
      <c r="P261" s="142" t="e">
        <f t="shared" si="38"/>
        <v>#DIV/0!</v>
      </c>
      <c r="Q261" s="142" t="e">
        <f t="shared" si="39"/>
        <v>#DIV/0!</v>
      </c>
      <c r="R261" s="184">
        <f>IF('prijem -inna mena'!$I$90=TRUE,IF($C$11&gt;0,0.00025*N260,0),IF('prijem -inna mena'!$I$91=TRUE,IF('prijem -inna mena'!$F$91&gt;0,0.00025*N260*-1,0),0))</f>
        <v>0</v>
      </c>
    </row>
    <row r="262" spans="1:18" x14ac:dyDescent="0.2">
      <c r="A262" s="89">
        <v>246</v>
      </c>
      <c r="B262" s="237" t="e">
        <f t="shared" si="34"/>
        <v>#NUM!</v>
      </c>
      <c r="C262" s="142" t="e">
        <f t="shared" si="30"/>
        <v>#NUM!</v>
      </c>
      <c r="D262" s="142" t="e">
        <f t="shared" si="35"/>
        <v>#NUM!</v>
      </c>
      <c r="E262" s="142" t="e">
        <f t="shared" si="36"/>
        <v>#NUM!</v>
      </c>
      <c r="F262" s="142" t="e">
        <f t="shared" si="31"/>
        <v>#NUM!</v>
      </c>
      <c r="G262" s="184">
        <f>IF('prijem -inna mena'!$I$90=TRUE,IF($C$11&gt;0,0.00025*C261,0),IF('prijem -inna mena'!$I$91=TRUE,IF('prijem -inna mena'!$F$91&gt;0,0.00025*C261,0),0))</f>
        <v>0</v>
      </c>
      <c r="L262" s="89">
        <v>246</v>
      </c>
      <c r="M262" s="237" t="e">
        <f t="shared" si="37"/>
        <v>#DIV/0!</v>
      </c>
      <c r="N262" s="142" t="e">
        <f t="shared" si="32"/>
        <v>#DIV/0!</v>
      </c>
      <c r="O262" s="142" t="e">
        <f t="shared" si="33"/>
        <v>#DIV/0!</v>
      </c>
      <c r="P262" s="142" t="e">
        <f t="shared" si="38"/>
        <v>#DIV/0!</v>
      </c>
      <c r="Q262" s="142" t="e">
        <f t="shared" si="39"/>
        <v>#DIV/0!</v>
      </c>
      <c r="R262" s="184">
        <f>IF('prijem -inna mena'!$I$90=TRUE,IF($C$11&gt;0,0.00025*N261,0),IF('prijem -inna mena'!$I$91=TRUE,IF('prijem -inna mena'!$F$91&gt;0,0.00025*N261*-1,0),0))</f>
        <v>0</v>
      </c>
    </row>
    <row r="263" spans="1:18" x14ac:dyDescent="0.2">
      <c r="A263" s="89">
        <v>247</v>
      </c>
      <c r="B263" s="237" t="e">
        <f t="shared" si="34"/>
        <v>#NUM!</v>
      </c>
      <c r="C263" s="142" t="e">
        <f t="shared" si="30"/>
        <v>#NUM!</v>
      </c>
      <c r="D263" s="142" t="e">
        <f t="shared" si="35"/>
        <v>#NUM!</v>
      </c>
      <c r="E263" s="142" t="e">
        <f t="shared" si="36"/>
        <v>#NUM!</v>
      </c>
      <c r="F263" s="142" t="e">
        <f t="shared" si="31"/>
        <v>#NUM!</v>
      </c>
      <c r="G263" s="184">
        <f>IF('prijem -inna mena'!$I$90=TRUE,IF($C$11&gt;0,0.00025*C262,0),IF('prijem -inna mena'!$I$91=TRUE,IF('prijem -inna mena'!$F$91&gt;0,0.00025*C262,0),0))</f>
        <v>0</v>
      </c>
      <c r="L263" s="89">
        <v>247</v>
      </c>
      <c r="M263" s="237" t="e">
        <f t="shared" si="37"/>
        <v>#DIV/0!</v>
      </c>
      <c r="N263" s="142" t="e">
        <f t="shared" si="32"/>
        <v>#DIV/0!</v>
      </c>
      <c r="O263" s="142" t="e">
        <f t="shared" si="33"/>
        <v>#DIV/0!</v>
      </c>
      <c r="P263" s="142" t="e">
        <f t="shared" si="38"/>
        <v>#DIV/0!</v>
      </c>
      <c r="Q263" s="142" t="e">
        <f t="shared" si="39"/>
        <v>#DIV/0!</v>
      </c>
      <c r="R263" s="184">
        <f>IF('prijem -inna mena'!$I$90=TRUE,IF($C$11&gt;0,0.00025*N262,0),IF('prijem -inna mena'!$I$91=TRUE,IF('prijem -inna mena'!$F$91&gt;0,0.00025*N262*-1,0),0))</f>
        <v>0</v>
      </c>
    </row>
    <row r="264" spans="1:18" x14ac:dyDescent="0.2">
      <c r="A264" s="89">
        <v>248</v>
      </c>
      <c r="B264" s="237" t="e">
        <f t="shared" si="34"/>
        <v>#NUM!</v>
      </c>
      <c r="C264" s="142" t="e">
        <f t="shared" si="30"/>
        <v>#NUM!</v>
      </c>
      <c r="D264" s="142" t="e">
        <f t="shared" si="35"/>
        <v>#NUM!</v>
      </c>
      <c r="E264" s="142" t="e">
        <f t="shared" si="36"/>
        <v>#NUM!</v>
      </c>
      <c r="F264" s="142" t="e">
        <f t="shared" si="31"/>
        <v>#NUM!</v>
      </c>
      <c r="G264" s="184">
        <f>IF('prijem -inna mena'!$I$90=TRUE,IF($C$11&gt;0,0.00025*C263,0),IF('prijem -inna mena'!$I$91=TRUE,IF('prijem -inna mena'!$F$91&gt;0,0.00025*C263,0),0))</f>
        <v>0</v>
      </c>
      <c r="L264" s="89">
        <v>248</v>
      </c>
      <c r="M264" s="237" t="e">
        <f t="shared" si="37"/>
        <v>#DIV/0!</v>
      </c>
      <c r="N264" s="142" t="e">
        <f t="shared" si="32"/>
        <v>#DIV/0!</v>
      </c>
      <c r="O264" s="142" t="e">
        <f t="shared" si="33"/>
        <v>#DIV/0!</v>
      </c>
      <c r="P264" s="142" t="e">
        <f t="shared" si="38"/>
        <v>#DIV/0!</v>
      </c>
      <c r="Q264" s="142" t="e">
        <f t="shared" si="39"/>
        <v>#DIV/0!</v>
      </c>
      <c r="R264" s="184">
        <f>IF('prijem -inna mena'!$I$90=TRUE,IF($C$11&gt;0,0.00025*N263,0),IF('prijem -inna mena'!$I$91=TRUE,IF('prijem -inna mena'!$F$91&gt;0,0.00025*N263*-1,0),0))</f>
        <v>0</v>
      </c>
    </row>
    <row r="265" spans="1:18" x14ac:dyDescent="0.2">
      <c r="A265" s="89">
        <v>249</v>
      </c>
      <c r="B265" s="237" t="e">
        <f t="shared" si="34"/>
        <v>#NUM!</v>
      </c>
      <c r="C265" s="142" t="e">
        <f t="shared" si="30"/>
        <v>#NUM!</v>
      </c>
      <c r="D265" s="142" t="e">
        <f t="shared" si="35"/>
        <v>#NUM!</v>
      </c>
      <c r="E265" s="142" t="e">
        <f t="shared" si="36"/>
        <v>#NUM!</v>
      </c>
      <c r="F265" s="142" t="e">
        <f t="shared" si="31"/>
        <v>#NUM!</v>
      </c>
      <c r="G265" s="184">
        <f>IF('prijem -inna mena'!$I$90=TRUE,IF($C$11&gt;0,0.00025*C264,0),IF('prijem -inna mena'!$I$91=TRUE,IF('prijem -inna mena'!$F$91&gt;0,0.00025*C264,0),0))</f>
        <v>0</v>
      </c>
      <c r="L265" s="89">
        <v>249</v>
      </c>
      <c r="M265" s="237" t="e">
        <f t="shared" si="37"/>
        <v>#DIV/0!</v>
      </c>
      <c r="N265" s="142" t="e">
        <f t="shared" si="32"/>
        <v>#DIV/0!</v>
      </c>
      <c r="O265" s="142" t="e">
        <f t="shared" si="33"/>
        <v>#DIV/0!</v>
      </c>
      <c r="P265" s="142" t="e">
        <f t="shared" si="38"/>
        <v>#DIV/0!</v>
      </c>
      <c r="Q265" s="142" t="e">
        <f t="shared" si="39"/>
        <v>#DIV/0!</v>
      </c>
      <c r="R265" s="184">
        <f>IF('prijem -inna mena'!$I$90=TRUE,IF($C$11&gt;0,0.00025*N264,0),IF('prijem -inna mena'!$I$91=TRUE,IF('prijem -inna mena'!$F$91&gt;0,0.00025*N264*-1,0),0))</f>
        <v>0</v>
      </c>
    </row>
    <row r="266" spans="1:18" x14ac:dyDescent="0.2">
      <c r="A266" s="89">
        <v>250</v>
      </c>
      <c r="B266" s="237" t="e">
        <f t="shared" si="34"/>
        <v>#NUM!</v>
      </c>
      <c r="C266" s="142" t="e">
        <f t="shared" si="30"/>
        <v>#NUM!</v>
      </c>
      <c r="D266" s="142" t="e">
        <f t="shared" si="35"/>
        <v>#NUM!</v>
      </c>
      <c r="E266" s="142" t="e">
        <f t="shared" si="36"/>
        <v>#NUM!</v>
      </c>
      <c r="F266" s="142" t="e">
        <f t="shared" si="31"/>
        <v>#NUM!</v>
      </c>
      <c r="G266" s="184">
        <f>IF('prijem -inna mena'!$I$90=TRUE,IF($C$11&gt;0,0.00025*C265,0),IF('prijem -inna mena'!$I$91=TRUE,IF('prijem -inna mena'!$F$91&gt;0,0.00025*C265,0),0))</f>
        <v>0</v>
      </c>
      <c r="L266" s="89">
        <v>250</v>
      </c>
      <c r="M266" s="237" t="e">
        <f t="shared" si="37"/>
        <v>#DIV/0!</v>
      </c>
      <c r="N266" s="142" t="e">
        <f t="shared" si="32"/>
        <v>#DIV/0!</v>
      </c>
      <c r="O266" s="142" t="e">
        <f t="shared" si="33"/>
        <v>#DIV/0!</v>
      </c>
      <c r="P266" s="142" t="e">
        <f t="shared" si="38"/>
        <v>#DIV/0!</v>
      </c>
      <c r="Q266" s="142" t="e">
        <f t="shared" si="39"/>
        <v>#DIV/0!</v>
      </c>
      <c r="R266" s="184">
        <f>IF('prijem -inna mena'!$I$90=TRUE,IF($C$11&gt;0,0.00025*N265,0),IF('prijem -inna mena'!$I$91=TRUE,IF('prijem -inna mena'!$F$91&gt;0,0.00025*N265*-1,0),0))</f>
        <v>0</v>
      </c>
    </row>
    <row r="267" spans="1:18" x14ac:dyDescent="0.2">
      <c r="A267" s="89">
        <v>251</v>
      </c>
      <c r="B267" s="237" t="e">
        <f t="shared" si="34"/>
        <v>#NUM!</v>
      </c>
      <c r="C267" s="142" t="e">
        <f t="shared" si="30"/>
        <v>#NUM!</v>
      </c>
      <c r="D267" s="142" t="e">
        <f t="shared" si="35"/>
        <v>#NUM!</v>
      </c>
      <c r="E267" s="142" t="e">
        <f t="shared" si="36"/>
        <v>#NUM!</v>
      </c>
      <c r="F267" s="142" t="e">
        <f t="shared" si="31"/>
        <v>#NUM!</v>
      </c>
      <c r="G267" s="184">
        <f>IF('prijem -inna mena'!$I$90=TRUE,IF($C$11&gt;0,0.00025*C266,0),IF('prijem -inna mena'!$I$91=TRUE,IF('prijem -inna mena'!$F$91&gt;0,0.00025*C266,0),0))</f>
        <v>0</v>
      </c>
      <c r="L267" s="89">
        <v>251</v>
      </c>
      <c r="M267" s="237" t="e">
        <f t="shared" si="37"/>
        <v>#DIV/0!</v>
      </c>
      <c r="N267" s="142" t="e">
        <f t="shared" si="32"/>
        <v>#DIV/0!</v>
      </c>
      <c r="O267" s="142" t="e">
        <f t="shared" si="33"/>
        <v>#DIV/0!</v>
      </c>
      <c r="P267" s="142" t="e">
        <f t="shared" si="38"/>
        <v>#DIV/0!</v>
      </c>
      <c r="Q267" s="142" t="e">
        <f t="shared" si="39"/>
        <v>#DIV/0!</v>
      </c>
      <c r="R267" s="184">
        <f>IF('prijem -inna mena'!$I$90=TRUE,IF($C$11&gt;0,0.00025*N266,0),IF('prijem -inna mena'!$I$91=TRUE,IF('prijem -inna mena'!$F$91&gt;0,0.00025*N266*-1,0),0))</f>
        <v>0</v>
      </c>
    </row>
    <row r="268" spans="1:18" x14ac:dyDescent="0.2">
      <c r="A268" s="89">
        <v>252</v>
      </c>
      <c r="B268" s="237" t="e">
        <f t="shared" si="34"/>
        <v>#NUM!</v>
      </c>
      <c r="C268" s="142" t="e">
        <f t="shared" si="30"/>
        <v>#NUM!</v>
      </c>
      <c r="D268" s="142" t="e">
        <f t="shared" si="35"/>
        <v>#NUM!</v>
      </c>
      <c r="E268" s="142" t="e">
        <f t="shared" si="36"/>
        <v>#NUM!</v>
      </c>
      <c r="F268" s="142" t="e">
        <f t="shared" si="31"/>
        <v>#NUM!</v>
      </c>
      <c r="G268" s="184">
        <f>IF('prijem -inna mena'!$I$90=TRUE,IF($C$11&gt;0,0.00025*C267,0),IF('prijem -inna mena'!$I$91=TRUE,IF('prijem -inna mena'!$F$91&gt;0,0.00025*C267,0),0))</f>
        <v>0</v>
      </c>
      <c r="L268" s="89">
        <v>252</v>
      </c>
      <c r="M268" s="237" t="e">
        <f t="shared" si="37"/>
        <v>#DIV/0!</v>
      </c>
      <c r="N268" s="142" t="e">
        <f t="shared" si="32"/>
        <v>#DIV/0!</v>
      </c>
      <c r="O268" s="142" t="e">
        <f t="shared" si="33"/>
        <v>#DIV/0!</v>
      </c>
      <c r="P268" s="142" t="e">
        <f t="shared" si="38"/>
        <v>#DIV/0!</v>
      </c>
      <c r="Q268" s="142" t="e">
        <f t="shared" si="39"/>
        <v>#DIV/0!</v>
      </c>
      <c r="R268" s="184">
        <f>IF('prijem -inna mena'!$I$90=TRUE,IF($C$11&gt;0,0.00025*N267,0),IF('prijem -inna mena'!$I$91=TRUE,IF('prijem -inna mena'!$F$91&gt;0,0.00025*N267*-1,0),0))</f>
        <v>0</v>
      </c>
    </row>
    <row r="269" spans="1:18" x14ac:dyDescent="0.2">
      <c r="A269" s="89">
        <v>253</v>
      </c>
      <c r="B269" s="237" t="e">
        <f t="shared" si="34"/>
        <v>#NUM!</v>
      </c>
      <c r="C269" s="142" t="e">
        <f t="shared" si="30"/>
        <v>#NUM!</v>
      </c>
      <c r="D269" s="142" t="e">
        <f t="shared" si="35"/>
        <v>#NUM!</v>
      </c>
      <c r="E269" s="142" t="e">
        <f t="shared" si="36"/>
        <v>#NUM!</v>
      </c>
      <c r="F269" s="142" t="e">
        <f t="shared" si="31"/>
        <v>#NUM!</v>
      </c>
      <c r="G269" s="184">
        <f>IF('prijem -inna mena'!$I$90=TRUE,IF($C$11&gt;0,0.00025*C268,0),IF('prijem -inna mena'!$I$91=TRUE,IF('prijem -inna mena'!$F$91&gt;0,0.00025*C268,0),0))</f>
        <v>0</v>
      </c>
      <c r="L269" s="89">
        <v>253</v>
      </c>
      <c r="M269" s="237" t="e">
        <f t="shared" si="37"/>
        <v>#DIV/0!</v>
      </c>
      <c r="N269" s="142" t="e">
        <f t="shared" si="32"/>
        <v>#DIV/0!</v>
      </c>
      <c r="O269" s="142" t="e">
        <f t="shared" si="33"/>
        <v>#DIV/0!</v>
      </c>
      <c r="P269" s="142" t="e">
        <f t="shared" si="38"/>
        <v>#DIV/0!</v>
      </c>
      <c r="Q269" s="142" t="e">
        <f t="shared" si="39"/>
        <v>#DIV/0!</v>
      </c>
      <c r="R269" s="184">
        <f>IF('prijem -inna mena'!$I$90=TRUE,IF($C$11&gt;0,0.00025*N268,0),IF('prijem -inna mena'!$I$91=TRUE,IF('prijem -inna mena'!$F$91&gt;0,0.00025*N268*-1,0),0))</f>
        <v>0</v>
      </c>
    </row>
    <row r="270" spans="1:18" x14ac:dyDescent="0.2">
      <c r="A270" s="89">
        <v>254</v>
      </c>
      <c r="B270" s="237" t="e">
        <f t="shared" si="34"/>
        <v>#NUM!</v>
      </c>
      <c r="C270" s="142" t="e">
        <f t="shared" si="30"/>
        <v>#NUM!</v>
      </c>
      <c r="D270" s="142" t="e">
        <f t="shared" si="35"/>
        <v>#NUM!</v>
      </c>
      <c r="E270" s="142" t="e">
        <f t="shared" si="36"/>
        <v>#NUM!</v>
      </c>
      <c r="F270" s="142" t="e">
        <f t="shared" si="31"/>
        <v>#NUM!</v>
      </c>
      <c r="G270" s="184">
        <f>IF('prijem -inna mena'!$I$90=TRUE,IF($C$11&gt;0,0.00025*C269,0),IF('prijem -inna mena'!$I$91=TRUE,IF('prijem -inna mena'!$F$91&gt;0,0.00025*C269,0),0))</f>
        <v>0</v>
      </c>
      <c r="L270" s="89">
        <v>254</v>
      </c>
      <c r="M270" s="237" t="e">
        <f t="shared" si="37"/>
        <v>#DIV/0!</v>
      </c>
      <c r="N270" s="142" t="e">
        <f t="shared" si="32"/>
        <v>#DIV/0!</v>
      </c>
      <c r="O270" s="142" t="e">
        <f t="shared" si="33"/>
        <v>#DIV/0!</v>
      </c>
      <c r="P270" s="142" t="e">
        <f t="shared" si="38"/>
        <v>#DIV/0!</v>
      </c>
      <c r="Q270" s="142" t="e">
        <f t="shared" si="39"/>
        <v>#DIV/0!</v>
      </c>
      <c r="R270" s="184">
        <f>IF('prijem -inna mena'!$I$90=TRUE,IF($C$11&gt;0,0.00025*N269,0),IF('prijem -inna mena'!$I$91=TRUE,IF('prijem -inna mena'!$F$91&gt;0,0.00025*N269*-1,0),0))</f>
        <v>0</v>
      </c>
    </row>
    <row r="271" spans="1:18" x14ac:dyDescent="0.2">
      <c r="A271" s="89">
        <v>255</v>
      </c>
      <c r="B271" s="237" t="e">
        <f t="shared" si="34"/>
        <v>#NUM!</v>
      </c>
      <c r="C271" s="142" t="e">
        <f t="shared" si="30"/>
        <v>#NUM!</v>
      </c>
      <c r="D271" s="142" t="e">
        <f t="shared" si="35"/>
        <v>#NUM!</v>
      </c>
      <c r="E271" s="142" t="e">
        <f t="shared" si="36"/>
        <v>#NUM!</v>
      </c>
      <c r="F271" s="142" t="e">
        <f t="shared" si="31"/>
        <v>#NUM!</v>
      </c>
      <c r="G271" s="184">
        <f>IF('prijem -inna mena'!$I$90=TRUE,IF($C$11&gt;0,0.00025*C270,0),IF('prijem -inna mena'!$I$91=TRUE,IF('prijem -inna mena'!$F$91&gt;0,0.00025*C270,0),0))</f>
        <v>0</v>
      </c>
      <c r="L271" s="89">
        <v>255</v>
      </c>
      <c r="M271" s="237" t="e">
        <f t="shared" si="37"/>
        <v>#DIV/0!</v>
      </c>
      <c r="N271" s="142" t="e">
        <f t="shared" si="32"/>
        <v>#DIV/0!</v>
      </c>
      <c r="O271" s="142" t="e">
        <f t="shared" si="33"/>
        <v>#DIV/0!</v>
      </c>
      <c r="P271" s="142" t="e">
        <f t="shared" si="38"/>
        <v>#DIV/0!</v>
      </c>
      <c r="Q271" s="142" t="e">
        <f t="shared" si="39"/>
        <v>#DIV/0!</v>
      </c>
      <c r="R271" s="184">
        <f>IF('prijem -inna mena'!$I$90=TRUE,IF($C$11&gt;0,0.00025*N270,0),IF('prijem -inna mena'!$I$91=TRUE,IF('prijem -inna mena'!$F$91&gt;0,0.00025*N270*-1,0),0))</f>
        <v>0</v>
      </c>
    </row>
    <row r="272" spans="1:18" x14ac:dyDescent="0.2">
      <c r="A272" s="89">
        <v>256</v>
      </c>
      <c r="B272" s="237" t="e">
        <f t="shared" si="34"/>
        <v>#NUM!</v>
      </c>
      <c r="C272" s="142" t="e">
        <f t="shared" si="30"/>
        <v>#NUM!</v>
      </c>
      <c r="D272" s="142" t="e">
        <f t="shared" si="35"/>
        <v>#NUM!</v>
      </c>
      <c r="E272" s="142" t="e">
        <f t="shared" si="36"/>
        <v>#NUM!</v>
      </c>
      <c r="F272" s="142" t="e">
        <f t="shared" si="31"/>
        <v>#NUM!</v>
      </c>
      <c r="G272" s="184">
        <f>IF('prijem -inna mena'!$I$90=TRUE,IF($C$11&gt;0,0.00025*C271,0),IF('prijem -inna mena'!$I$91=TRUE,IF('prijem -inna mena'!$F$91&gt;0,0.00025*C271,0),0))</f>
        <v>0</v>
      </c>
      <c r="L272" s="89">
        <v>256</v>
      </c>
      <c r="M272" s="237" t="e">
        <f t="shared" si="37"/>
        <v>#DIV/0!</v>
      </c>
      <c r="N272" s="142" t="e">
        <f t="shared" si="32"/>
        <v>#DIV/0!</v>
      </c>
      <c r="O272" s="142" t="e">
        <f t="shared" si="33"/>
        <v>#DIV/0!</v>
      </c>
      <c r="P272" s="142" t="e">
        <f t="shared" si="38"/>
        <v>#DIV/0!</v>
      </c>
      <c r="Q272" s="142" t="e">
        <f t="shared" si="39"/>
        <v>#DIV/0!</v>
      </c>
      <c r="R272" s="184">
        <f>IF('prijem -inna mena'!$I$90=TRUE,IF($C$11&gt;0,0.00025*N271,0),IF('prijem -inna mena'!$I$91=TRUE,IF('prijem -inna mena'!$F$91&gt;0,0.00025*N271*-1,0),0))</f>
        <v>0</v>
      </c>
    </row>
    <row r="273" spans="1:18" x14ac:dyDescent="0.2">
      <c r="A273" s="89">
        <v>257</v>
      </c>
      <c r="B273" s="237" t="e">
        <f t="shared" si="34"/>
        <v>#NUM!</v>
      </c>
      <c r="C273" s="142" t="e">
        <f t="shared" ref="C273:C336" si="40">MAX(C272-D273,0)</f>
        <v>#NUM!</v>
      </c>
      <c r="D273" s="142" t="e">
        <f t="shared" si="35"/>
        <v>#NUM!</v>
      </c>
      <c r="E273" s="142" t="e">
        <f t="shared" si="36"/>
        <v>#NUM!</v>
      </c>
      <c r="F273" s="142" t="e">
        <f t="shared" ref="F273:F336" si="41">PMT($C$4/12,$C$5,$C$3)</f>
        <v>#NUM!</v>
      </c>
      <c r="G273" s="184">
        <f>IF('prijem -inna mena'!$I$90=TRUE,IF($C$11&gt;0,0.00025*C272,0),IF('prijem -inna mena'!$I$91=TRUE,IF('prijem -inna mena'!$F$91&gt;0,0.00025*C272,0),0))</f>
        <v>0</v>
      </c>
      <c r="L273" s="89">
        <v>257</v>
      </c>
      <c r="M273" s="237" t="e">
        <f t="shared" si="37"/>
        <v>#DIV/0!</v>
      </c>
      <c r="N273" s="142" t="e">
        <f t="shared" ref="N273:N336" si="42">MAX(N272-O273,0)</f>
        <v>#DIV/0!</v>
      </c>
      <c r="O273" s="142" t="e">
        <f t="shared" ref="O273:O336" si="43">$N$16/$N$5</f>
        <v>#DIV/0!</v>
      </c>
      <c r="P273" s="142" t="e">
        <f t="shared" si="38"/>
        <v>#DIV/0!</v>
      </c>
      <c r="Q273" s="142" t="e">
        <f t="shared" si="39"/>
        <v>#DIV/0!</v>
      </c>
      <c r="R273" s="184">
        <f>IF('prijem -inna mena'!$I$90=TRUE,IF($C$11&gt;0,0.00025*N272,0),IF('prijem -inna mena'!$I$91=TRUE,IF('prijem -inna mena'!$F$91&gt;0,0.00025*N272*-1,0),0))</f>
        <v>0</v>
      </c>
    </row>
    <row r="274" spans="1:18" x14ac:dyDescent="0.2">
      <c r="A274" s="89">
        <v>258</v>
      </c>
      <c r="B274" s="237" t="e">
        <f t="shared" ref="B274:B337" si="44">IF(C273&gt;0.00001,F274-G274,0)</f>
        <v>#NUM!</v>
      </c>
      <c r="C274" s="142" t="e">
        <f t="shared" si="40"/>
        <v>#NUM!</v>
      </c>
      <c r="D274" s="142" t="e">
        <f t="shared" ref="D274:D337" si="45">(F274-E274)*-1</f>
        <v>#NUM!</v>
      </c>
      <c r="E274" s="142" t="e">
        <f t="shared" ref="E274:E337" si="46">IPMT($C$4/12,1,$C$5,C273)</f>
        <v>#NUM!</v>
      </c>
      <c r="F274" s="142" t="e">
        <f t="shared" si="41"/>
        <v>#NUM!</v>
      </c>
      <c r="G274" s="184">
        <f>IF('prijem -inna mena'!$I$90=TRUE,IF($C$11&gt;0,0.00025*C273,0),IF('prijem -inna mena'!$I$91=TRUE,IF('prijem -inna mena'!$F$91&gt;0,0.00025*C273,0),0))</f>
        <v>0</v>
      </c>
      <c r="L274" s="89">
        <v>258</v>
      </c>
      <c r="M274" s="237" t="e">
        <f t="shared" ref="M274:M337" si="47">IF(N273&gt;0.00001,Q274-R274,0)*-1</f>
        <v>#DIV/0!</v>
      </c>
      <c r="N274" s="142" t="e">
        <f t="shared" si="42"/>
        <v>#DIV/0!</v>
      </c>
      <c r="O274" s="142" t="e">
        <f t="shared" si="43"/>
        <v>#DIV/0!</v>
      </c>
      <c r="P274" s="142" t="e">
        <f t="shared" ref="P274:P337" si="48">N273*$N$4/12</f>
        <v>#DIV/0!</v>
      </c>
      <c r="Q274" s="142" t="e">
        <f t="shared" ref="Q274:Q337" si="49">P274+O274</f>
        <v>#DIV/0!</v>
      </c>
      <c r="R274" s="184">
        <f>IF('prijem -inna mena'!$I$90=TRUE,IF($C$11&gt;0,0.00025*N273,0),IF('prijem -inna mena'!$I$91=TRUE,IF('prijem -inna mena'!$F$91&gt;0,0.00025*N273*-1,0),0))</f>
        <v>0</v>
      </c>
    </row>
    <row r="275" spans="1:18" x14ac:dyDescent="0.2">
      <c r="A275" s="89">
        <v>259</v>
      </c>
      <c r="B275" s="237" t="e">
        <f t="shared" si="44"/>
        <v>#NUM!</v>
      </c>
      <c r="C275" s="142" t="e">
        <f t="shared" si="40"/>
        <v>#NUM!</v>
      </c>
      <c r="D275" s="142" t="e">
        <f t="shared" si="45"/>
        <v>#NUM!</v>
      </c>
      <c r="E275" s="142" t="e">
        <f t="shared" si="46"/>
        <v>#NUM!</v>
      </c>
      <c r="F275" s="142" t="e">
        <f t="shared" si="41"/>
        <v>#NUM!</v>
      </c>
      <c r="G275" s="184">
        <f>IF('prijem -inna mena'!$I$90=TRUE,IF($C$11&gt;0,0.00025*C274,0),IF('prijem -inna mena'!$I$91=TRUE,IF('prijem -inna mena'!$F$91&gt;0,0.00025*C274,0),0))</f>
        <v>0</v>
      </c>
      <c r="L275" s="89">
        <v>259</v>
      </c>
      <c r="M275" s="237" t="e">
        <f t="shared" si="47"/>
        <v>#DIV/0!</v>
      </c>
      <c r="N275" s="142" t="e">
        <f t="shared" si="42"/>
        <v>#DIV/0!</v>
      </c>
      <c r="O275" s="142" t="e">
        <f t="shared" si="43"/>
        <v>#DIV/0!</v>
      </c>
      <c r="P275" s="142" t="e">
        <f t="shared" si="48"/>
        <v>#DIV/0!</v>
      </c>
      <c r="Q275" s="142" t="e">
        <f t="shared" si="49"/>
        <v>#DIV/0!</v>
      </c>
      <c r="R275" s="184">
        <f>IF('prijem -inna mena'!$I$90=TRUE,IF($C$11&gt;0,0.00025*N274,0),IF('prijem -inna mena'!$I$91=TRUE,IF('prijem -inna mena'!$F$91&gt;0,0.00025*N274*-1,0),0))</f>
        <v>0</v>
      </c>
    </row>
    <row r="276" spans="1:18" x14ac:dyDescent="0.2">
      <c r="A276" s="89">
        <v>260</v>
      </c>
      <c r="B276" s="237" t="e">
        <f t="shared" si="44"/>
        <v>#NUM!</v>
      </c>
      <c r="C276" s="142" t="e">
        <f t="shared" si="40"/>
        <v>#NUM!</v>
      </c>
      <c r="D276" s="142" t="e">
        <f t="shared" si="45"/>
        <v>#NUM!</v>
      </c>
      <c r="E276" s="142" t="e">
        <f t="shared" si="46"/>
        <v>#NUM!</v>
      </c>
      <c r="F276" s="142" t="e">
        <f t="shared" si="41"/>
        <v>#NUM!</v>
      </c>
      <c r="G276" s="184">
        <f>IF('prijem -inna mena'!$I$90=TRUE,IF($C$11&gt;0,0.00025*C275,0),IF('prijem -inna mena'!$I$91=TRUE,IF('prijem -inna mena'!$F$91&gt;0,0.00025*C275,0),0))</f>
        <v>0</v>
      </c>
      <c r="L276" s="89">
        <v>260</v>
      </c>
      <c r="M276" s="237" t="e">
        <f t="shared" si="47"/>
        <v>#DIV/0!</v>
      </c>
      <c r="N276" s="142" t="e">
        <f t="shared" si="42"/>
        <v>#DIV/0!</v>
      </c>
      <c r="O276" s="142" t="e">
        <f t="shared" si="43"/>
        <v>#DIV/0!</v>
      </c>
      <c r="P276" s="142" t="e">
        <f t="shared" si="48"/>
        <v>#DIV/0!</v>
      </c>
      <c r="Q276" s="142" t="e">
        <f t="shared" si="49"/>
        <v>#DIV/0!</v>
      </c>
      <c r="R276" s="184">
        <f>IF('prijem -inna mena'!$I$90=TRUE,IF($C$11&gt;0,0.00025*N275,0),IF('prijem -inna mena'!$I$91=TRUE,IF('prijem -inna mena'!$F$91&gt;0,0.00025*N275*-1,0),0))</f>
        <v>0</v>
      </c>
    </row>
    <row r="277" spans="1:18" x14ac:dyDescent="0.2">
      <c r="A277" s="89">
        <v>261</v>
      </c>
      <c r="B277" s="237" t="e">
        <f t="shared" si="44"/>
        <v>#NUM!</v>
      </c>
      <c r="C277" s="142" t="e">
        <f t="shared" si="40"/>
        <v>#NUM!</v>
      </c>
      <c r="D277" s="142" t="e">
        <f t="shared" si="45"/>
        <v>#NUM!</v>
      </c>
      <c r="E277" s="142" t="e">
        <f t="shared" si="46"/>
        <v>#NUM!</v>
      </c>
      <c r="F277" s="142" t="e">
        <f t="shared" si="41"/>
        <v>#NUM!</v>
      </c>
      <c r="G277" s="184">
        <f>IF('prijem -inna mena'!$I$90=TRUE,IF($C$11&gt;0,0.00025*C276,0),IF('prijem -inna mena'!$I$91=TRUE,IF('prijem -inna mena'!$F$91&gt;0,0.00025*C276,0),0))</f>
        <v>0</v>
      </c>
      <c r="L277" s="89">
        <v>261</v>
      </c>
      <c r="M277" s="237" t="e">
        <f t="shared" si="47"/>
        <v>#DIV/0!</v>
      </c>
      <c r="N277" s="142" t="e">
        <f t="shared" si="42"/>
        <v>#DIV/0!</v>
      </c>
      <c r="O277" s="142" t="e">
        <f t="shared" si="43"/>
        <v>#DIV/0!</v>
      </c>
      <c r="P277" s="142" t="e">
        <f t="shared" si="48"/>
        <v>#DIV/0!</v>
      </c>
      <c r="Q277" s="142" t="e">
        <f t="shared" si="49"/>
        <v>#DIV/0!</v>
      </c>
      <c r="R277" s="184">
        <f>IF('prijem -inna mena'!$I$90=TRUE,IF($C$11&gt;0,0.00025*N276,0),IF('prijem -inna mena'!$I$91=TRUE,IF('prijem -inna mena'!$F$91&gt;0,0.00025*N276*-1,0),0))</f>
        <v>0</v>
      </c>
    </row>
    <row r="278" spans="1:18" x14ac:dyDescent="0.2">
      <c r="A278" s="89">
        <v>262</v>
      </c>
      <c r="B278" s="237" t="e">
        <f t="shared" si="44"/>
        <v>#NUM!</v>
      </c>
      <c r="C278" s="142" t="e">
        <f t="shared" si="40"/>
        <v>#NUM!</v>
      </c>
      <c r="D278" s="142" t="e">
        <f t="shared" si="45"/>
        <v>#NUM!</v>
      </c>
      <c r="E278" s="142" t="e">
        <f t="shared" si="46"/>
        <v>#NUM!</v>
      </c>
      <c r="F278" s="142" t="e">
        <f t="shared" si="41"/>
        <v>#NUM!</v>
      </c>
      <c r="G278" s="184">
        <f>IF('prijem -inna mena'!$I$90=TRUE,IF($C$11&gt;0,0.00025*C277,0),IF('prijem -inna mena'!$I$91=TRUE,IF('prijem -inna mena'!$F$91&gt;0,0.00025*C277,0),0))</f>
        <v>0</v>
      </c>
      <c r="L278" s="89">
        <v>262</v>
      </c>
      <c r="M278" s="237" t="e">
        <f t="shared" si="47"/>
        <v>#DIV/0!</v>
      </c>
      <c r="N278" s="142" t="e">
        <f t="shared" si="42"/>
        <v>#DIV/0!</v>
      </c>
      <c r="O278" s="142" t="e">
        <f t="shared" si="43"/>
        <v>#DIV/0!</v>
      </c>
      <c r="P278" s="142" t="e">
        <f t="shared" si="48"/>
        <v>#DIV/0!</v>
      </c>
      <c r="Q278" s="142" t="e">
        <f t="shared" si="49"/>
        <v>#DIV/0!</v>
      </c>
      <c r="R278" s="184">
        <f>IF('prijem -inna mena'!$I$90=TRUE,IF($C$11&gt;0,0.00025*N277,0),IF('prijem -inna mena'!$I$91=TRUE,IF('prijem -inna mena'!$F$91&gt;0,0.00025*N277*-1,0),0))</f>
        <v>0</v>
      </c>
    </row>
    <row r="279" spans="1:18" x14ac:dyDescent="0.2">
      <c r="A279" s="89">
        <v>263</v>
      </c>
      <c r="B279" s="237" t="e">
        <f t="shared" si="44"/>
        <v>#NUM!</v>
      </c>
      <c r="C279" s="142" t="e">
        <f t="shared" si="40"/>
        <v>#NUM!</v>
      </c>
      <c r="D279" s="142" t="e">
        <f t="shared" si="45"/>
        <v>#NUM!</v>
      </c>
      <c r="E279" s="142" t="e">
        <f t="shared" si="46"/>
        <v>#NUM!</v>
      </c>
      <c r="F279" s="142" t="e">
        <f t="shared" si="41"/>
        <v>#NUM!</v>
      </c>
      <c r="G279" s="184">
        <f>IF('prijem -inna mena'!$I$90=TRUE,IF($C$11&gt;0,0.00025*C278,0),IF('prijem -inna mena'!$I$91=TRUE,IF('prijem -inna mena'!$F$91&gt;0,0.00025*C278,0),0))</f>
        <v>0</v>
      </c>
      <c r="L279" s="89">
        <v>263</v>
      </c>
      <c r="M279" s="237" t="e">
        <f t="shared" si="47"/>
        <v>#DIV/0!</v>
      </c>
      <c r="N279" s="142" t="e">
        <f t="shared" si="42"/>
        <v>#DIV/0!</v>
      </c>
      <c r="O279" s="142" t="e">
        <f t="shared" si="43"/>
        <v>#DIV/0!</v>
      </c>
      <c r="P279" s="142" t="e">
        <f t="shared" si="48"/>
        <v>#DIV/0!</v>
      </c>
      <c r="Q279" s="142" t="e">
        <f t="shared" si="49"/>
        <v>#DIV/0!</v>
      </c>
      <c r="R279" s="184">
        <f>IF('prijem -inna mena'!$I$90=TRUE,IF($C$11&gt;0,0.00025*N278,0),IF('prijem -inna mena'!$I$91=TRUE,IF('prijem -inna mena'!$F$91&gt;0,0.00025*N278*-1,0),0))</f>
        <v>0</v>
      </c>
    </row>
    <row r="280" spans="1:18" x14ac:dyDescent="0.2">
      <c r="A280" s="89">
        <v>264</v>
      </c>
      <c r="B280" s="237" t="e">
        <f t="shared" si="44"/>
        <v>#NUM!</v>
      </c>
      <c r="C280" s="142" t="e">
        <f t="shared" si="40"/>
        <v>#NUM!</v>
      </c>
      <c r="D280" s="142" t="e">
        <f t="shared" si="45"/>
        <v>#NUM!</v>
      </c>
      <c r="E280" s="142" t="e">
        <f t="shared" si="46"/>
        <v>#NUM!</v>
      </c>
      <c r="F280" s="142" t="e">
        <f t="shared" si="41"/>
        <v>#NUM!</v>
      </c>
      <c r="G280" s="184">
        <f>IF('prijem -inna mena'!$I$90=TRUE,IF($C$11&gt;0,0.00025*C279,0),IF('prijem -inna mena'!$I$91=TRUE,IF('prijem -inna mena'!$F$91&gt;0,0.00025*C279,0),0))</f>
        <v>0</v>
      </c>
      <c r="L280" s="89">
        <v>264</v>
      </c>
      <c r="M280" s="237" t="e">
        <f t="shared" si="47"/>
        <v>#DIV/0!</v>
      </c>
      <c r="N280" s="142" t="e">
        <f t="shared" si="42"/>
        <v>#DIV/0!</v>
      </c>
      <c r="O280" s="142" t="e">
        <f t="shared" si="43"/>
        <v>#DIV/0!</v>
      </c>
      <c r="P280" s="142" t="e">
        <f t="shared" si="48"/>
        <v>#DIV/0!</v>
      </c>
      <c r="Q280" s="142" t="e">
        <f t="shared" si="49"/>
        <v>#DIV/0!</v>
      </c>
      <c r="R280" s="184">
        <f>IF('prijem -inna mena'!$I$90=TRUE,IF($C$11&gt;0,0.00025*N279,0),IF('prijem -inna mena'!$I$91=TRUE,IF('prijem -inna mena'!$F$91&gt;0,0.00025*N279*-1,0),0))</f>
        <v>0</v>
      </c>
    </row>
    <row r="281" spans="1:18" x14ac:dyDescent="0.2">
      <c r="A281" s="89">
        <v>265</v>
      </c>
      <c r="B281" s="237" t="e">
        <f t="shared" si="44"/>
        <v>#NUM!</v>
      </c>
      <c r="C281" s="142" t="e">
        <f t="shared" si="40"/>
        <v>#NUM!</v>
      </c>
      <c r="D281" s="142" t="e">
        <f t="shared" si="45"/>
        <v>#NUM!</v>
      </c>
      <c r="E281" s="142" t="e">
        <f t="shared" si="46"/>
        <v>#NUM!</v>
      </c>
      <c r="F281" s="142" t="e">
        <f t="shared" si="41"/>
        <v>#NUM!</v>
      </c>
      <c r="G281" s="184">
        <f>IF('prijem -inna mena'!$I$90=TRUE,IF($C$11&gt;0,0.00025*C280,0),IF('prijem -inna mena'!$I$91=TRUE,IF('prijem -inna mena'!$F$91&gt;0,0.00025*C280,0),0))</f>
        <v>0</v>
      </c>
      <c r="L281" s="89">
        <v>265</v>
      </c>
      <c r="M281" s="237" t="e">
        <f t="shared" si="47"/>
        <v>#DIV/0!</v>
      </c>
      <c r="N281" s="142" t="e">
        <f t="shared" si="42"/>
        <v>#DIV/0!</v>
      </c>
      <c r="O281" s="142" t="e">
        <f t="shared" si="43"/>
        <v>#DIV/0!</v>
      </c>
      <c r="P281" s="142" t="e">
        <f t="shared" si="48"/>
        <v>#DIV/0!</v>
      </c>
      <c r="Q281" s="142" t="e">
        <f t="shared" si="49"/>
        <v>#DIV/0!</v>
      </c>
      <c r="R281" s="184">
        <f>IF('prijem -inna mena'!$I$90=TRUE,IF($C$11&gt;0,0.00025*N280,0),IF('prijem -inna mena'!$I$91=TRUE,IF('prijem -inna mena'!$F$91&gt;0,0.00025*N280*-1,0),0))</f>
        <v>0</v>
      </c>
    </row>
    <row r="282" spans="1:18" x14ac:dyDescent="0.2">
      <c r="A282" s="89">
        <v>266</v>
      </c>
      <c r="B282" s="237" t="e">
        <f t="shared" si="44"/>
        <v>#NUM!</v>
      </c>
      <c r="C282" s="142" t="e">
        <f t="shared" si="40"/>
        <v>#NUM!</v>
      </c>
      <c r="D282" s="142" t="e">
        <f t="shared" si="45"/>
        <v>#NUM!</v>
      </c>
      <c r="E282" s="142" t="e">
        <f t="shared" si="46"/>
        <v>#NUM!</v>
      </c>
      <c r="F282" s="142" t="e">
        <f t="shared" si="41"/>
        <v>#NUM!</v>
      </c>
      <c r="G282" s="184">
        <f>IF('prijem -inna mena'!$I$90=TRUE,IF($C$11&gt;0,0.00025*C281,0),IF('prijem -inna mena'!$I$91=TRUE,IF('prijem -inna mena'!$F$91&gt;0,0.00025*C281,0),0))</f>
        <v>0</v>
      </c>
      <c r="L282" s="89">
        <v>266</v>
      </c>
      <c r="M282" s="237" t="e">
        <f t="shared" si="47"/>
        <v>#DIV/0!</v>
      </c>
      <c r="N282" s="142" t="e">
        <f t="shared" si="42"/>
        <v>#DIV/0!</v>
      </c>
      <c r="O282" s="142" t="e">
        <f t="shared" si="43"/>
        <v>#DIV/0!</v>
      </c>
      <c r="P282" s="142" t="e">
        <f t="shared" si="48"/>
        <v>#DIV/0!</v>
      </c>
      <c r="Q282" s="142" t="e">
        <f t="shared" si="49"/>
        <v>#DIV/0!</v>
      </c>
      <c r="R282" s="184">
        <f>IF('prijem -inna mena'!$I$90=TRUE,IF($C$11&gt;0,0.00025*N281,0),IF('prijem -inna mena'!$I$91=TRUE,IF('prijem -inna mena'!$F$91&gt;0,0.00025*N281*-1,0),0))</f>
        <v>0</v>
      </c>
    </row>
    <row r="283" spans="1:18" x14ac:dyDescent="0.2">
      <c r="A283" s="89">
        <v>267</v>
      </c>
      <c r="B283" s="237" t="e">
        <f t="shared" si="44"/>
        <v>#NUM!</v>
      </c>
      <c r="C283" s="142" t="e">
        <f t="shared" si="40"/>
        <v>#NUM!</v>
      </c>
      <c r="D283" s="142" t="e">
        <f t="shared" si="45"/>
        <v>#NUM!</v>
      </c>
      <c r="E283" s="142" t="e">
        <f t="shared" si="46"/>
        <v>#NUM!</v>
      </c>
      <c r="F283" s="142" t="e">
        <f t="shared" si="41"/>
        <v>#NUM!</v>
      </c>
      <c r="G283" s="184">
        <f>IF('prijem -inna mena'!$I$90=TRUE,IF($C$11&gt;0,0.00025*C282,0),IF('prijem -inna mena'!$I$91=TRUE,IF('prijem -inna mena'!$F$91&gt;0,0.00025*C282,0),0))</f>
        <v>0</v>
      </c>
      <c r="L283" s="89">
        <v>267</v>
      </c>
      <c r="M283" s="237" t="e">
        <f t="shared" si="47"/>
        <v>#DIV/0!</v>
      </c>
      <c r="N283" s="142" t="e">
        <f t="shared" si="42"/>
        <v>#DIV/0!</v>
      </c>
      <c r="O283" s="142" t="e">
        <f t="shared" si="43"/>
        <v>#DIV/0!</v>
      </c>
      <c r="P283" s="142" t="e">
        <f t="shared" si="48"/>
        <v>#DIV/0!</v>
      </c>
      <c r="Q283" s="142" t="e">
        <f t="shared" si="49"/>
        <v>#DIV/0!</v>
      </c>
      <c r="R283" s="184">
        <f>IF('prijem -inna mena'!$I$90=TRUE,IF($C$11&gt;0,0.00025*N282,0),IF('prijem -inna mena'!$I$91=TRUE,IF('prijem -inna mena'!$F$91&gt;0,0.00025*N282*-1,0),0))</f>
        <v>0</v>
      </c>
    </row>
    <row r="284" spans="1:18" x14ac:dyDescent="0.2">
      <c r="A284" s="89">
        <v>268</v>
      </c>
      <c r="B284" s="237" t="e">
        <f t="shared" si="44"/>
        <v>#NUM!</v>
      </c>
      <c r="C284" s="142" t="e">
        <f t="shared" si="40"/>
        <v>#NUM!</v>
      </c>
      <c r="D284" s="142" t="e">
        <f t="shared" si="45"/>
        <v>#NUM!</v>
      </c>
      <c r="E284" s="142" t="e">
        <f t="shared" si="46"/>
        <v>#NUM!</v>
      </c>
      <c r="F284" s="142" t="e">
        <f t="shared" si="41"/>
        <v>#NUM!</v>
      </c>
      <c r="G284" s="184">
        <f>IF('prijem -inna mena'!$I$90=TRUE,IF($C$11&gt;0,0.00025*C283,0),IF('prijem -inna mena'!$I$91=TRUE,IF('prijem -inna mena'!$F$91&gt;0,0.00025*C283,0),0))</f>
        <v>0</v>
      </c>
      <c r="L284" s="89">
        <v>268</v>
      </c>
      <c r="M284" s="237" t="e">
        <f t="shared" si="47"/>
        <v>#DIV/0!</v>
      </c>
      <c r="N284" s="142" t="e">
        <f t="shared" si="42"/>
        <v>#DIV/0!</v>
      </c>
      <c r="O284" s="142" t="e">
        <f t="shared" si="43"/>
        <v>#DIV/0!</v>
      </c>
      <c r="P284" s="142" t="e">
        <f t="shared" si="48"/>
        <v>#DIV/0!</v>
      </c>
      <c r="Q284" s="142" t="e">
        <f t="shared" si="49"/>
        <v>#DIV/0!</v>
      </c>
      <c r="R284" s="184">
        <f>IF('prijem -inna mena'!$I$90=TRUE,IF($C$11&gt;0,0.00025*N283,0),IF('prijem -inna mena'!$I$91=TRUE,IF('prijem -inna mena'!$F$91&gt;0,0.00025*N283*-1,0),0))</f>
        <v>0</v>
      </c>
    </row>
    <row r="285" spans="1:18" x14ac:dyDescent="0.2">
      <c r="A285" s="89">
        <v>269</v>
      </c>
      <c r="B285" s="237" t="e">
        <f t="shared" si="44"/>
        <v>#NUM!</v>
      </c>
      <c r="C285" s="142" t="e">
        <f t="shared" si="40"/>
        <v>#NUM!</v>
      </c>
      <c r="D285" s="142" t="e">
        <f t="shared" si="45"/>
        <v>#NUM!</v>
      </c>
      <c r="E285" s="142" t="e">
        <f t="shared" si="46"/>
        <v>#NUM!</v>
      </c>
      <c r="F285" s="142" t="e">
        <f t="shared" si="41"/>
        <v>#NUM!</v>
      </c>
      <c r="G285" s="184">
        <f>IF('prijem -inna mena'!$I$90=TRUE,IF($C$11&gt;0,0.00025*C284,0),IF('prijem -inna mena'!$I$91=TRUE,IF('prijem -inna mena'!$F$91&gt;0,0.00025*C284,0),0))</f>
        <v>0</v>
      </c>
      <c r="L285" s="89">
        <v>269</v>
      </c>
      <c r="M285" s="237" t="e">
        <f t="shared" si="47"/>
        <v>#DIV/0!</v>
      </c>
      <c r="N285" s="142" t="e">
        <f t="shared" si="42"/>
        <v>#DIV/0!</v>
      </c>
      <c r="O285" s="142" t="e">
        <f t="shared" si="43"/>
        <v>#DIV/0!</v>
      </c>
      <c r="P285" s="142" t="e">
        <f t="shared" si="48"/>
        <v>#DIV/0!</v>
      </c>
      <c r="Q285" s="142" t="e">
        <f t="shared" si="49"/>
        <v>#DIV/0!</v>
      </c>
      <c r="R285" s="184">
        <f>IF('prijem -inna mena'!$I$90=TRUE,IF($C$11&gt;0,0.00025*N284,0),IF('prijem -inna mena'!$I$91=TRUE,IF('prijem -inna mena'!$F$91&gt;0,0.00025*N284*-1,0),0))</f>
        <v>0</v>
      </c>
    </row>
    <row r="286" spans="1:18" x14ac:dyDescent="0.2">
      <c r="A286" s="89">
        <v>270</v>
      </c>
      <c r="B286" s="237" t="e">
        <f t="shared" si="44"/>
        <v>#NUM!</v>
      </c>
      <c r="C286" s="142" t="e">
        <f t="shared" si="40"/>
        <v>#NUM!</v>
      </c>
      <c r="D286" s="142" t="e">
        <f t="shared" si="45"/>
        <v>#NUM!</v>
      </c>
      <c r="E286" s="142" t="e">
        <f t="shared" si="46"/>
        <v>#NUM!</v>
      </c>
      <c r="F286" s="142" t="e">
        <f t="shared" si="41"/>
        <v>#NUM!</v>
      </c>
      <c r="G286" s="184">
        <f>IF('prijem -inna mena'!$I$90=TRUE,IF($C$11&gt;0,0.00025*C285,0),IF('prijem -inna mena'!$I$91=TRUE,IF('prijem -inna mena'!$F$91&gt;0,0.00025*C285,0),0))</f>
        <v>0</v>
      </c>
      <c r="L286" s="89">
        <v>270</v>
      </c>
      <c r="M286" s="237" t="e">
        <f t="shared" si="47"/>
        <v>#DIV/0!</v>
      </c>
      <c r="N286" s="142" t="e">
        <f t="shared" si="42"/>
        <v>#DIV/0!</v>
      </c>
      <c r="O286" s="142" t="e">
        <f t="shared" si="43"/>
        <v>#DIV/0!</v>
      </c>
      <c r="P286" s="142" t="e">
        <f t="shared" si="48"/>
        <v>#DIV/0!</v>
      </c>
      <c r="Q286" s="142" t="e">
        <f t="shared" si="49"/>
        <v>#DIV/0!</v>
      </c>
      <c r="R286" s="184">
        <f>IF('prijem -inna mena'!$I$90=TRUE,IF($C$11&gt;0,0.00025*N285,0),IF('prijem -inna mena'!$I$91=TRUE,IF('prijem -inna mena'!$F$91&gt;0,0.00025*N285*-1,0),0))</f>
        <v>0</v>
      </c>
    </row>
    <row r="287" spans="1:18" x14ac:dyDescent="0.2">
      <c r="A287" s="89">
        <v>271</v>
      </c>
      <c r="B287" s="237" t="e">
        <f t="shared" si="44"/>
        <v>#NUM!</v>
      </c>
      <c r="C287" s="142" t="e">
        <f t="shared" si="40"/>
        <v>#NUM!</v>
      </c>
      <c r="D287" s="142" t="e">
        <f t="shared" si="45"/>
        <v>#NUM!</v>
      </c>
      <c r="E287" s="142" t="e">
        <f t="shared" si="46"/>
        <v>#NUM!</v>
      </c>
      <c r="F287" s="142" t="e">
        <f t="shared" si="41"/>
        <v>#NUM!</v>
      </c>
      <c r="G287" s="184">
        <f>IF('prijem -inna mena'!$I$90=TRUE,IF($C$11&gt;0,0.00025*C286,0),IF('prijem -inna mena'!$I$91=TRUE,IF('prijem -inna mena'!$F$91&gt;0,0.00025*C286,0),0))</f>
        <v>0</v>
      </c>
      <c r="L287" s="89">
        <v>271</v>
      </c>
      <c r="M287" s="237" t="e">
        <f t="shared" si="47"/>
        <v>#DIV/0!</v>
      </c>
      <c r="N287" s="142" t="e">
        <f t="shared" si="42"/>
        <v>#DIV/0!</v>
      </c>
      <c r="O287" s="142" t="e">
        <f t="shared" si="43"/>
        <v>#DIV/0!</v>
      </c>
      <c r="P287" s="142" t="e">
        <f t="shared" si="48"/>
        <v>#DIV/0!</v>
      </c>
      <c r="Q287" s="142" t="e">
        <f t="shared" si="49"/>
        <v>#DIV/0!</v>
      </c>
      <c r="R287" s="184">
        <f>IF('prijem -inna mena'!$I$90=TRUE,IF($C$11&gt;0,0.00025*N286,0),IF('prijem -inna mena'!$I$91=TRUE,IF('prijem -inna mena'!$F$91&gt;0,0.00025*N286*-1,0),0))</f>
        <v>0</v>
      </c>
    </row>
    <row r="288" spans="1:18" x14ac:dyDescent="0.2">
      <c r="A288" s="89">
        <v>272</v>
      </c>
      <c r="B288" s="237" t="e">
        <f t="shared" si="44"/>
        <v>#NUM!</v>
      </c>
      <c r="C288" s="142" t="e">
        <f t="shared" si="40"/>
        <v>#NUM!</v>
      </c>
      <c r="D288" s="142" t="e">
        <f t="shared" si="45"/>
        <v>#NUM!</v>
      </c>
      <c r="E288" s="142" t="e">
        <f t="shared" si="46"/>
        <v>#NUM!</v>
      </c>
      <c r="F288" s="142" t="e">
        <f t="shared" si="41"/>
        <v>#NUM!</v>
      </c>
      <c r="G288" s="184">
        <f>IF('prijem -inna mena'!$I$90=TRUE,IF($C$11&gt;0,0.00025*C287,0),IF('prijem -inna mena'!$I$91=TRUE,IF('prijem -inna mena'!$F$91&gt;0,0.00025*C287,0),0))</f>
        <v>0</v>
      </c>
      <c r="L288" s="89">
        <v>272</v>
      </c>
      <c r="M288" s="237" t="e">
        <f t="shared" si="47"/>
        <v>#DIV/0!</v>
      </c>
      <c r="N288" s="142" t="e">
        <f t="shared" si="42"/>
        <v>#DIV/0!</v>
      </c>
      <c r="O288" s="142" t="e">
        <f t="shared" si="43"/>
        <v>#DIV/0!</v>
      </c>
      <c r="P288" s="142" t="e">
        <f t="shared" si="48"/>
        <v>#DIV/0!</v>
      </c>
      <c r="Q288" s="142" t="e">
        <f t="shared" si="49"/>
        <v>#DIV/0!</v>
      </c>
      <c r="R288" s="184">
        <f>IF('prijem -inna mena'!$I$90=TRUE,IF($C$11&gt;0,0.00025*N287,0),IF('prijem -inna mena'!$I$91=TRUE,IF('prijem -inna mena'!$F$91&gt;0,0.00025*N287*-1,0),0))</f>
        <v>0</v>
      </c>
    </row>
    <row r="289" spans="1:18" x14ac:dyDescent="0.2">
      <c r="A289" s="89">
        <v>273</v>
      </c>
      <c r="B289" s="237" t="e">
        <f t="shared" si="44"/>
        <v>#NUM!</v>
      </c>
      <c r="C289" s="142" t="e">
        <f t="shared" si="40"/>
        <v>#NUM!</v>
      </c>
      <c r="D289" s="142" t="e">
        <f t="shared" si="45"/>
        <v>#NUM!</v>
      </c>
      <c r="E289" s="142" t="e">
        <f t="shared" si="46"/>
        <v>#NUM!</v>
      </c>
      <c r="F289" s="142" t="e">
        <f t="shared" si="41"/>
        <v>#NUM!</v>
      </c>
      <c r="G289" s="184">
        <f>IF('prijem -inna mena'!$I$90=TRUE,IF($C$11&gt;0,0.00025*C288,0),IF('prijem -inna mena'!$I$91=TRUE,IF('prijem -inna mena'!$F$91&gt;0,0.00025*C288,0),0))</f>
        <v>0</v>
      </c>
      <c r="L289" s="89">
        <v>273</v>
      </c>
      <c r="M289" s="237" t="e">
        <f t="shared" si="47"/>
        <v>#DIV/0!</v>
      </c>
      <c r="N289" s="142" t="e">
        <f t="shared" si="42"/>
        <v>#DIV/0!</v>
      </c>
      <c r="O289" s="142" t="e">
        <f t="shared" si="43"/>
        <v>#DIV/0!</v>
      </c>
      <c r="P289" s="142" t="e">
        <f t="shared" si="48"/>
        <v>#DIV/0!</v>
      </c>
      <c r="Q289" s="142" t="e">
        <f t="shared" si="49"/>
        <v>#DIV/0!</v>
      </c>
      <c r="R289" s="184">
        <f>IF('prijem -inna mena'!$I$90=TRUE,IF($C$11&gt;0,0.00025*N288,0),IF('prijem -inna mena'!$I$91=TRUE,IF('prijem -inna mena'!$F$91&gt;0,0.00025*N288*-1,0),0))</f>
        <v>0</v>
      </c>
    </row>
    <row r="290" spans="1:18" x14ac:dyDescent="0.2">
      <c r="A290" s="89">
        <v>274</v>
      </c>
      <c r="B290" s="237" t="e">
        <f t="shared" si="44"/>
        <v>#NUM!</v>
      </c>
      <c r="C290" s="142" t="e">
        <f t="shared" si="40"/>
        <v>#NUM!</v>
      </c>
      <c r="D290" s="142" t="e">
        <f t="shared" si="45"/>
        <v>#NUM!</v>
      </c>
      <c r="E290" s="142" t="e">
        <f t="shared" si="46"/>
        <v>#NUM!</v>
      </c>
      <c r="F290" s="142" t="e">
        <f t="shared" si="41"/>
        <v>#NUM!</v>
      </c>
      <c r="G290" s="184">
        <f>IF('prijem -inna mena'!$I$90=TRUE,IF($C$11&gt;0,0.00025*C289,0),IF('prijem -inna mena'!$I$91=TRUE,IF('prijem -inna mena'!$F$91&gt;0,0.00025*C289,0),0))</f>
        <v>0</v>
      </c>
      <c r="L290" s="89">
        <v>274</v>
      </c>
      <c r="M290" s="237" t="e">
        <f t="shared" si="47"/>
        <v>#DIV/0!</v>
      </c>
      <c r="N290" s="142" t="e">
        <f t="shared" si="42"/>
        <v>#DIV/0!</v>
      </c>
      <c r="O290" s="142" t="e">
        <f t="shared" si="43"/>
        <v>#DIV/0!</v>
      </c>
      <c r="P290" s="142" t="e">
        <f t="shared" si="48"/>
        <v>#DIV/0!</v>
      </c>
      <c r="Q290" s="142" t="e">
        <f t="shared" si="49"/>
        <v>#DIV/0!</v>
      </c>
      <c r="R290" s="184">
        <f>IF('prijem -inna mena'!$I$90=TRUE,IF($C$11&gt;0,0.00025*N289,0),IF('prijem -inna mena'!$I$91=TRUE,IF('prijem -inna mena'!$F$91&gt;0,0.00025*N289*-1,0),0))</f>
        <v>0</v>
      </c>
    </row>
    <row r="291" spans="1:18" x14ac:dyDescent="0.2">
      <c r="A291" s="89">
        <v>275</v>
      </c>
      <c r="B291" s="237" t="e">
        <f t="shared" si="44"/>
        <v>#NUM!</v>
      </c>
      <c r="C291" s="142" t="e">
        <f t="shared" si="40"/>
        <v>#NUM!</v>
      </c>
      <c r="D291" s="142" t="e">
        <f t="shared" si="45"/>
        <v>#NUM!</v>
      </c>
      <c r="E291" s="142" t="e">
        <f t="shared" si="46"/>
        <v>#NUM!</v>
      </c>
      <c r="F291" s="142" t="e">
        <f t="shared" si="41"/>
        <v>#NUM!</v>
      </c>
      <c r="G291" s="184">
        <f>IF('prijem -inna mena'!$I$90=TRUE,IF($C$11&gt;0,0.00025*C290,0),IF('prijem -inna mena'!$I$91=TRUE,IF('prijem -inna mena'!$F$91&gt;0,0.00025*C290,0),0))</f>
        <v>0</v>
      </c>
      <c r="L291" s="89">
        <v>275</v>
      </c>
      <c r="M291" s="237" t="e">
        <f t="shared" si="47"/>
        <v>#DIV/0!</v>
      </c>
      <c r="N291" s="142" t="e">
        <f t="shared" si="42"/>
        <v>#DIV/0!</v>
      </c>
      <c r="O291" s="142" t="e">
        <f t="shared" si="43"/>
        <v>#DIV/0!</v>
      </c>
      <c r="P291" s="142" t="e">
        <f t="shared" si="48"/>
        <v>#DIV/0!</v>
      </c>
      <c r="Q291" s="142" t="e">
        <f t="shared" si="49"/>
        <v>#DIV/0!</v>
      </c>
      <c r="R291" s="184">
        <f>IF('prijem -inna mena'!$I$90=TRUE,IF($C$11&gt;0,0.00025*N290,0),IF('prijem -inna mena'!$I$91=TRUE,IF('prijem -inna mena'!$F$91&gt;0,0.00025*N290*-1,0),0))</f>
        <v>0</v>
      </c>
    </row>
    <row r="292" spans="1:18" x14ac:dyDescent="0.2">
      <c r="A292" s="89">
        <v>276</v>
      </c>
      <c r="B292" s="237" t="e">
        <f t="shared" si="44"/>
        <v>#NUM!</v>
      </c>
      <c r="C292" s="142" t="e">
        <f t="shared" si="40"/>
        <v>#NUM!</v>
      </c>
      <c r="D292" s="142" t="e">
        <f t="shared" si="45"/>
        <v>#NUM!</v>
      </c>
      <c r="E292" s="142" t="e">
        <f t="shared" si="46"/>
        <v>#NUM!</v>
      </c>
      <c r="F292" s="142" t="e">
        <f t="shared" si="41"/>
        <v>#NUM!</v>
      </c>
      <c r="G292" s="184">
        <f>IF('prijem -inna mena'!$I$90=TRUE,IF($C$11&gt;0,0.00025*C291,0),IF('prijem -inna mena'!$I$91=TRUE,IF('prijem -inna mena'!$F$91&gt;0,0.00025*C291,0),0))</f>
        <v>0</v>
      </c>
      <c r="L292" s="89">
        <v>276</v>
      </c>
      <c r="M292" s="237" t="e">
        <f t="shared" si="47"/>
        <v>#DIV/0!</v>
      </c>
      <c r="N292" s="142" t="e">
        <f t="shared" si="42"/>
        <v>#DIV/0!</v>
      </c>
      <c r="O292" s="142" t="e">
        <f t="shared" si="43"/>
        <v>#DIV/0!</v>
      </c>
      <c r="P292" s="142" t="e">
        <f t="shared" si="48"/>
        <v>#DIV/0!</v>
      </c>
      <c r="Q292" s="142" t="e">
        <f t="shared" si="49"/>
        <v>#DIV/0!</v>
      </c>
      <c r="R292" s="184">
        <f>IF('prijem -inna mena'!$I$90=TRUE,IF($C$11&gt;0,0.00025*N291,0),IF('prijem -inna mena'!$I$91=TRUE,IF('prijem -inna mena'!$F$91&gt;0,0.00025*N291*-1,0),0))</f>
        <v>0</v>
      </c>
    </row>
    <row r="293" spans="1:18" x14ac:dyDescent="0.2">
      <c r="A293" s="89">
        <v>277</v>
      </c>
      <c r="B293" s="237" t="e">
        <f t="shared" si="44"/>
        <v>#NUM!</v>
      </c>
      <c r="C293" s="142" t="e">
        <f t="shared" si="40"/>
        <v>#NUM!</v>
      </c>
      <c r="D293" s="142" t="e">
        <f t="shared" si="45"/>
        <v>#NUM!</v>
      </c>
      <c r="E293" s="142" t="e">
        <f t="shared" si="46"/>
        <v>#NUM!</v>
      </c>
      <c r="F293" s="142" t="e">
        <f t="shared" si="41"/>
        <v>#NUM!</v>
      </c>
      <c r="G293" s="184">
        <f>IF('prijem -inna mena'!$I$90=TRUE,IF($C$11&gt;0,0.00025*C292,0),IF('prijem -inna mena'!$I$91=TRUE,IF('prijem -inna mena'!$F$91&gt;0,0.00025*C292,0),0))</f>
        <v>0</v>
      </c>
      <c r="L293" s="89">
        <v>277</v>
      </c>
      <c r="M293" s="237" t="e">
        <f t="shared" si="47"/>
        <v>#DIV/0!</v>
      </c>
      <c r="N293" s="142" t="e">
        <f t="shared" si="42"/>
        <v>#DIV/0!</v>
      </c>
      <c r="O293" s="142" t="e">
        <f t="shared" si="43"/>
        <v>#DIV/0!</v>
      </c>
      <c r="P293" s="142" t="e">
        <f t="shared" si="48"/>
        <v>#DIV/0!</v>
      </c>
      <c r="Q293" s="142" t="e">
        <f t="shared" si="49"/>
        <v>#DIV/0!</v>
      </c>
      <c r="R293" s="184">
        <f>IF('prijem -inna mena'!$I$90=TRUE,IF($C$11&gt;0,0.00025*N292,0),IF('prijem -inna mena'!$I$91=TRUE,IF('prijem -inna mena'!$F$91&gt;0,0.00025*N292*-1,0),0))</f>
        <v>0</v>
      </c>
    </row>
    <row r="294" spans="1:18" x14ac:dyDescent="0.2">
      <c r="A294" s="89">
        <v>278</v>
      </c>
      <c r="B294" s="237" t="e">
        <f t="shared" si="44"/>
        <v>#NUM!</v>
      </c>
      <c r="C294" s="142" t="e">
        <f t="shared" si="40"/>
        <v>#NUM!</v>
      </c>
      <c r="D294" s="142" t="e">
        <f t="shared" si="45"/>
        <v>#NUM!</v>
      </c>
      <c r="E294" s="142" t="e">
        <f t="shared" si="46"/>
        <v>#NUM!</v>
      </c>
      <c r="F294" s="142" t="e">
        <f t="shared" si="41"/>
        <v>#NUM!</v>
      </c>
      <c r="G294" s="184">
        <f>IF('prijem -inna mena'!$I$90=TRUE,IF($C$11&gt;0,0.00025*C293,0),IF('prijem -inna mena'!$I$91=TRUE,IF('prijem -inna mena'!$F$91&gt;0,0.00025*C293,0),0))</f>
        <v>0</v>
      </c>
      <c r="L294" s="89">
        <v>278</v>
      </c>
      <c r="M294" s="237" t="e">
        <f t="shared" si="47"/>
        <v>#DIV/0!</v>
      </c>
      <c r="N294" s="142" t="e">
        <f t="shared" si="42"/>
        <v>#DIV/0!</v>
      </c>
      <c r="O294" s="142" t="e">
        <f t="shared" si="43"/>
        <v>#DIV/0!</v>
      </c>
      <c r="P294" s="142" t="e">
        <f t="shared" si="48"/>
        <v>#DIV/0!</v>
      </c>
      <c r="Q294" s="142" t="e">
        <f t="shared" si="49"/>
        <v>#DIV/0!</v>
      </c>
      <c r="R294" s="184">
        <f>IF('prijem -inna mena'!$I$90=TRUE,IF($C$11&gt;0,0.00025*N293,0),IF('prijem -inna mena'!$I$91=TRUE,IF('prijem -inna mena'!$F$91&gt;0,0.00025*N293*-1,0),0))</f>
        <v>0</v>
      </c>
    </row>
    <row r="295" spans="1:18" x14ac:dyDescent="0.2">
      <c r="A295" s="89">
        <v>279</v>
      </c>
      <c r="B295" s="237" t="e">
        <f t="shared" si="44"/>
        <v>#NUM!</v>
      </c>
      <c r="C295" s="142" t="e">
        <f t="shared" si="40"/>
        <v>#NUM!</v>
      </c>
      <c r="D295" s="142" t="e">
        <f t="shared" si="45"/>
        <v>#NUM!</v>
      </c>
      <c r="E295" s="142" t="e">
        <f t="shared" si="46"/>
        <v>#NUM!</v>
      </c>
      <c r="F295" s="142" t="e">
        <f t="shared" si="41"/>
        <v>#NUM!</v>
      </c>
      <c r="G295" s="184">
        <f>IF('prijem -inna mena'!$I$90=TRUE,IF($C$11&gt;0,0.00025*C294,0),IF('prijem -inna mena'!$I$91=TRUE,IF('prijem -inna mena'!$F$91&gt;0,0.00025*C294,0),0))</f>
        <v>0</v>
      </c>
      <c r="L295" s="89">
        <v>279</v>
      </c>
      <c r="M295" s="237" t="e">
        <f t="shared" si="47"/>
        <v>#DIV/0!</v>
      </c>
      <c r="N295" s="142" t="e">
        <f t="shared" si="42"/>
        <v>#DIV/0!</v>
      </c>
      <c r="O295" s="142" t="e">
        <f t="shared" si="43"/>
        <v>#DIV/0!</v>
      </c>
      <c r="P295" s="142" t="e">
        <f t="shared" si="48"/>
        <v>#DIV/0!</v>
      </c>
      <c r="Q295" s="142" t="e">
        <f t="shared" si="49"/>
        <v>#DIV/0!</v>
      </c>
      <c r="R295" s="184">
        <f>IF('prijem -inna mena'!$I$90=TRUE,IF($C$11&gt;0,0.00025*N294,0),IF('prijem -inna mena'!$I$91=TRUE,IF('prijem -inna mena'!$F$91&gt;0,0.00025*N294*-1,0),0))</f>
        <v>0</v>
      </c>
    </row>
    <row r="296" spans="1:18" x14ac:dyDescent="0.2">
      <c r="A296" s="89">
        <v>280</v>
      </c>
      <c r="B296" s="237" t="e">
        <f t="shared" si="44"/>
        <v>#NUM!</v>
      </c>
      <c r="C296" s="142" t="e">
        <f t="shared" si="40"/>
        <v>#NUM!</v>
      </c>
      <c r="D296" s="142" t="e">
        <f t="shared" si="45"/>
        <v>#NUM!</v>
      </c>
      <c r="E296" s="142" t="e">
        <f t="shared" si="46"/>
        <v>#NUM!</v>
      </c>
      <c r="F296" s="142" t="e">
        <f t="shared" si="41"/>
        <v>#NUM!</v>
      </c>
      <c r="G296" s="184">
        <f>IF('prijem -inna mena'!$I$90=TRUE,IF($C$11&gt;0,0.00025*C295,0),IF('prijem -inna mena'!$I$91=TRUE,IF('prijem -inna mena'!$F$91&gt;0,0.00025*C295,0),0))</f>
        <v>0</v>
      </c>
      <c r="L296" s="89">
        <v>280</v>
      </c>
      <c r="M296" s="237" t="e">
        <f t="shared" si="47"/>
        <v>#DIV/0!</v>
      </c>
      <c r="N296" s="142" t="e">
        <f t="shared" si="42"/>
        <v>#DIV/0!</v>
      </c>
      <c r="O296" s="142" t="e">
        <f t="shared" si="43"/>
        <v>#DIV/0!</v>
      </c>
      <c r="P296" s="142" t="e">
        <f t="shared" si="48"/>
        <v>#DIV/0!</v>
      </c>
      <c r="Q296" s="142" t="e">
        <f t="shared" si="49"/>
        <v>#DIV/0!</v>
      </c>
      <c r="R296" s="184">
        <f>IF('prijem -inna mena'!$I$90=TRUE,IF($C$11&gt;0,0.00025*N295,0),IF('prijem -inna mena'!$I$91=TRUE,IF('prijem -inna mena'!$F$91&gt;0,0.00025*N295*-1,0),0))</f>
        <v>0</v>
      </c>
    </row>
    <row r="297" spans="1:18" x14ac:dyDescent="0.2">
      <c r="A297" s="89">
        <v>281</v>
      </c>
      <c r="B297" s="237" t="e">
        <f t="shared" si="44"/>
        <v>#NUM!</v>
      </c>
      <c r="C297" s="142" t="e">
        <f t="shared" si="40"/>
        <v>#NUM!</v>
      </c>
      <c r="D297" s="142" t="e">
        <f t="shared" si="45"/>
        <v>#NUM!</v>
      </c>
      <c r="E297" s="142" t="e">
        <f t="shared" si="46"/>
        <v>#NUM!</v>
      </c>
      <c r="F297" s="142" t="e">
        <f t="shared" si="41"/>
        <v>#NUM!</v>
      </c>
      <c r="G297" s="184">
        <f>IF('prijem -inna mena'!$I$90=TRUE,IF($C$11&gt;0,0.00025*C296,0),IF('prijem -inna mena'!$I$91=TRUE,IF('prijem -inna mena'!$F$91&gt;0,0.00025*C296,0),0))</f>
        <v>0</v>
      </c>
      <c r="L297" s="89">
        <v>281</v>
      </c>
      <c r="M297" s="237" t="e">
        <f t="shared" si="47"/>
        <v>#DIV/0!</v>
      </c>
      <c r="N297" s="142" t="e">
        <f t="shared" si="42"/>
        <v>#DIV/0!</v>
      </c>
      <c r="O297" s="142" t="e">
        <f t="shared" si="43"/>
        <v>#DIV/0!</v>
      </c>
      <c r="P297" s="142" t="e">
        <f t="shared" si="48"/>
        <v>#DIV/0!</v>
      </c>
      <c r="Q297" s="142" t="e">
        <f t="shared" si="49"/>
        <v>#DIV/0!</v>
      </c>
      <c r="R297" s="184">
        <f>IF('prijem -inna mena'!$I$90=TRUE,IF($C$11&gt;0,0.00025*N296,0),IF('prijem -inna mena'!$I$91=TRUE,IF('prijem -inna mena'!$F$91&gt;0,0.00025*N296*-1,0),0))</f>
        <v>0</v>
      </c>
    </row>
    <row r="298" spans="1:18" x14ac:dyDescent="0.2">
      <c r="A298" s="89">
        <v>282</v>
      </c>
      <c r="B298" s="237" t="e">
        <f t="shared" si="44"/>
        <v>#NUM!</v>
      </c>
      <c r="C298" s="142" t="e">
        <f t="shared" si="40"/>
        <v>#NUM!</v>
      </c>
      <c r="D298" s="142" t="e">
        <f t="shared" si="45"/>
        <v>#NUM!</v>
      </c>
      <c r="E298" s="142" t="e">
        <f t="shared" si="46"/>
        <v>#NUM!</v>
      </c>
      <c r="F298" s="142" t="e">
        <f t="shared" si="41"/>
        <v>#NUM!</v>
      </c>
      <c r="G298" s="184">
        <f>IF('prijem -inna mena'!$I$90=TRUE,IF($C$11&gt;0,0.00025*C297,0),IF('prijem -inna mena'!$I$91=TRUE,IF('prijem -inna mena'!$F$91&gt;0,0.00025*C297,0),0))</f>
        <v>0</v>
      </c>
      <c r="L298" s="89">
        <v>282</v>
      </c>
      <c r="M298" s="237" t="e">
        <f t="shared" si="47"/>
        <v>#DIV/0!</v>
      </c>
      <c r="N298" s="142" t="e">
        <f t="shared" si="42"/>
        <v>#DIV/0!</v>
      </c>
      <c r="O298" s="142" t="e">
        <f t="shared" si="43"/>
        <v>#DIV/0!</v>
      </c>
      <c r="P298" s="142" t="e">
        <f t="shared" si="48"/>
        <v>#DIV/0!</v>
      </c>
      <c r="Q298" s="142" t="e">
        <f t="shared" si="49"/>
        <v>#DIV/0!</v>
      </c>
      <c r="R298" s="184">
        <f>IF('prijem -inna mena'!$I$90=TRUE,IF($C$11&gt;0,0.00025*N297,0),IF('prijem -inna mena'!$I$91=TRUE,IF('prijem -inna mena'!$F$91&gt;0,0.00025*N297*-1,0),0))</f>
        <v>0</v>
      </c>
    </row>
    <row r="299" spans="1:18" x14ac:dyDescent="0.2">
      <c r="A299" s="89">
        <v>283</v>
      </c>
      <c r="B299" s="237" t="e">
        <f t="shared" si="44"/>
        <v>#NUM!</v>
      </c>
      <c r="C299" s="142" t="e">
        <f t="shared" si="40"/>
        <v>#NUM!</v>
      </c>
      <c r="D299" s="142" t="e">
        <f t="shared" si="45"/>
        <v>#NUM!</v>
      </c>
      <c r="E299" s="142" t="e">
        <f t="shared" si="46"/>
        <v>#NUM!</v>
      </c>
      <c r="F299" s="142" t="e">
        <f t="shared" si="41"/>
        <v>#NUM!</v>
      </c>
      <c r="G299" s="184">
        <f>IF('prijem -inna mena'!$I$90=TRUE,IF($C$11&gt;0,0.00025*C298,0),IF('prijem -inna mena'!$I$91=TRUE,IF('prijem -inna mena'!$F$91&gt;0,0.00025*C298,0),0))</f>
        <v>0</v>
      </c>
      <c r="L299" s="89">
        <v>283</v>
      </c>
      <c r="M299" s="237" t="e">
        <f t="shared" si="47"/>
        <v>#DIV/0!</v>
      </c>
      <c r="N299" s="142" t="e">
        <f t="shared" si="42"/>
        <v>#DIV/0!</v>
      </c>
      <c r="O299" s="142" t="e">
        <f t="shared" si="43"/>
        <v>#DIV/0!</v>
      </c>
      <c r="P299" s="142" t="e">
        <f t="shared" si="48"/>
        <v>#DIV/0!</v>
      </c>
      <c r="Q299" s="142" t="e">
        <f t="shared" si="49"/>
        <v>#DIV/0!</v>
      </c>
      <c r="R299" s="184">
        <f>IF('prijem -inna mena'!$I$90=TRUE,IF($C$11&gt;0,0.00025*N298,0),IF('prijem -inna mena'!$I$91=TRUE,IF('prijem -inna mena'!$F$91&gt;0,0.00025*N298*-1,0),0))</f>
        <v>0</v>
      </c>
    </row>
    <row r="300" spans="1:18" x14ac:dyDescent="0.2">
      <c r="A300" s="89">
        <v>284</v>
      </c>
      <c r="B300" s="237" t="e">
        <f t="shared" si="44"/>
        <v>#NUM!</v>
      </c>
      <c r="C300" s="142" t="e">
        <f t="shared" si="40"/>
        <v>#NUM!</v>
      </c>
      <c r="D300" s="142" t="e">
        <f t="shared" si="45"/>
        <v>#NUM!</v>
      </c>
      <c r="E300" s="142" t="e">
        <f t="shared" si="46"/>
        <v>#NUM!</v>
      </c>
      <c r="F300" s="142" t="e">
        <f t="shared" si="41"/>
        <v>#NUM!</v>
      </c>
      <c r="G300" s="184">
        <f>IF('prijem -inna mena'!$I$90=TRUE,IF($C$11&gt;0,0.00025*C299,0),IF('prijem -inna mena'!$I$91=TRUE,IF('prijem -inna mena'!$F$91&gt;0,0.00025*C299,0),0))</f>
        <v>0</v>
      </c>
      <c r="L300" s="89">
        <v>284</v>
      </c>
      <c r="M300" s="237" t="e">
        <f t="shared" si="47"/>
        <v>#DIV/0!</v>
      </c>
      <c r="N300" s="142" t="e">
        <f t="shared" si="42"/>
        <v>#DIV/0!</v>
      </c>
      <c r="O300" s="142" t="e">
        <f t="shared" si="43"/>
        <v>#DIV/0!</v>
      </c>
      <c r="P300" s="142" t="e">
        <f t="shared" si="48"/>
        <v>#DIV/0!</v>
      </c>
      <c r="Q300" s="142" t="e">
        <f t="shared" si="49"/>
        <v>#DIV/0!</v>
      </c>
      <c r="R300" s="184">
        <f>IF('prijem -inna mena'!$I$90=TRUE,IF($C$11&gt;0,0.00025*N299,0),IF('prijem -inna mena'!$I$91=TRUE,IF('prijem -inna mena'!$F$91&gt;0,0.00025*N299*-1,0),0))</f>
        <v>0</v>
      </c>
    </row>
    <row r="301" spans="1:18" x14ac:dyDescent="0.2">
      <c r="A301" s="89">
        <v>285</v>
      </c>
      <c r="B301" s="237" t="e">
        <f t="shared" si="44"/>
        <v>#NUM!</v>
      </c>
      <c r="C301" s="142" t="e">
        <f t="shared" si="40"/>
        <v>#NUM!</v>
      </c>
      <c r="D301" s="142" t="e">
        <f t="shared" si="45"/>
        <v>#NUM!</v>
      </c>
      <c r="E301" s="142" t="e">
        <f t="shared" si="46"/>
        <v>#NUM!</v>
      </c>
      <c r="F301" s="142" t="e">
        <f t="shared" si="41"/>
        <v>#NUM!</v>
      </c>
      <c r="G301" s="184">
        <f>IF('prijem -inna mena'!$I$90=TRUE,IF($C$11&gt;0,0.00025*C300,0),IF('prijem -inna mena'!$I$91=TRUE,IF('prijem -inna mena'!$F$91&gt;0,0.00025*C300,0),0))</f>
        <v>0</v>
      </c>
      <c r="L301" s="89">
        <v>285</v>
      </c>
      <c r="M301" s="237" t="e">
        <f t="shared" si="47"/>
        <v>#DIV/0!</v>
      </c>
      <c r="N301" s="142" t="e">
        <f t="shared" si="42"/>
        <v>#DIV/0!</v>
      </c>
      <c r="O301" s="142" t="e">
        <f t="shared" si="43"/>
        <v>#DIV/0!</v>
      </c>
      <c r="P301" s="142" t="e">
        <f t="shared" si="48"/>
        <v>#DIV/0!</v>
      </c>
      <c r="Q301" s="142" t="e">
        <f t="shared" si="49"/>
        <v>#DIV/0!</v>
      </c>
      <c r="R301" s="184">
        <f>IF('prijem -inna mena'!$I$90=TRUE,IF($C$11&gt;0,0.00025*N300,0),IF('prijem -inna mena'!$I$91=TRUE,IF('prijem -inna mena'!$F$91&gt;0,0.00025*N300*-1,0),0))</f>
        <v>0</v>
      </c>
    </row>
    <row r="302" spans="1:18" x14ac:dyDescent="0.2">
      <c r="A302" s="89">
        <v>286</v>
      </c>
      <c r="B302" s="237" t="e">
        <f t="shared" si="44"/>
        <v>#NUM!</v>
      </c>
      <c r="C302" s="142" t="e">
        <f t="shared" si="40"/>
        <v>#NUM!</v>
      </c>
      <c r="D302" s="142" t="e">
        <f t="shared" si="45"/>
        <v>#NUM!</v>
      </c>
      <c r="E302" s="142" t="e">
        <f t="shared" si="46"/>
        <v>#NUM!</v>
      </c>
      <c r="F302" s="142" t="e">
        <f t="shared" si="41"/>
        <v>#NUM!</v>
      </c>
      <c r="G302" s="184">
        <f>IF('prijem -inna mena'!$I$90=TRUE,IF($C$11&gt;0,0.00025*C301,0),IF('prijem -inna mena'!$I$91=TRUE,IF('prijem -inna mena'!$F$91&gt;0,0.00025*C301,0),0))</f>
        <v>0</v>
      </c>
      <c r="L302" s="89">
        <v>286</v>
      </c>
      <c r="M302" s="237" t="e">
        <f t="shared" si="47"/>
        <v>#DIV/0!</v>
      </c>
      <c r="N302" s="142" t="e">
        <f t="shared" si="42"/>
        <v>#DIV/0!</v>
      </c>
      <c r="O302" s="142" t="e">
        <f t="shared" si="43"/>
        <v>#DIV/0!</v>
      </c>
      <c r="P302" s="142" t="e">
        <f t="shared" si="48"/>
        <v>#DIV/0!</v>
      </c>
      <c r="Q302" s="142" t="e">
        <f t="shared" si="49"/>
        <v>#DIV/0!</v>
      </c>
      <c r="R302" s="184">
        <f>IF('prijem -inna mena'!$I$90=TRUE,IF($C$11&gt;0,0.00025*N301,0),IF('prijem -inna mena'!$I$91=TRUE,IF('prijem -inna mena'!$F$91&gt;0,0.00025*N301*-1,0),0))</f>
        <v>0</v>
      </c>
    </row>
    <row r="303" spans="1:18" x14ac:dyDescent="0.2">
      <c r="A303" s="89">
        <v>287</v>
      </c>
      <c r="B303" s="237" t="e">
        <f t="shared" si="44"/>
        <v>#NUM!</v>
      </c>
      <c r="C303" s="142" t="e">
        <f t="shared" si="40"/>
        <v>#NUM!</v>
      </c>
      <c r="D303" s="142" t="e">
        <f t="shared" si="45"/>
        <v>#NUM!</v>
      </c>
      <c r="E303" s="142" t="e">
        <f t="shared" si="46"/>
        <v>#NUM!</v>
      </c>
      <c r="F303" s="142" t="e">
        <f t="shared" si="41"/>
        <v>#NUM!</v>
      </c>
      <c r="G303" s="184">
        <f>IF('prijem -inna mena'!$I$90=TRUE,IF($C$11&gt;0,0.00025*C302,0),IF('prijem -inna mena'!$I$91=TRUE,IF('prijem -inna mena'!$F$91&gt;0,0.00025*C302,0),0))</f>
        <v>0</v>
      </c>
      <c r="L303" s="89">
        <v>287</v>
      </c>
      <c r="M303" s="237" t="e">
        <f t="shared" si="47"/>
        <v>#DIV/0!</v>
      </c>
      <c r="N303" s="142" t="e">
        <f t="shared" si="42"/>
        <v>#DIV/0!</v>
      </c>
      <c r="O303" s="142" t="e">
        <f t="shared" si="43"/>
        <v>#DIV/0!</v>
      </c>
      <c r="P303" s="142" t="e">
        <f t="shared" si="48"/>
        <v>#DIV/0!</v>
      </c>
      <c r="Q303" s="142" t="e">
        <f t="shared" si="49"/>
        <v>#DIV/0!</v>
      </c>
      <c r="R303" s="184">
        <f>IF('prijem -inna mena'!$I$90=TRUE,IF($C$11&gt;0,0.00025*N302,0),IF('prijem -inna mena'!$I$91=TRUE,IF('prijem -inna mena'!$F$91&gt;0,0.00025*N302*-1,0),0))</f>
        <v>0</v>
      </c>
    </row>
    <row r="304" spans="1:18" x14ac:dyDescent="0.2">
      <c r="A304" s="89">
        <v>288</v>
      </c>
      <c r="B304" s="237" t="e">
        <f t="shared" si="44"/>
        <v>#NUM!</v>
      </c>
      <c r="C304" s="142" t="e">
        <f t="shared" si="40"/>
        <v>#NUM!</v>
      </c>
      <c r="D304" s="142" t="e">
        <f t="shared" si="45"/>
        <v>#NUM!</v>
      </c>
      <c r="E304" s="142" t="e">
        <f t="shared" si="46"/>
        <v>#NUM!</v>
      </c>
      <c r="F304" s="142" t="e">
        <f t="shared" si="41"/>
        <v>#NUM!</v>
      </c>
      <c r="G304" s="184">
        <f>IF('prijem -inna mena'!$I$90=TRUE,IF($C$11&gt;0,0.00025*C303,0),IF('prijem -inna mena'!$I$91=TRUE,IF('prijem -inna mena'!$F$91&gt;0,0.00025*C303,0),0))</f>
        <v>0</v>
      </c>
      <c r="L304" s="89">
        <v>288</v>
      </c>
      <c r="M304" s="237" t="e">
        <f t="shared" si="47"/>
        <v>#DIV/0!</v>
      </c>
      <c r="N304" s="142" t="e">
        <f t="shared" si="42"/>
        <v>#DIV/0!</v>
      </c>
      <c r="O304" s="142" t="e">
        <f t="shared" si="43"/>
        <v>#DIV/0!</v>
      </c>
      <c r="P304" s="142" t="e">
        <f t="shared" si="48"/>
        <v>#DIV/0!</v>
      </c>
      <c r="Q304" s="142" t="e">
        <f t="shared" si="49"/>
        <v>#DIV/0!</v>
      </c>
      <c r="R304" s="184">
        <f>IF('prijem -inna mena'!$I$90=TRUE,IF($C$11&gt;0,0.00025*N303,0),IF('prijem -inna mena'!$I$91=TRUE,IF('prijem -inna mena'!$F$91&gt;0,0.00025*N303*-1,0),0))</f>
        <v>0</v>
      </c>
    </row>
    <row r="305" spans="1:18" x14ac:dyDescent="0.2">
      <c r="A305" s="89">
        <v>289</v>
      </c>
      <c r="B305" s="237" t="e">
        <f t="shared" si="44"/>
        <v>#NUM!</v>
      </c>
      <c r="C305" s="142" t="e">
        <f t="shared" si="40"/>
        <v>#NUM!</v>
      </c>
      <c r="D305" s="142" t="e">
        <f t="shared" si="45"/>
        <v>#NUM!</v>
      </c>
      <c r="E305" s="142" t="e">
        <f t="shared" si="46"/>
        <v>#NUM!</v>
      </c>
      <c r="F305" s="142" t="e">
        <f t="shared" si="41"/>
        <v>#NUM!</v>
      </c>
      <c r="G305" s="184">
        <f>IF('prijem -inna mena'!$I$90=TRUE,IF($C$11&gt;0,0.00025*C304,0),IF('prijem -inna mena'!$I$91=TRUE,IF('prijem -inna mena'!$F$91&gt;0,0.00025*C304,0),0))</f>
        <v>0</v>
      </c>
      <c r="L305" s="89">
        <v>289</v>
      </c>
      <c r="M305" s="237" t="e">
        <f t="shared" si="47"/>
        <v>#DIV/0!</v>
      </c>
      <c r="N305" s="142" t="e">
        <f t="shared" si="42"/>
        <v>#DIV/0!</v>
      </c>
      <c r="O305" s="142" t="e">
        <f t="shared" si="43"/>
        <v>#DIV/0!</v>
      </c>
      <c r="P305" s="142" t="e">
        <f t="shared" si="48"/>
        <v>#DIV/0!</v>
      </c>
      <c r="Q305" s="142" t="e">
        <f t="shared" si="49"/>
        <v>#DIV/0!</v>
      </c>
      <c r="R305" s="184">
        <f>IF('prijem -inna mena'!$I$90=TRUE,IF($C$11&gt;0,0.00025*N304,0),IF('prijem -inna mena'!$I$91=TRUE,IF('prijem -inna mena'!$F$91&gt;0,0.00025*N304*-1,0),0))</f>
        <v>0</v>
      </c>
    </row>
    <row r="306" spans="1:18" x14ac:dyDescent="0.2">
      <c r="A306" s="89">
        <v>290</v>
      </c>
      <c r="B306" s="237" t="e">
        <f t="shared" si="44"/>
        <v>#NUM!</v>
      </c>
      <c r="C306" s="142" t="e">
        <f t="shared" si="40"/>
        <v>#NUM!</v>
      </c>
      <c r="D306" s="142" t="e">
        <f t="shared" si="45"/>
        <v>#NUM!</v>
      </c>
      <c r="E306" s="142" t="e">
        <f t="shared" si="46"/>
        <v>#NUM!</v>
      </c>
      <c r="F306" s="142" t="e">
        <f t="shared" si="41"/>
        <v>#NUM!</v>
      </c>
      <c r="G306" s="184">
        <f>IF('prijem -inna mena'!$I$90=TRUE,IF($C$11&gt;0,0.00025*C305,0),IF('prijem -inna mena'!$I$91=TRUE,IF('prijem -inna mena'!$F$91&gt;0,0.00025*C305,0),0))</f>
        <v>0</v>
      </c>
      <c r="L306" s="89">
        <v>290</v>
      </c>
      <c r="M306" s="237" t="e">
        <f t="shared" si="47"/>
        <v>#DIV/0!</v>
      </c>
      <c r="N306" s="142" t="e">
        <f t="shared" si="42"/>
        <v>#DIV/0!</v>
      </c>
      <c r="O306" s="142" t="e">
        <f t="shared" si="43"/>
        <v>#DIV/0!</v>
      </c>
      <c r="P306" s="142" t="e">
        <f t="shared" si="48"/>
        <v>#DIV/0!</v>
      </c>
      <c r="Q306" s="142" t="e">
        <f t="shared" si="49"/>
        <v>#DIV/0!</v>
      </c>
      <c r="R306" s="184">
        <f>IF('prijem -inna mena'!$I$90=TRUE,IF($C$11&gt;0,0.00025*N305,0),IF('prijem -inna mena'!$I$91=TRUE,IF('prijem -inna mena'!$F$91&gt;0,0.00025*N305*-1,0),0))</f>
        <v>0</v>
      </c>
    </row>
    <row r="307" spans="1:18" x14ac:dyDescent="0.2">
      <c r="A307" s="89">
        <v>291</v>
      </c>
      <c r="B307" s="237" t="e">
        <f t="shared" si="44"/>
        <v>#NUM!</v>
      </c>
      <c r="C307" s="142" t="e">
        <f t="shared" si="40"/>
        <v>#NUM!</v>
      </c>
      <c r="D307" s="142" t="e">
        <f t="shared" si="45"/>
        <v>#NUM!</v>
      </c>
      <c r="E307" s="142" t="e">
        <f t="shared" si="46"/>
        <v>#NUM!</v>
      </c>
      <c r="F307" s="142" t="e">
        <f t="shared" si="41"/>
        <v>#NUM!</v>
      </c>
      <c r="G307" s="184">
        <f>IF('prijem -inna mena'!$I$90=TRUE,IF($C$11&gt;0,0.00025*C306,0),IF('prijem -inna mena'!$I$91=TRUE,IF('prijem -inna mena'!$F$91&gt;0,0.00025*C306,0),0))</f>
        <v>0</v>
      </c>
      <c r="L307" s="89">
        <v>291</v>
      </c>
      <c r="M307" s="237" t="e">
        <f t="shared" si="47"/>
        <v>#DIV/0!</v>
      </c>
      <c r="N307" s="142" t="e">
        <f t="shared" si="42"/>
        <v>#DIV/0!</v>
      </c>
      <c r="O307" s="142" t="e">
        <f t="shared" si="43"/>
        <v>#DIV/0!</v>
      </c>
      <c r="P307" s="142" t="e">
        <f t="shared" si="48"/>
        <v>#DIV/0!</v>
      </c>
      <c r="Q307" s="142" t="e">
        <f t="shared" si="49"/>
        <v>#DIV/0!</v>
      </c>
      <c r="R307" s="184">
        <f>IF('prijem -inna mena'!$I$90=TRUE,IF($C$11&gt;0,0.00025*N306,0),IF('prijem -inna mena'!$I$91=TRUE,IF('prijem -inna mena'!$F$91&gt;0,0.00025*N306*-1,0),0))</f>
        <v>0</v>
      </c>
    </row>
    <row r="308" spans="1:18" x14ac:dyDescent="0.2">
      <c r="A308" s="89">
        <v>292</v>
      </c>
      <c r="B308" s="237" t="e">
        <f t="shared" si="44"/>
        <v>#NUM!</v>
      </c>
      <c r="C308" s="142" t="e">
        <f t="shared" si="40"/>
        <v>#NUM!</v>
      </c>
      <c r="D308" s="142" t="e">
        <f t="shared" si="45"/>
        <v>#NUM!</v>
      </c>
      <c r="E308" s="142" t="e">
        <f t="shared" si="46"/>
        <v>#NUM!</v>
      </c>
      <c r="F308" s="142" t="e">
        <f t="shared" si="41"/>
        <v>#NUM!</v>
      </c>
      <c r="G308" s="184">
        <f>IF('prijem -inna mena'!$I$90=TRUE,IF($C$11&gt;0,0.00025*C307,0),IF('prijem -inna mena'!$I$91=TRUE,IF('prijem -inna mena'!$F$91&gt;0,0.00025*C307,0),0))</f>
        <v>0</v>
      </c>
      <c r="L308" s="89">
        <v>292</v>
      </c>
      <c r="M308" s="237" t="e">
        <f t="shared" si="47"/>
        <v>#DIV/0!</v>
      </c>
      <c r="N308" s="142" t="e">
        <f t="shared" si="42"/>
        <v>#DIV/0!</v>
      </c>
      <c r="O308" s="142" t="e">
        <f t="shared" si="43"/>
        <v>#DIV/0!</v>
      </c>
      <c r="P308" s="142" t="e">
        <f t="shared" si="48"/>
        <v>#DIV/0!</v>
      </c>
      <c r="Q308" s="142" t="e">
        <f t="shared" si="49"/>
        <v>#DIV/0!</v>
      </c>
      <c r="R308" s="184">
        <f>IF('prijem -inna mena'!$I$90=TRUE,IF($C$11&gt;0,0.00025*N307,0),IF('prijem -inna mena'!$I$91=TRUE,IF('prijem -inna mena'!$F$91&gt;0,0.00025*N307*-1,0),0))</f>
        <v>0</v>
      </c>
    </row>
    <row r="309" spans="1:18" x14ac:dyDescent="0.2">
      <c r="A309" s="89">
        <v>293</v>
      </c>
      <c r="B309" s="237" t="e">
        <f t="shared" si="44"/>
        <v>#NUM!</v>
      </c>
      <c r="C309" s="142" t="e">
        <f t="shared" si="40"/>
        <v>#NUM!</v>
      </c>
      <c r="D309" s="142" t="e">
        <f t="shared" si="45"/>
        <v>#NUM!</v>
      </c>
      <c r="E309" s="142" t="e">
        <f t="shared" si="46"/>
        <v>#NUM!</v>
      </c>
      <c r="F309" s="142" t="e">
        <f t="shared" si="41"/>
        <v>#NUM!</v>
      </c>
      <c r="G309" s="184">
        <f>IF('prijem -inna mena'!$I$90=TRUE,IF($C$11&gt;0,0.00025*C308,0),IF('prijem -inna mena'!$I$91=TRUE,IF('prijem -inna mena'!$F$91&gt;0,0.00025*C308,0),0))</f>
        <v>0</v>
      </c>
      <c r="L309" s="89">
        <v>293</v>
      </c>
      <c r="M309" s="237" t="e">
        <f t="shared" si="47"/>
        <v>#DIV/0!</v>
      </c>
      <c r="N309" s="142" t="e">
        <f t="shared" si="42"/>
        <v>#DIV/0!</v>
      </c>
      <c r="O309" s="142" t="e">
        <f t="shared" si="43"/>
        <v>#DIV/0!</v>
      </c>
      <c r="P309" s="142" t="e">
        <f t="shared" si="48"/>
        <v>#DIV/0!</v>
      </c>
      <c r="Q309" s="142" t="e">
        <f t="shared" si="49"/>
        <v>#DIV/0!</v>
      </c>
      <c r="R309" s="184">
        <f>IF('prijem -inna mena'!$I$90=TRUE,IF($C$11&gt;0,0.00025*N308,0),IF('prijem -inna mena'!$I$91=TRUE,IF('prijem -inna mena'!$F$91&gt;0,0.00025*N308*-1,0),0))</f>
        <v>0</v>
      </c>
    </row>
    <row r="310" spans="1:18" x14ac:dyDescent="0.2">
      <c r="A310" s="89">
        <v>294</v>
      </c>
      <c r="B310" s="237" t="e">
        <f t="shared" si="44"/>
        <v>#NUM!</v>
      </c>
      <c r="C310" s="142" t="e">
        <f t="shared" si="40"/>
        <v>#NUM!</v>
      </c>
      <c r="D310" s="142" t="e">
        <f t="shared" si="45"/>
        <v>#NUM!</v>
      </c>
      <c r="E310" s="142" t="e">
        <f t="shared" si="46"/>
        <v>#NUM!</v>
      </c>
      <c r="F310" s="142" t="e">
        <f t="shared" si="41"/>
        <v>#NUM!</v>
      </c>
      <c r="G310" s="184">
        <f>IF('prijem -inna mena'!$I$90=TRUE,IF($C$11&gt;0,0.00025*C309,0),IF('prijem -inna mena'!$I$91=TRUE,IF('prijem -inna mena'!$F$91&gt;0,0.00025*C309,0),0))</f>
        <v>0</v>
      </c>
      <c r="L310" s="89">
        <v>294</v>
      </c>
      <c r="M310" s="237" t="e">
        <f t="shared" si="47"/>
        <v>#DIV/0!</v>
      </c>
      <c r="N310" s="142" t="e">
        <f t="shared" si="42"/>
        <v>#DIV/0!</v>
      </c>
      <c r="O310" s="142" t="e">
        <f t="shared" si="43"/>
        <v>#DIV/0!</v>
      </c>
      <c r="P310" s="142" t="e">
        <f t="shared" si="48"/>
        <v>#DIV/0!</v>
      </c>
      <c r="Q310" s="142" t="e">
        <f t="shared" si="49"/>
        <v>#DIV/0!</v>
      </c>
      <c r="R310" s="184">
        <f>IF('prijem -inna mena'!$I$90=TRUE,IF($C$11&gt;0,0.00025*N309,0),IF('prijem -inna mena'!$I$91=TRUE,IF('prijem -inna mena'!$F$91&gt;0,0.00025*N309*-1,0),0))</f>
        <v>0</v>
      </c>
    </row>
    <row r="311" spans="1:18" x14ac:dyDescent="0.2">
      <c r="A311" s="89">
        <v>295</v>
      </c>
      <c r="B311" s="237" t="e">
        <f t="shared" si="44"/>
        <v>#NUM!</v>
      </c>
      <c r="C311" s="142" t="e">
        <f t="shared" si="40"/>
        <v>#NUM!</v>
      </c>
      <c r="D311" s="142" t="e">
        <f t="shared" si="45"/>
        <v>#NUM!</v>
      </c>
      <c r="E311" s="142" t="e">
        <f t="shared" si="46"/>
        <v>#NUM!</v>
      </c>
      <c r="F311" s="142" t="e">
        <f t="shared" si="41"/>
        <v>#NUM!</v>
      </c>
      <c r="G311" s="184">
        <f>IF('prijem -inna mena'!$I$90=TRUE,IF($C$11&gt;0,0.00025*C310,0),IF('prijem -inna mena'!$I$91=TRUE,IF('prijem -inna mena'!$F$91&gt;0,0.00025*C310,0),0))</f>
        <v>0</v>
      </c>
      <c r="L311" s="89">
        <v>295</v>
      </c>
      <c r="M311" s="237" t="e">
        <f t="shared" si="47"/>
        <v>#DIV/0!</v>
      </c>
      <c r="N311" s="142" t="e">
        <f t="shared" si="42"/>
        <v>#DIV/0!</v>
      </c>
      <c r="O311" s="142" t="e">
        <f t="shared" si="43"/>
        <v>#DIV/0!</v>
      </c>
      <c r="P311" s="142" t="e">
        <f t="shared" si="48"/>
        <v>#DIV/0!</v>
      </c>
      <c r="Q311" s="142" t="e">
        <f t="shared" si="49"/>
        <v>#DIV/0!</v>
      </c>
      <c r="R311" s="184">
        <f>IF('prijem -inna mena'!$I$90=TRUE,IF($C$11&gt;0,0.00025*N310,0),IF('prijem -inna mena'!$I$91=TRUE,IF('prijem -inna mena'!$F$91&gt;0,0.00025*N310*-1,0),0))</f>
        <v>0</v>
      </c>
    </row>
    <row r="312" spans="1:18" x14ac:dyDescent="0.2">
      <c r="A312" s="89">
        <v>296</v>
      </c>
      <c r="B312" s="237" t="e">
        <f t="shared" si="44"/>
        <v>#NUM!</v>
      </c>
      <c r="C312" s="142" t="e">
        <f t="shared" si="40"/>
        <v>#NUM!</v>
      </c>
      <c r="D312" s="142" t="e">
        <f t="shared" si="45"/>
        <v>#NUM!</v>
      </c>
      <c r="E312" s="142" t="e">
        <f t="shared" si="46"/>
        <v>#NUM!</v>
      </c>
      <c r="F312" s="142" t="e">
        <f t="shared" si="41"/>
        <v>#NUM!</v>
      </c>
      <c r="G312" s="184">
        <f>IF('prijem -inna mena'!$I$90=TRUE,IF($C$11&gt;0,0.00025*C311,0),IF('prijem -inna mena'!$I$91=TRUE,IF('prijem -inna mena'!$F$91&gt;0,0.00025*C311,0),0))</f>
        <v>0</v>
      </c>
      <c r="L312" s="89">
        <v>296</v>
      </c>
      <c r="M312" s="237" t="e">
        <f t="shared" si="47"/>
        <v>#DIV/0!</v>
      </c>
      <c r="N312" s="142" t="e">
        <f t="shared" si="42"/>
        <v>#DIV/0!</v>
      </c>
      <c r="O312" s="142" t="e">
        <f t="shared" si="43"/>
        <v>#DIV/0!</v>
      </c>
      <c r="P312" s="142" t="e">
        <f t="shared" si="48"/>
        <v>#DIV/0!</v>
      </c>
      <c r="Q312" s="142" t="e">
        <f t="shared" si="49"/>
        <v>#DIV/0!</v>
      </c>
      <c r="R312" s="184">
        <f>IF('prijem -inna mena'!$I$90=TRUE,IF($C$11&gt;0,0.00025*N311,0),IF('prijem -inna mena'!$I$91=TRUE,IF('prijem -inna mena'!$F$91&gt;0,0.00025*N311*-1,0),0))</f>
        <v>0</v>
      </c>
    </row>
    <row r="313" spans="1:18" x14ac:dyDescent="0.2">
      <c r="A313" s="89">
        <v>297</v>
      </c>
      <c r="B313" s="237" t="e">
        <f t="shared" si="44"/>
        <v>#NUM!</v>
      </c>
      <c r="C313" s="142" t="e">
        <f t="shared" si="40"/>
        <v>#NUM!</v>
      </c>
      <c r="D313" s="142" t="e">
        <f t="shared" si="45"/>
        <v>#NUM!</v>
      </c>
      <c r="E313" s="142" t="e">
        <f t="shared" si="46"/>
        <v>#NUM!</v>
      </c>
      <c r="F313" s="142" t="e">
        <f t="shared" si="41"/>
        <v>#NUM!</v>
      </c>
      <c r="G313" s="184">
        <f>IF('prijem -inna mena'!$I$90=TRUE,IF($C$11&gt;0,0.00025*C312,0),IF('prijem -inna mena'!$I$91=TRUE,IF('prijem -inna mena'!$F$91&gt;0,0.00025*C312,0),0))</f>
        <v>0</v>
      </c>
      <c r="L313" s="89">
        <v>297</v>
      </c>
      <c r="M313" s="237" t="e">
        <f t="shared" si="47"/>
        <v>#DIV/0!</v>
      </c>
      <c r="N313" s="142" t="e">
        <f t="shared" si="42"/>
        <v>#DIV/0!</v>
      </c>
      <c r="O313" s="142" t="e">
        <f t="shared" si="43"/>
        <v>#DIV/0!</v>
      </c>
      <c r="P313" s="142" t="e">
        <f t="shared" si="48"/>
        <v>#DIV/0!</v>
      </c>
      <c r="Q313" s="142" t="e">
        <f t="shared" si="49"/>
        <v>#DIV/0!</v>
      </c>
      <c r="R313" s="184">
        <f>IF('prijem -inna mena'!$I$90=TRUE,IF($C$11&gt;0,0.00025*N312,0),IF('prijem -inna mena'!$I$91=TRUE,IF('prijem -inna mena'!$F$91&gt;0,0.00025*N312*-1,0),0))</f>
        <v>0</v>
      </c>
    </row>
    <row r="314" spans="1:18" x14ac:dyDescent="0.2">
      <c r="A314" s="89">
        <v>298</v>
      </c>
      <c r="B314" s="237" t="e">
        <f t="shared" si="44"/>
        <v>#NUM!</v>
      </c>
      <c r="C314" s="142" t="e">
        <f t="shared" si="40"/>
        <v>#NUM!</v>
      </c>
      <c r="D314" s="142" t="e">
        <f t="shared" si="45"/>
        <v>#NUM!</v>
      </c>
      <c r="E314" s="142" t="e">
        <f t="shared" si="46"/>
        <v>#NUM!</v>
      </c>
      <c r="F314" s="142" t="e">
        <f t="shared" si="41"/>
        <v>#NUM!</v>
      </c>
      <c r="G314" s="184">
        <f>IF('prijem -inna mena'!$I$90=TRUE,IF($C$11&gt;0,0.00025*C313,0),IF('prijem -inna mena'!$I$91=TRUE,IF('prijem -inna mena'!$F$91&gt;0,0.00025*C313,0),0))</f>
        <v>0</v>
      </c>
      <c r="L314" s="89">
        <v>298</v>
      </c>
      <c r="M314" s="237" t="e">
        <f t="shared" si="47"/>
        <v>#DIV/0!</v>
      </c>
      <c r="N314" s="142" t="e">
        <f t="shared" si="42"/>
        <v>#DIV/0!</v>
      </c>
      <c r="O314" s="142" t="e">
        <f t="shared" si="43"/>
        <v>#DIV/0!</v>
      </c>
      <c r="P314" s="142" t="e">
        <f t="shared" si="48"/>
        <v>#DIV/0!</v>
      </c>
      <c r="Q314" s="142" t="e">
        <f t="shared" si="49"/>
        <v>#DIV/0!</v>
      </c>
      <c r="R314" s="184">
        <f>IF('prijem -inna mena'!$I$90=TRUE,IF($C$11&gt;0,0.00025*N313,0),IF('prijem -inna mena'!$I$91=TRUE,IF('prijem -inna mena'!$F$91&gt;0,0.00025*N313*-1,0),0))</f>
        <v>0</v>
      </c>
    </row>
    <row r="315" spans="1:18" x14ac:dyDescent="0.2">
      <c r="A315" s="89">
        <v>299</v>
      </c>
      <c r="B315" s="237" t="e">
        <f t="shared" si="44"/>
        <v>#NUM!</v>
      </c>
      <c r="C315" s="142" t="e">
        <f t="shared" si="40"/>
        <v>#NUM!</v>
      </c>
      <c r="D315" s="142" t="e">
        <f t="shared" si="45"/>
        <v>#NUM!</v>
      </c>
      <c r="E315" s="142" t="e">
        <f t="shared" si="46"/>
        <v>#NUM!</v>
      </c>
      <c r="F315" s="142" t="e">
        <f t="shared" si="41"/>
        <v>#NUM!</v>
      </c>
      <c r="G315" s="184">
        <f>IF('prijem -inna mena'!$I$90=TRUE,IF($C$11&gt;0,0.00025*C314,0),IF('prijem -inna mena'!$I$91=TRUE,IF('prijem -inna mena'!$F$91&gt;0,0.00025*C314,0),0))</f>
        <v>0</v>
      </c>
      <c r="L315" s="89">
        <v>299</v>
      </c>
      <c r="M315" s="237" t="e">
        <f t="shared" si="47"/>
        <v>#DIV/0!</v>
      </c>
      <c r="N315" s="142" t="e">
        <f t="shared" si="42"/>
        <v>#DIV/0!</v>
      </c>
      <c r="O315" s="142" t="e">
        <f t="shared" si="43"/>
        <v>#DIV/0!</v>
      </c>
      <c r="P315" s="142" t="e">
        <f t="shared" si="48"/>
        <v>#DIV/0!</v>
      </c>
      <c r="Q315" s="142" t="e">
        <f t="shared" si="49"/>
        <v>#DIV/0!</v>
      </c>
      <c r="R315" s="184">
        <f>IF('prijem -inna mena'!$I$90=TRUE,IF($C$11&gt;0,0.00025*N314,0),IF('prijem -inna mena'!$I$91=TRUE,IF('prijem -inna mena'!$F$91&gt;0,0.00025*N314*-1,0),0))</f>
        <v>0</v>
      </c>
    </row>
    <row r="316" spans="1:18" x14ac:dyDescent="0.2">
      <c r="A316" s="89">
        <v>300</v>
      </c>
      <c r="B316" s="237" t="e">
        <f t="shared" si="44"/>
        <v>#NUM!</v>
      </c>
      <c r="C316" s="142" t="e">
        <f t="shared" si="40"/>
        <v>#NUM!</v>
      </c>
      <c r="D316" s="142" t="e">
        <f t="shared" si="45"/>
        <v>#NUM!</v>
      </c>
      <c r="E316" s="142" t="e">
        <f t="shared" si="46"/>
        <v>#NUM!</v>
      </c>
      <c r="F316" s="142" t="e">
        <f t="shared" si="41"/>
        <v>#NUM!</v>
      </c>
      <c r="G316" s="184">
        <f>IF('prijem -inna mena'!$I$90=TRUE,IF($C$11&gt;0,0.00025*C315,0),IF('prijem -inna mena'!$I$91=TRUE,IF('prijem -inna mena'!$F$91&gt;0,0.00025*C315,0),0))</f>
        <v>0</v>
      </c>
      <c r="L316" s="89">
        <v>300</v>
      </c>
      <c r="M316" s="237" t="e">
        <f t="shared" si="47"/>
        <v>#DIV/0!</v>
      </c>
      <c r="N316" s="142" t="e">
        <f t="shared" si="42"/>
        <v>#DIV/0!</v>
      </c>
      <c r="O316" s="142" t="e">
        <f t="shared" si="43"/>
        <v>#DIV/0!</v>
      </c>
      <c r="P316" s="142" t="e">
        <f t="shared" si="48"/>
        <v>#DIV/0!</v>
      </c>
      <c r="Q316" s="142" t="e">
        <f t="shared" si="49"/>
        <v>#DIV/0!</v>
      </c>
      <c r="R316" s="184">
        <f>IF('prijem -inna mena'!$I$90=TRUE,IF($C$11&gt;0,0.00025*N315,0),IF('prijem -inna mena'!$I$91=TRUE,IF('prijem -inna mena'!$F$91&gt;0,0.00025*N315*-1,0),0))</f>
        <v>0</v>
      </c>
    </row>
    <row r="317" spans="1:18" x14ac:dyDescent="0.2">
      <c r="A317" s="89">
        <v>301</v>
      </c>
      <c r="B317" s="237" t="e">
        <f t="shared" si="44"/>
        <v>#NUM!</v>
      </c>
      <c r="C317" s="142" t="e">
        <f t="shared" si="40"/>
        <v>#NUM!</v>
      </c>
      <c r="D317" s="142" t="e">
        <f t="shared" si="45"/>
        <v>#NUM!</v>
      </c>
      <c r="E317" s="142" t="e">
        <f t="shared" si="46"/>
        <v>#NUM!</v>
      </c>
      <c r="F317" s="142" t="e">
        <f t="shared" si="41"/>
        <v>#NUM!</v>
      </c>
      <c r="G317" s="184">
        <f>IF('prijem -inna mena'!$I$90=TRUE,IF($C$11&gt;0,0.00025*C316,0),IF('prijem -inna mena'!$I$91=TRUE,IF('prijem -inna mena'!$F$91&gt;0,0.00025*C316,0),0))</f>
        <v>0</v>
      </c>
      <c r="L317" s="89">
        <v>301</v>
      </c>
      <c r="M317" s="237" t="e">
        <f t="shared" si="47"/>
        <v>#DIV/0!</v>
      </c>
      <c r="N317" s="142" t="e">
        <f t="shared" si="42"/>
        <v>#DIV/0!</v>
      </c>
      <c r="O317" s="142" t="e">
        <f t="shared" si="43"/>
        <v>#DIV/0!</v>
      </c>
      <c r="P317" s="142" t="e">
        <f t="shared" si="48"/>
        <v>#DIV/0!</v>
      </c>
      <c r="Q317" s="142" t="e">
        <f t="shared" si="49"/>
        <v>#DIV/0!</v>
      </c>
      <c r="R317" s="184">
        <f>IF('prijem -inna mena'!$I$90=TRUE,IF($C$11&gt;0,0.00025*N316,0),IF('prijem -inna mena'!$I$91=TRUE,IF('prijem -inna mena'!$F$91&gt;0,0.00025*N316*-1,0),0))</f>
        <v>0</v>
      </c>
    </row>
    <row r="318" spans="1:18" x14ac:dyDescent="0.2">
      <c r="A318" s="89">
        <v>302</v>
      </c>
      <c r="B318" s="237" t="e">
        <f t="shared" si="44"/>
        <v>#NUM!</v>
      </c>
      <c r="C318" s="142" t="e">
        <f t="shared" si="40"/>
        <v>#NUM!</v>
      </c>
      <c r="D318" s="142" t="e">
        <f t="shared" si="45"/>
        <v>#NUM!</v>
      </c>
      <c r="E318" s="142" t="e">
        <f t="shared" si="46"/>
        <v>#NUM!</v>
      </c>
      <c r="F318" s="142" t="e">
        <f t="shared" si="41"/>
        <v>#NUM!</v>
      </c>
      <c r="G318" s="184">
        <f>IF('prijem -inna mena'!$I$90=TRUE,IF($C$11&gt;0,0.00025*C317,0),IF('prijem -inna mena'!$I$91=TRUE,IF('prijem -inna mena'!$F$91&gt;0,0.00025*C317,0),0))</f>
        <v>0</v>
      </c>
      <c r="L318" s="89">
        <v>302</v>
      </c>
      <c r="M318" s="237" t="e">
        <f t="shared" si="47"/>
        <v>#DIV/0!</v>
      </c>
      <c r="N318" s="142" t="e">
        <f t="shared" si="42"/>
        <v>#DIV/0!</v>
      </c>
      <c r="O318" s="142" t="e">
        <f t="shared" si="43"/>
        <v>#DIV/0!</v>
      </c>
      <c r="P318" s="142" t="e">
        <f t="shared" si="48"/>
        <v>#DIV/0!</v>
      </c>
      <c r="Q318" s="142" t="e">
        <f t="shared" si="49"/>
        <v>#DIV/0!</v>
      </c>
      <c r="R318" s="184">
        <f>IF('prijem -inna mena'!$I$90=TRUE,IF($C$11&gt;0,0.00025*N317,0),IF('prijem -inna mena'!$I$91=TRUE,IF('prijem -inna mena'!$F$91&gt;0,0.00025*N317*-1,0),0))</f>
        <v>0</v>
      </c>
    </row>
    <row r="319" spans="1:18" x14ac:dyDescent="0.2">
      <c r="A319" s="89">
        <v>303</v>
      </c>
      <c r="B319" s="237" t="e">
        <f t="shared" si="44"/>
        <v>#NUM!</v>
      </c>
      <c r="C319" s="142" t="e">
        <f t="shared" si="40"/>
        <v>#NUM!</v>
      </c>
      <c r="D319" s="142" t="e">
        <f t="shared" si="45"/>
        <v>#NUM!</v>
      </c>
      <c r="E319" s="142" t="e">
        <f t="shared" si="46"/>
        <v>#NUM!</v>
      </c>
      <c r="F319" s="142" t="e">
        <f t="shared" si="41"/>
        <v>#NUM!</v>
      </c>
      <c r="G319" s="184">
        <f>IF('prijem -inna mena'!$I$90=TRUE,IF($C$11&gt;0,0.00025*C318,0),IF('prijem -inna mena'!$I$91=TRUE,IF('prijem -inna mena'!$F$91&gt;0,0.00025*C318,0),0))</f>
        <v>0</v>
      </c>
      <c r="L319" s="89">
        <v>303</v>
      </c>
      <c r="M319" s="237" t="e">
        <f t="shared" si="47"/>
        <v>#DIV/0!</v>
      </c>
      <c r="N319" s="142" t="e">
        <f t="shared" si="42"/>
        <v>#DIV/0!</v>
      </c>
      <c r="O319" s="142" t="e">
        <f t="shared" si="43"/>
        <v>#DIV/0!</v>
      </c>
      <c r="P319" s="142" t="e">
        <f t="shared" si="48"/>
        <v>#DIV/0!</v>
      </c>
      <c r="Q319" s="142" t="e">
        <f t="shared" si="49"/>
        <v>#DIV/0!</v>
      </c>
      <c r="R319" s="184">
        <f>IF('prijem -inna mena'!$I$90=TRUE,IF($C$11&gt;0,0.00025*N318,0),IF('prijem -inna mena'!$I$91=TRUE,IF('prijem -inna mena'!$F$91&gt;0,0.00025*N318*-1,0),0))</f>
        <v>0</v>
      </c>
    </row>
    <row r="320" spans="1:18" x14ac:dyDescent="0.2">
      <c r="A320" s="89">
        <v>304</v>
      </c>
      <c r="B320" s="237" t="e">
        <f t="shared" si="44"/>
        <v>#NUM!</v>
      </c>
      <c r="C320" s="142" t="e">
        <f t="shared" si="40"/>
        <v>#NUM!</v>
      </c>
      <c r="D320" s="142" t="e">
        <f t="shared" si="45"/>
        <v>#NUM!</v>
      </c>
      <c r="E320" s="142" t="e">
        <f t="shared" si="46"/>
        <v>#NUM!</v>
      </c>
      <c r="F320" s="142" t="e">
        <f t="shared" si="41"/>
        <v>#NUM!</v>
      </c>
      <c r="G320" s="184">
        <f>IF('prijem -inna mena'!$I$90=TRUE,IF($C$11&gt;0,0.00025*C319,0),IF('prijem -inna mena'!$I$91=TRUE,IF('prijem -inna mena'!$F$91&gt;0,0.00025*C319,0),0))</f>
        <v>0</v>
      </c>
      <c r="L320" s="89">
        <v>304</v>
      </c>
      <c r="M320" s="237" t="e">
        <f t="shared" si="47"/>
        <v>#DIV/0!</v>
      </c>
      <c r="N320" s="142" t="e">
        <f t="shared" si="42"/>
        <v>#DIV/0!</v>
      </c>
      <c r="O320" s="142" t="e">
        <f t="shared" si="43"/>
        <v>#DIV/0!</v>
      </c>
      <c r="P320" s="142" t="e">
        <f t="shared" si="48"/>
        <v>#DIV/0!</v>
      </c>
      <c r="Q320" s="142" t="e">
        <f t="shared" si="49"/>
        <v>#DIV/0!</v>
      </c>
      <c r="R320" s="184">
        <f>IF('prijem -inna mena'!$I$90=TRUE,IF($C$11&gt;0,0.00025*N319,0),IF('prijem -inna mena'!$I$91=TRUE,IF('prijem -inna mena'!$F$91&gt;0,0.00025*N319*-1,0),0))</f>
        <v>0</v>
      </c>
    </row>
    <row r="321" spans="1:18" x14ac:dyDescent="0.2">
      <c r="A321" s="89">
        <v>305</v>
      </c>
      <c r="B321" s="237" t="e">
        <f t="shared" si="44"/>
        <v>#NUM!</v>
      </c>
      <c r="C321" s="142" t="e">
        <f t="shared" si="40"/>
        <v>#NUM!</v>
      </c>
      <c r="D321" s="142" t="e">
        <f t="shared" si="45"/>
        <v>#NUM!</v>
      </c>
      <c r="E321" s="142" t="e">
        <f t="shared" si="46"/>
        <v>#NUM!</v>
      </c>
      <c r="F321" s="142" t="e">
        <f t="shared" si="41"/>
        <v>#NUM!</v>
      </c>
      <c r="G321" s="184">
        <f>IF('prijem -inna mena'!$I$90=TRUE,IF($C$11&gt;0,0.00025*C320,0),IF('prijem -inna mena'!$I$91=TRUE,IF('prijem -inna mena'!$F$91&gt;0,0.00025*C320,0),0))</f>
        <v>0</v>
      </c>
      <c r="L321" s="89">
        <v>305</v>
      </c>
      <c r="M321" s="237" t="e">
        <f t="shared" si="47"/>
        <v>#DIV/0!</v>
      </c>
      <c r="N321" s="142" t="e">
        <f t="shared" si="42"/>
        <v>#DIV/0!</v>
      </c>
      <c r="O321" s="142" t="e">
        <f t="shared" si="43"/>
        <v>#DIV/0!</v>
      </c>
      <c r="P321" s="142" t="e">
        <f t="shared" si="48"/>
        <v>#DIV/0!</v>
      </c>
      <c r="Q321" s="142" t="e">
        <f t="shared" si="49"/>
        <v>#DIV/0!</v>
      </c>
      <c r="R321" s="184">
        <f>IF('prijem -inna mena'!$I$90=TRUE,IF($C$11&gt;0,0.00025*N320,0),IF('prijem -inna mena'!$I$91=TRUE,IF('prijem -inna mena'!$F$91&gt;0,0.00025*N320*-1,0),0))</f>
        <v>0</v>
      </c>
    </row>
    <row r="322" spans="1:18" x14ac:dyDescent="0.2">
      <c r="A322" s="89">
        <v>306</v>
      </c>
      <c r="B322" s="237" t="e">
        <f t="shared" si="44"/>
        <v>#NUM!</v>
      </c>
      <c r="C322" s="142" t="e">
        <f t="shared" si="40"/>
        <v>#NUM!</v>
      </c>
      <c r="D322" s="142" t="e">
        <f t="shared" si="45"/>
        <v>#NUM!</v>
      </c>
      <c r="E322" s="142" t="e">
        <f t="shared" si="46"/>
        <v>#NUM!</v>
      </c>
      <c r="F322" s="142" t="e">
        <f t="shared" si="41"/>
        <v>#NUM!</v>
      </c>
      <c r="G322" s="184">
        <f>IF('prijem -inna mena'!$I$90=TRUE,IF($C$11&gt;0,0.00025*C321,0),IF('prijem -inna mena'!$I$91=TRUE,IF('prijem -inna mena'!$F$91&gt;0,0.00025*C321,0),0))</f>
        <v>0</v>
      </c>
      <c r="L322" s="89">
        <v>306</v>
      </c>
      <c r="M322" s="237" t="e">
        <f t="shared" si="47"/>
        <v>#DIV/0!</v>
      </c>
      <c r="N322" s="142" t="e">
        <f t="shared" si="42"/>
        <v>#DIV/0!</v>
      </c>
      <c r="O322" s="142" t="e">
        <f t="shared" si="43"/>
        <v>#DIV/0!</v>
      </c>
      <c r="P322" s="142" t="e">
        <f t="shared" si="48"/>
        <v>#DIV/0!</v>
      </c>
      <c r="Q322" s="142" t="e">
        <f t="shared" si="49"/>
        <v>#DIV/0!</v>
      </c>
      <c r="R322" s="184">
        <f>IF('prijem -inna mena'!$I$90=TRUE,IF($C$11&gt;0,0.00025*N321,0),IF('prijem -inna mena'!$I$91=TRUE,IF('prijem -inna mena'!$F$91&gt;0,0.00025*N321*-1,0),0))</f>
        <v>0</v>
      </c>
    </row>
    <row r="323" spans="1:18" x14ac:dyDescent="0.2">
      <c r="A323" s="89">
        <v>307</v>
      </c>
      <c r="B323" s="237" t="e">
        <f t="shared" si="44"/>
        <v>#NUM!</v>
      </c>
      <c r="C323" s="142" t="e">
        <f t="shared" si="40"/>
        <v>#NUM!</v>
      </c>
      <c r="D323" s="142" t="e">
        <f t="shared" si="45"/>
        <v>#NUM!</v>
      </c>
      <c r="E323" s="142" t="e">
        <f t="shared" si="46"/>
        <v>#NUM!</v>
      </c>
      <c r="F323" s="142" t="e">
        <f t="shared" si="41"/>
        <v>#NUM!</v>
      </c>
      <c r="G323" s="184">
        <f>IF('prijem -inna mena'!$I$90=TRUE,IF($C$11&gt;0,0.00025*C322,0),IF('prijem -inna mena'!$I$91=TRUE,IF('prijem -inna mena'!$F$91&gt;0,0.00025*C322,0),0))</f>
        <v>0</v>
      </c>
      <c r="L323" s="89">
        <v>307</v>
      </c>
      <c r="M323" s="237" t="e">
        <f t="shared" si="47"/>
        <v>#DIV/0!</v>
      </c>
      <c r="N323" s="142" t="e">
        <f t="shared" si="42"/>
        <v>#DIV/0!</v>
      </c>
      <c r="O323" s="142" t="e">
        <f t="shared" si="43"/>
        <v>#DIV/0!</v>
      </c>
      <c r="P323" s="142" t="e">
        <f t="shared" si="48"/>
        <v>#DIV/0!</v>
      </c>
      <c r="Q323" s="142" t="e">
        <f t="shared" si="49"/>
        <v>#DIV/0!</v>
      </c>
      <c r="R323" s="184">
        <f>IF('prijem -inna mena'!$I$90=TRUE,IF($C$11&gt;0,0.00025*N322,0),IF('prijem -inna mena'!$I$91=TRUE,IF('prijem -inna mena'!$F$91&gt;0,0.00025*N322*-1,0),0))</f>
        <v>0</v>
      </c>
    </row>
    <row r="324" spans="1:18" x14ac:dyDescent="0.2">
      <c r="A324" s="89">
        <v>308</v>
      </c>
      <c r="B324" s="237" t="e">
        <f t="shared" si="44"/>
        <v>#NUM!</v>
      </c>
      <c r="C324" s="142" t="e">
        <f t="shared" si="40"/>
        <v>#NUM!</v>
      </c>
      <c r="D324" s="142" t="e">
        <f t="shared" si="45"/>
        <v>#NUM!</v>
      </c>
      <c r="E324" s="142" t="e">
        <f t="shared" si="46"/>
        <v>#NUM!</v>
      </c>
      <c r="F324" s="142" t="e">
        <f t="shared" si="41"/>
        <v>#NUM!</v>
      </c>
      <c r="G324" s="184">
        <f>IF('prijem -inna mena'!$I$90=TRUE,IF($C$11&gt;0,0.00025*C323,0),IF('prijem -inna mena'!$I$91=TRUE,IF('prijem -inna mena'!$F$91&gt;0,0.00025*C323,0),0))</f>
        <v>0</v>
      </c>
      <c r="L324" s="89">
        <v>308</v>
      </c>
      <c r="M324" s="237" t="e">
        <f t="shared" si="47"/>
        <v>#DIV/0!</v>
      </c>
      <c r="N324" s="142" t="e">
        <f t="shared" si="42"/>
        <v>#DIV/0!</v>
      </c>
      <c r="O324" s="142" t="e">
        <f t="shared" si="43"/>
        <v>#DIV/0!</v>
      </c>
      <c r="P324" s="142" t="e">
        <f t="shared" si="48"/>
        <v>#DIV/0!</v>
      </c>
      <c r="Q324" s="142" t="e">
        <f t="shared" si="49"/>
        <v>#DIV/0!</v>
      </c>
      <c r="R324" s="184">
        <f>IF('prijem -inna mena'!$I$90=TRUE,IF($C$11&gt;0,0.00025*N323,0),IF('prijem -inna mena'!$I$91=TRUE,IF('prijem -inna mena'!$F$91&gt;0,0.00025*N323*-1,0),0))</f>
        <v>0</v>
      </c>
    </row>
    <row r="325" spans="1:18" x14ac:dyDescent="0.2">
      <c r="A325" s="89">
        <v>309</v>
      </c>
      <c r="B325" s="237" t="e">
        <f t="shared" si="44"/>
        <v>#NUM!</v>
      </c>
      <c r="C325" s="142" t="e">
        <f t="shared" si="40"/>
        <v>#NUM!</v>
      </c>
      <c r="D325" s="142" t="e">
        <f t="shared" si="45"/>
        <v>#NUM!</v>
      </c>
      <c r="E325" s="142" t="e">
        <f t="shared" si="46"/>
        <v>#NUM!</v>
      </c>
      <c r="F325" s="142" t="e">
        <f t="shared" si="41"/>
        <v>#NUM!</v>
      </c>
      <c r="G325" s="184">
        <f>IF('prijem -inna mena'!$I$90=TRUE,IF($C$11&gt;0,0.00025*C324,0),IF('prijem -inna mena'!$I$91=TRUE,IF('prijem -inna mena'!$F$91&gt;0,0.00025*C324,0),0))</f>
        <v>0</v>
      </c>
      <c r="L325" s="89">
        <v>309</v>
      </c>
      <c r="M325" s="237" t="e">
        <f t="shared" si="47"/>
        <v>#DIV/0!</v>
      </c>
      <c r="N325" s="142" t="e">
        <f t="shared" si="42"/>
        <v>#DIV/0!</v>
      </c>
      <c r="O325" s="142" t="e">
        <f t="shared" si="43"/>
        <v>#DIV/0!</v>
      </c>
      <c r="P325" s="142" t="e">
        <f t="shared" si="48"/>
        <v>#DIV/0!</v>
      </c>
      <c r="Q325" s="142" t="e">
        <f t="shared" si="49"/>
        <v>#DIV/0!</v>
      </c>
      <c r="R325" s="184">
        <f>IF('prijem -inna mena'!$I$90=TRUE,IF($C$11&gt;0,0.00025*N324,0),IF('prijem -inna mena'!$I$91=TRUE,IF('prijem -inna mena'!$F$91&gt;0,0.00025*N324*-1,0),0))</f>
        <v>0</v>
      </c>
    </row>
    <row r="326" spans="1:18" x14ac:dyDescent="0.2">
      <c r="A326" s="89">
        <v>310</v>
      </c>
      <c r="B326" s="237" t="e">
        <f t="shared" si="44"/>
        <v>#NUM!</v>
      </c>
      <c r="C326" s="142" t="e">
        <f t="shared" si="40"/>
        <v>#NUM!</v>
      </c>
      <c r="D326" s="142" t="e">
        <f t="shared" si="45"/>
        <v>#NUM!</v>
      </c>
      <c r="E326" s="142" t="e">
        <f t="shared" si="46"/>
        <v>#NUM!</v>
      </c>
      <c r="F326" s="142" t="e">
        <f t="shared" si="41"/>
        <v>#NUM!</v>
      </c>
      <c r="G326" s="184">
        <f>IF('prijem -inna mena'!$I$90=TRUE,IF($C$11&gt;0,0.00025*C325,0),IF('prijem -inna mena'!$I$91=TRUE,IF('prijem -inna mena'!$F$91&gt;0,0.00025*C325,0),0))</f>
        <v>0</v>
      </c>
      <c r="L326" s="89">
        <v>310</v>
      </c>
      <c r="M326" s="237" t="e">
        <f t="shared" si="47"/>
        <v>#DIV/0!</v>
      </c>
      <c r="N326" s="142" t="e">
        <f t="shared" si="42"/>
        <v>#DIV/0!</v>
      </c>
      <c r="O326" s="142" t="e">
        <f t="shared" si="43"/>
        <v>#DIV/0!</v>
      </c>
      <c r="P326" s="142" t="e">
        <f t="shared" si="48"/>
        <v>#DIV/0!</v>
      </c>
      <c r="Q326" s="142" t="e">
        <f t="shared" si="49"/>
        <v>#DIV/0!</v>
      </c>
      <c r="R326" s="184">
        <f>IF('prijem -inna mena'!$I$90=TRUE,IF($C$11&gt;0,0.00025*N325,0),IF('prijem -inna mena'!$I$91=TRUE,IF('prijem -inna mena'!$F$91&gt;0,0.00025*N325*-1,0),0))</f>
        <v>0</v>
      </c>
    </row>
    <row r="327" spans="1:18" x14ac:dyDescent="0.2">
      <c r="A327" s="89">
        <v>311</v>
      </c>
      <c r="B327" s="237" t="e">
        <f t="shared" si="44"/>
        <v>#NUM!</v>
      </c>
      <c r="C327" s="142" t="e">
        <f t="shared" si="40"/>
        <v>#NUM!</v>
      </c>
      <c r="D327" s="142" t="e">
        <f t="shared" si="45"/>
        <v>#NUM!</v>
      </c>
      <c r="E327" s="142" t="e">
        <f t="shared" si="46"/>
        <v>#NUM!</v>
      </c>
      <c r="F327" s="142" t="e">
        <f t="shared" si="41"/>
        <v>#NUM!</v>
      </c>
      <c r="G327" s="184">
        <f>IF('prijem -inna mena'!$I$90=TRUE,IF($C$11&gt;0,0.00025*C326,0),IF('prijem -inna mena'!$I$91=TRUE,IF('prijem -inna mena'!$F$91&gt;0,0.00025*C326,0),0))</f>
        <v>0</v>
      </c>
      <c r="L327" s="89">
        <v>311</v>
      </c>
      <c r="M327" s="237" t="e">
        <f t="shared" si="47"/>
        <v>#DIV/0!</v>
      </c>
      <c r="N327" s="142" t="e">
        <f t="shared" si="42"/>
        <v>#DIV/0!</v>
      </c>
      <c r="O327" s="142" t="e">
        <f t="shared" si="43"/>
        <v>#DIV/0!</v>
      </c>
      <c r="P327" s="142" t="e">
        <f t="shared" si="48"/>
        <v>#DIV/0!</v>
      </c>
      <c r="Q327" s="142" t="e">
        <f t="shared" si="49"/>
        <v>#DIV/0!</v>
      </c>
      <c r="R327" s="184">
        <f>IF('prijem -inna mena'!$I$90=TRUE,IF($C$11&gt;0,0.00025*N326,0),IF('prijem -inna mena'!$I$91=TRUE,IF('prijem -inna mena'!$F$91&gt;0,0.00025*N326*-1,0),0))</f>
        <v>0</v>
      </c>
    </row>
    <row r="328" spans="1:18" x14ac:dyDescent="0.2">
      <c r="A328" s="89">
        <v>312</v>
      </c>
      <c r="B328" s="237" t="e">
        <f t="shared" si="44"/>
        <v>#NUM!</v>
      </c>
      <c r="C328" s="142" t="e">
        <f t="shared" si="40"/>
        <v>#NUM!</v>
      </c>
      <c r="D328" s="142" t="e">
        <f t="shared" si="45"/>
        <v>#NUM!</v>
      </c>
      <c r="E328" s="142" t="e">
        <f t="shared" si="46"/>
        <v>#NUM!</v>
      </c>
      <c r="F328" s="142" t="e">
        <f t="shared" si="41"/>
        <v>#NUM!</v>
      </c>
      <c r="G328" s="184">
        <f>IF('prijem -inna mena'!$I$90=TRUE,IF($C$11&gt;0,0.00025*C327,0),IF('prijem -inna mena'!$I$91=TRUE,IF('prijem -inna mena'!$F$91&gt;0,0.00025*C327,0),0))</f>
        <v>0</v>
      </c>
      <c r="L328" s="89">
        <v>312</v>
      </c>
      <c r="M328" s="237" t="e">
        <f t="shared" si="47"/>
        <v>#DIV/0!</v>
      </c>
      <c r="N328" s="142" t="e">
        <f t="shared" si="42"/>
        <v>#DIV/0!</v>
      </c>
      <c r="O328" s="142" t="e">
        <f t="shared" si="43"/>
        <v>#DIV/0!</v>
      </c>
      <c r="P328" s="142" t="e">
        <f t="shared" si="48"/>
        <v>#DIV/0!</v>
      </c>
      <c r="Q328" s="142" t="e">
        <f t="shared" si="49"/>
        <v>#DIV/0!</v>
      </c>
      <c r="R328" s="184">
        <f>IF('prijem -inna mena'!$I$90=TRUE,IF($C$11&gt;0,0.00025*N327,0),IF('prijem -inna mena'!$I$91=TRUE,IF('prijem -inna mena'!$F$91&gt;0,0.00025*N327*-1,0),0))</f>
        <v>0</v>
      </c>
    </row>
    <row r="329" spans="1:18" x14ac:dyDescent="0.2">
      <c r="A329" s="89">
        <v>313</v>
      </c>
      <c r="B329" s="237" t="e">
        <f t="shared" si="44"/>
        <v>#NUM!</v>
      </c>
      <c r="C329" s="142" t="e">
        <f t="shared" si="40"/>
        <v>#NUM!</v>
      </c>
      <c r="D329" s="142" t="e">
        <f t="shared" si="45"/>
        <v>#NUM!</v>
      </c>
      <c r="E329" s="142" t="e">
        <f t="shared" si="46"/>
        <v>#NUM!</v>
      </c>
      <c r="F329" s="142" t="e">
        <f t="shared" si="41"/>
        <v>#NUM!</v>
      </c>
      <c r="G329" s="184">
        <f>IF('prijem -inna mena'!$I$90=TRUE,IF($C$11&gt;0,0.00025*C328,0),IF('prijem -inna mena'!$I$91=TRUE,IF('prijem -inna mena'!$F$91&gt;0,0.00025*C328,0),0))</f>
        <v>0</v>
      </c>
      <c r="L329" s="89">
        <v>313</v>
      </c>
      <c r="M329" s="237" t="e">
        <f t="shared" si="47"/>
        <v>#DIV/0!</v>
      </c>
      <c r="N329" s="142" t="e">
        <f t="shared" si="42"/>
        <v>#DIV/0!</v>
      </c>
      <c r="O329" s="142" t="e">
        <f t="shared" si="43"/>
        <v>#DIV/0!</v>
      </c>
      <c r="P329" s="142" t="e">
        <f t="shared" si="48"/>
        <v>#DIV/0!</v>
      </c>
      <c r="Q329" s="142" t="e">
        <f t="shared" si="49"/>
        <v>#DIV/0!</v>
      </c>
      <c r="R329" s="184">
        <f>IF('prijem -inna mena'!$I$90=TRUE,IF($C$11&gt;0,0.00025*N328,0),IF('prijem -inna mena'!$I$91=TRUE,IF('prijem -inna mena'!$F$91&gt;0,0.00025*N328*-1,0),0))</f>
        <v>0</v>
      </c>
    </row>
    <row r="330" spans="1:18" x14ac:dyDescent="0.2">
      <c r="A330" s="89">
        <v>314</v>
      </c>
      <c r="B330" s="237" t="e">
        <f t="shared" si="44"/>
        <v>#NUM!</v>
      </c>
      <c r="C330" s="142" t="e">
        <f t="shared" si="40"/>
        <v>#NUM!</v>
      </c>
      <c r="D330" s="142" t="e">
        <f t="shared" si="45"/>
        <v>#NUM!</v>
      </c>
      <c r="E330" s="142" t="e">
        <f t="shared" si="46"/>
        <v>#NUM!</v>
      </c>
      <c r="F330" s="142" t="e">
        <f t="shared" si="41"/>
        <v>#NUM!</v>
      </c>
      <c r="G330" s="184">
        <f>IF('prijem -inna mena'!$I$90=TRUE,IF($C$11&gt;0,0.00025*C329,0),IF('prijem -inna mena'!$I$91=TRUE,IF('prijem -inna mena'!$F$91&gt;0,0.00025*C329,0),0))</f>
        <v>0</v>
      </c>
      <c r="L330" s="89">
        <v>314</v>
      </c>
      <c r="M330" s="237" t="e">
        <f t="shared" si="47"/>
        <v>#DIV/0!</v>
      </c>
      <c r="N330" s="142" t="e">
        <f t="shared" si="42"/>
        <v>#DIV/0!</v>
      </c>
      <c r="O330" s="142" t="e">
        <f t="shared" si="43"/>
        <v>#DIV/0!</v>
      </c>
      <c r="P330" s="142" t="e">
        <f t="shared" si="48"/>
        <v>#DIV/0!</v>
      </c>
      <c r="Q330" s="142" t="e">
        <f t="shared" si="49"/>
        <v>#DIV/0!</v>
      </c>
      <c r="R330" s="184">
        <f>IF('prijem -inna mena'!$I$90=TRUE,IF($C$11&gt;0,0.00025*N329,0),IF('prijem -inna mena'!$I$91=TRUE,IF('prijem -inna mena'!$F$91&gt;0,0.00025*N329*-1,0),0))</f>
        <v>0</v>
      </c>
    </row>
    <row r="331" spans="1:18" x14ac:dyDescent="0.2">
      <c r="A331" s="89">
        <v>315</v>
      </c>
      <c r="B331" s="237" t="e">
        <f t="shared" si="44"/>
        <v>#NUM!</v>
      </c>
      <c r="C331" s="142" t="e">
        <f t="shared" si="40"/>
        <v>#NUM!</v>
      </c>
      <c r="D331" s="142" t="e">
        <f t="shared" si="45"/>
        <v>#NUM!</v>
      </c>
      <c r="E331" s="142" t="e">
        <f t="shared" si="46"/>
        <v>#NUM!</v>
      </c>
      <c r="F331" s="142" t="e">
        <f t="shared" si="41"/>
        <v>#NUM!</v>
      </c>
      <c r="G331" s="184">
        <f>IF('prijem -inna mena'!$I$90=TRUE,IF($C$11&gt;0,0.00025*C330,0),IF('prijem -inna mena'!$I$91=TRUE,IF('prijem -inna mena'!$F$91&gt;0,0.00025*C330,0),0))</f>
        <v>0</v>
      </c>
      <c r="L331" s="89">
        <v>315</v>
      </c>
      <c r="M331" s="237" t="e">
        <f t="shared" si="47"/>
        <v>#DIV/0!</v>
      </c>
      <c r="N331" s="142" t="e">
        <f t="shared" si="42"/>
        <v>#DIV/0!</v>
      </c>
      <c r="O331" s="142" t="e">
        <f t="shared" si="43"/>
        <v>#DIV/0!</v>
      </c>
      <c r="P331" s="142" t="e">
        <f t="shared" si="48"/>
        <v>#DIV/0!</v>
      </c>
      <c r="Q331" s="142" t="e">
        <f t="shared" si="49"/>
        <v>#DIV/0!</v>
      </c>
      <c r="R331" s="184">
        <f>IF('prijem -inna mena'!$I$90=TRUE,IF($C$11&gt;0,0.00025*N330,0),IF('prijem -inna mena'!$I$91=TRUE,IF('prijem -inna mena'!$F$91&gt;0,0.00025*N330*-1,0),0))</f>
        <v>0</v>
      </c>
    </row>
    <row r="332" spans="1:18" x14ac:dyDescent="0.2">
      <c r="A332" s="89">
        <v>316</v>
      </c>
      <c r="B332" s="237" t="e">
        <f t="shared" si="44"/>
        <v>#NUM!</v>
      </c>
      <c r="C332" s="142" t="e">
        <f t="shared" si="40"/>
        <v>#NUM!</v>
      </c>
      <c r="D332" s="142" t="e">
        <f t="shared" si="45"/>
        <v>#NUM!</v>
      </c>
      <c r="E332" s="142" t="e">
        <f t="shared" si="46"/>
        <v>#NUM!</v>
      </c>
      <c r="F332" s="142" t="e">
        <f t="shared" si="41"/>
        <v>#NUM!</v>
      </c>
      <c r="G332" s="184">
        <f>IF('prijem -inna mena'!$I$90=TRUE,IF($C$11&gt;0,0.00025*C331,0),IF('prijem -inna mena'!$I$91=TRUE,IF('prijem -inna mena'!$F$91&gt;0,0.00025*C331,0),0))</f>
        <v>0</v>
      </c>
      <c r="L332" s="89">
        <v>316</v>
      </c>
      <c r="M332" s="237" t="e">
        <f t="shared" si="47"/>
        <v>#DIV/0!</v>
      </c>
      <c r="N332" s="142" t="e">
        <f t="shared" si="42"/>
        <v>#DIV/0!</v>
      </c>
      <c r="O332" s="142" t="e">
        <f t="shared" si="43"/>
        <v>#DIV/0!</v>
      </c>
      <c r="P332" s="142" t="e">
        <f t="shared" si="48"/>
        <v>#DIV/0!</v>
      </c>
      <c r="Q332" s="142" t="e">
        <f t="shared" si="49"/>
        <v>#DIV/0!</v>
      </c>
      <c r="R332" s="184">
        <f>IF('prijem -inna mena'!$I$90=TRUE,IF($C$11&gt;0,0.00025*N331,0),IF('prijem -inna mena'!$I$91=TRUE,IF('prijem -inna mena'!$F$91&gt;0,0.00025*N331*-1,0),0))</f>
        <v>0</v>
      </c>
    </row>
    <row r="333" spans="1:18" x14ac:dyDescent="0.2">
      <c r="A333" s="89">
        <v>317</v>
      </c>
      <c r="B333" s="237" t="e">
        <f t="shared" si="44"/>
        <v>#NUM!</v>
      </c>
      <c r="C333" s="142" t="e">
        <f t="shared" si="40"/>
        <v>#NUM!</v>
      </c>
      <c r="D333" s="142" t="e">
        <f t="shared" si="45"/>
        <v>#NUM!</v>
      </c>
      <c r="E333" s="142" t="e">
        <f t="shared" si="46"/>
        <v>#NUM!</v>
      </c>
      <c r="F333" s="142" t="e">
        <f t="shared" si="41"/>
        <v>#NUM!</v>
      </c>
      <c r="G333" s="184">
        <f>IF('prijem -inna mena'!$I$90=TRUE,IF($C$11&gt;0,0.00025*C332,0),IF('prijem -inna mena'!$I$91=TRUE,IF('prijem -inna mena'!$F$91&gt;0,0.00025*C332,0),0))</f>
        <v>0</v>
      </c>
      <c r="L333" s="89">
        <v>317</v>
      </c>
      <c r="M333" s="237" t="e">
        <f t="shared" si="47"/>
        <v>#DIV/0!</v>
      </c>
      <c r="N333" s="142" t="e">
        <f t="shared" si="42"/>
        <v>#DIV/0!</v>
      </c>
      <c r="O333" s="142" t="e">
        <f t="shared" si="43"/>
        <v>#DIV/0!</v>
      </c>
      <c r="P333" s="142" t="e">
        <f t="shared" si="48"/>
        <v>#DIV/0!</v>
      </c>
      <c r="Q333" s="142" t="e">
        <f t="shared" si="49"/>
        <v>#DIV/0!</v>
      </c>
      <c r="R333" s="184">
        <f>IF('prijem -inna mena'!$I$90=TRUE,IF($C$11&gt;0,0.00025*N332,0),IF('prijem -inna mena'!$I$91=TRUE,IF('prijem -inna mena'!$F$91&gt;0,0.00025*N332*-1,0),0))</f>
        <v>0</v>
      </c>
    </row>
    <row r="334" spans="1:18" x14ac:dyDescent="0.2">
      <c r="A334" s="89">
        <v>318</v>
      </c>
      <c r="B334" s="237" t="e">
        <f t="shared" si="44"/>
        <v>#NUM!</v>
      </c>
      <c r="C334" s="142" t="e">
        <f t="shared" si="40"/>
        <v>#NUM!</v>
      </c>
      <c r="D334" s="142" t="e">
        <f t="shared" si="45"/>
        <v>#NUM!</v>
      </c>
      <c r="E334" s="142" t="e">
        <f t="shared" si="46"/>
        <v>#NUM!</v>
      </c>
      <c r="F334" s="142" t="e">
        <f t="shared" si="41"/>
        <v>#NUM!</v>
      </c>
      <c r="G334" s="184">
        <f>IF('prijem -inna mena'!$I$90=TRUE,IF($C$11&gt;0,0.00025*C333,0),IF('prijem -inna mena'!$I$91=TRUE,IF('prijem -inna mena'!$F$91&gt;0,0.00025*C333,0),0))</f>
        <v>0</v>
      </c>
      <c r="L334" s="89">
        <v>318</v>
      </c>
      <c r="M334" s="237" t="e">
        <f t="shared" si="47"/>
        <v>#DIV/0!</v>
      </c>
      <c r="N334" s="142" t="e">
        <f t="shared" si="42"/>
        <v>#DIV/0!</v>
      </c>
      <c r="O334" s="142" t="e">
        <f t="shared" si="43"/>
        <v>#DIV/0!</v>
      </c>
      <c r="P334" s="142" t="e">
        <f t="shared" si="48"/>
        <v>#DIV/0!</v>
      </c>
      <c r="Q334" s="142" t="e">
        <f t="shared" si="49"/>
        <v>#DIV/0!</v>
      </c>
      <c r="R334" s="184">
        <f>IF('prijem -inna mena'!$I$90=TRUE,IF($C$11&gt;0,0.00025*N333,0),IF('prijem -inna mena'!$I$91=TRUE,IF('prijem -inna mena'!$F$91&gt;0,0.00025*N333*-1,0),0))</f>
        <v>0</v>
      </c>
    </row>
    <row r="335" spans="1:18" x14ac:dyDescent="0.2">
      <c r="A335" s="89">
        <v>319</v>
      </c>
      <c r="B335" s="237" t="e">
        <f t="shared" si="44"/>
        <v>#NUM!</v>
      </c>
      <c r="C335" s="142" t="e">
        <f t="shared" si="40"/>
        <v>#NUM!</v>
      </c>
      <c r="D335" s="142" t="e">
        <f t="shared" si="45"/>
        <v>#NUM!</v>
      </c>
      <c r="E335" s="142" t="e">
        <f t="shared" si="46"/>
        <v>#NUM!</v>
      </c>
      <c r="F335" s="142" t="e">
        <f t="shared" si="41"/>
        <v>#NUM!</v>
      </c>
      <c r="G335" s="184">
        <f>IF('prijem -inna mena'!$I$90=TRUE,IF($C$11&gt;0,0.00025*C334,0),IF('prijem -inna mena'!$I$91=TRUE,IF('prijem -inna mena'!$F$91&gt;0,0.00025*C334,0),0))</f>
        <v>0</v>
      </c>
      <c r="L335" s="89">
        <v>319</v>
      </c>
      <c r="M335" s="237" t="e">
        <f t="shared" si="47"/>
        <v>#DIV/0!</v>
      </c>
      <c r="N335" s="142" t="e">
        <f t="shared" si="42"/>
        <v>#DIV/0!</v>
      </c>
      <c r="O335" s="142" t="e">
        <f t="shared" si="43"/>
        <v>#DIV/0!</v>
      </c>
      <c r="P335" s="142" t="e">
        <f t="shared" si="48"/>
        <v>#DIV/0!</v>
      </c>
      <c r="Q335" s="142" t="e">
        <f t="shared" si="49"/>
        <v>#DIV/0!</v>
      </c>
      <c r="R335" s="184">
        <f>IF('prijem -inna mena'!$I$90=TRUE,IF($C$11&gt;0,0.00025*N334,0),IF('prijem -inna mena'!$I$91=TRUE,IF('prijem -inna mena'!$F$91&gt;0,0.00025*N334*-1,0),0))</f>
        <v>0</v>
      </c>
    </row>
    <row r="336" spans="1:18" x14ac:dyDescent="0.2">
      <c r="A336" s="89">
        <v>320</v>
      </c>
      <c r="B336" s="237" t="e">
        <f t="shared" si="44"/>
        <v>#NUM!</v>
      </c>
      <c r="C336" s="142" t="e">
        <f t="shared" si="40"/>
        <v>#NUM!</v>
      </c>
      <c r="D336" s="142" t="e">
        <f t="shared" si="45"/>
        <v>#NUM!</v>
      </c>
      <c r="E336" s="142" t="e">
        <f t="shared" si="46"/>
        <v>#NUM!</v>
      </c>
      <c r="F336" s="142" t="e">
        <f t="shared" si="41"/>
        <v>#NUM!</v>
      </c>
      <c r="G336" s="184">
        <f>IF('prijem -inna mena'!$I$90=TRUE,IF($C$11&gt;0,0.00025*C335,0),IF('prijem -inna mena'!$I$91=TRUE,IF('prijem -inna mena'!$F$91&gt;0,0.00025*C335,0),0))</f>
        <v>0</v>
      </c>
      <c r="L336" s="89">
        <v>320</v>
      </c>
      <c r="M336" s="237" t="e">
        <f t="shared" si="47"/>
        <v>#DIV/0!</v>
      </c>
      <c r="N336" s="142" t="e">
        <f t="shared" si="42"/>
        <v>#DIV/0!</v>
      </c>
      <c r="O336" s="142" t="e">
        <f t="shared" si="43"/>
        <v>#DIV/0!</v>
      </c>
      <c r="P336" s="142" t="e">
        <f t="shared" si="48"/>
        <v>#DIV/0!</v>
      </c>
      <c r="Q336" s="142" t="e">
        <f t="shared" si="49"/>
        <v>#DIV/0!</v>
      </c>
      <c r="R336" s="184">
        <f>IF('prijem -inna mena'!$I$90=TRUE,IF($C$11&gt;0,0.00025*N335,0),IF('prijem -inna mena'!$I$91=TRUE,IF('prijem -inna mena'!$F$91&gt;0,0.00025*N335*-1,0),0))</f>
        <v>0</v>
      </c>
    </row>
    <row r="337" spans="1:18" x14ac:dyDescent="0.2">
      <c r="A337" s="89">
        <v>321</v>
      </c>
      <c r="B337" s="237" t="e">
        <f t="shared" si="44"/>
        <v>#NUM!</v>
      </c>
      <c r="C337" s="142" t="e">
        <f t="shared" ref="C337:C400" si="50">MAX(C336-D337,0)</f>
        <v>#NUM!</v>
      </c>
      <c r="D337" s="142" t="e">
        <f t="shared" si="45"/>
        <v>#NUM!</v>
      </c>
      <c r="E337" s="142" t="e">
        <f t="shared" si="46"/>
        <v>#NUM!</v>
      </c>
      <c r="F337" s="142" t="e">
        <f t="shared" ref="F337:F400" si="51">PMT($C$4/12,$C$5,$C$3)</f>
        <v>#NUM!</v>
      </c>
      <c r="G337" s="184">
        <f>IF('prijem -inna mena'!$I$90=TRUE,IF($C$11&gt;0,0.00025*C336,0),IF('prijem -inna mena'!$I$91=TRUE,IF('prijem -inna mena'!$F$91&gt;0,0.00025*C336,0),0))</f>
        <v>0</v>
      </c>
      <c r="L337" s="89">
        <v>321</v>
      </c>
      <c r="M337" s="237" t="e">
        <f t="shared" si="47"/>
        <v>#DIV/0!</v>
      </c>
      <c r="N337" s="142" t="e">
        <f t="shared" ref="N337:N400" si="52">MAX(N336-O337,0)</f>
        <v>#DIV/0!</v>
      </c>
      <c r="O337" s="142" t="e">
        <f t="shared" ref="O337:O400" si="53">$N$16/$N$5</f>
        <v>#DIV/0!</v>
      </c>
      <c r="P337" s="142" t="e">
        <f t="shared" si="48"/>
        <v>#DIV/0!</v>
      </c>
      <c r="Q337" s="142" t="e">
        <f t="shared" si="49"/>
        <v>#DIV/0!</v>
      </c>
      <c r="R337" s="184">
        <f>IF('prijem -inna mena'!$I$90=TRUE,IF($C$11&gt;0,0.00025*N336,0),IF('prijem -inna mena'!$I$91=TRUE,IF('prijem -inna mena'!$F$91&gt;0,0.00025*N336*-1,0),0))</f>
        <v>0</v>
      </c>
    </row>
    <row r="338" spans="1:18" x14ac:dyDescent="0.2">
      <c r="A338" s="89">
        <v>322</v>
      </c>
      <c r="B338" s="237" t="e">
        <f t="shared" ref="B338:B401" si="54">IF(C337&gt;0.00001,F338-G338,0)</f>
        <v>#NUM!</v>
      </c>
      <c r="C338" s="142" t="e">
        <f t="shared" si="50"/>
        <v>#NUM!</v>
      </c>
      <c r="D338" s="142" t="e">
        <f t="shared" ref="D338:D401" si="55">(F338-E338)*-1</f>
        <v>#NUM!</v>
      </c>
      <c r="E338" s="142" t="e">
        <f t="shared" ref="E338:E401" si="56">IPMT($C$4/12,1,$C$5,C337)</f>
        <v>#NUM!</v>
      </c>
      <c r="F338" s="142" t="e">
        <f t="shared" si="51"/>
        <v>#NUM!</v>
      </c>
      <c r="G338" s="184">
        <f>IF('prijem -inna mena'!$I$90=TRUE,IF($C$11&gt;0,0.00025*C337,0),IF('prijem -inna mena'!$I$91=TRUE,IF('prijem -inna mena'!$F$91&gt;0,0.00025*C337,0),0))</f>
        <v>0</v>
      </c>
      <c r="L338" s="89">
        <v>322</v>
      </c>
      <c r="M338" s="237" t="e">
        <f t="shared" ref="M338:M401" si="57">IF(N337&gt;0.00001,Q338-R338,0)*-1</f>
        <v>#DIV/0!</v>
      </c>
      <c r="N338" s="142" t="e">
        <f t="shared" si="52"/>
        <v>#DIV/0!</v>
      </c>
      <c r="O338" s="142" t="e">
        <f t="shared" si="53"/>
        <v>#DIV/0!</v>
      </c>
      <c r="P338" s="142" t="e">
        <f t="shared" ref="P338:P401" si="58">N337*$N$4/12</f>
        <v>#DIV/0!</v>
      </c>
      <c r="Q338" s="142" t="e">
        <f t="shared" ref="Q338:Q401" si="59">P338+O338</f>
        <v>#DIV/0!</v>
      </c>
      <c r="R338" s="184">
        <f>IF('prijem -inna mena'!$I$90=TRUE,IF($C$11&gt;0,0.00025*N337,0),IF('prijem -inna mena'!$I$91=TRUE,IF('prijem -inna mena'!$F$91&gt;0,0.00025*N337*-1,0),0))</f>
        <v>0</v>
      </c>
    </row>
    <row r="339" spans="1:18" x14ac:dyDescent="0.2">
      <c r="A339" s="89">
        <v>323</v>
      </c>
      <c r="B339" s="237" t="e">
        <f t="shared" si="54"/>
        <v>#NUM!</v>
      </c>
      <c r="C339" s="142" t="e">
        <f t="shared" si="50"/>
        <v>#NUM!</v>
      </c>
      <c r="D339" s="142" t="e">
        <f t="shared" si="55"/>
        <v>#NUM!</v>
      </c>
      <c r="E339" s="142" t="e">
        <f t="shared" si="56"/>
        <v>#NUM!</v>
      </c>
      <c r="F339" s="142" t="e">
        <f t="shared" si="51"/>
        <v>#NUM!</v>
      </c>
      <c r="G339" s="184">
        <f>IF('prijem -inna mena'!$I$90=TRUE,IF($C$11&gt;0,0.00025*C338,0),IF('prijem -inna mena'!$I$91=TRUE,IF('prijem -inna mena'!$F$91&gt;0,0.00025*C338,0),0))</f>
        <v>0</v>
      </c>
      <c r="L339" s="89">
        <v>323</v>
      </c>
      <c r="M339" s="237" t="e">
        <f t="shared" si="57"/>
        <v>#DIV/0!</v>
      </c>
      <c r="N339" s="142" t="e">
        <f t="shared" si="52"/>
        <v>#DIV/0!</v>
      </c>
      <c r="O339" s="142" t="e">
        <f t="shared" si="53"/>
        <v>#DIV/0!</v>
      </c>
      <c r="P339" s="142" t="e">
        <f t="shared" si="58"/>
        <v>#DIV/0!</v>
      </c>
      <c r="Q339" s="142" t="e">
        <f t="shared" si="59"/>
        <v>#DIV/0!</v>
      </c>
      <c r="R339" s="184">
        <f>IF('prijem -inna mena'!$I$90=TRUE,IF($C$11&gt;0,0.00025*N338,0),IF('prijem -inna mena'!$I$91=TRUE,IF('prijem -inna mena'!$F$91&gt;0,0.00025*N338*-1,0),0))</f>
        <v>0</v>
      </c>
    </row>
    <row r="340" spans="1:18" x14ac:dyDescent="0.2">
      <c r="A340" s="89">
        <v>324</v>
      </c>
      <c r="B340" s="237" t="e">
        <f t="shared" si="54"/>
        <v>#NUM!</v>
      </c>
      <c r="C340" s="142" t="e">
        <f t="shared" si="50"/>
        <v>#NUM!</v>
      </c>
      <c r="D340" s="142" t="e">
        <f t="shared" si="55"/>
        <v>#NUM!</v>
      </c>
      <c r="E340" s="142" t="e">
        <f t="shared" si="56"/>
        <v>#NUM!</v>
      </c>
      <c r="F340" s="142" t="e">
        <f t="shared" si="51"/>
        <v>#NUM!</v>
      </c>
      <c r="G340" s="184">
        <f>IF('prijem -inna mena'!$I$90=TRUE,IF($C$11&gt;0,0.00025*C339,0),IF('prijem -inna mena'!$I$91=TRUE,IF('prijem -inna mena'!$F$91&gt;0,0.00025*C339,0),0))</f>
        <v>0</v>
      </c>
      <c r="L340" s="89">
        <v>324</v>
      </c>
      <c r="M340" s="237" t="e">
        <f t="shared" si="57"/>
        <v>#DIV/0!</v>
      </c>
      <c r="N340" s="142" t="e">
        <f t="shared" si="52"/>
        <v>#DIV/0!</v>
      </c>
      <c r="O340" s="142" t="e">
        <f t="shared" si="53"/>
        <v>#DIV/0!</v>
      </c>
      <c r="P340" s="142" t="e">
        <f t="shared" si="58"/>
        <v>#DIV/0!</v>
      </c>
      <c r="Q340" s="142" t="e">
        <f t="shared" si="59"/>
        <v>#DIV/0!</v>
      </c>
      <c r="R340" s="184">
        <f>IF('prijem -inna mena'!$I$90=TRUE,IF($C$11&gt;0,0.00025*N339,0),IF('prijem -inna mena'!$I$91=TRUE,IF('prijem -inna mena'!$F$91&gt;0,0.00025*N339*-1,0),0))</f>
        <v>0</v>
      </c>
    </row>
    <row r="341" spans="1:18" x14ac:dyDescent="0.2">
      <c r="A341" s="89">
        <v>325</v>
      </c>
      <c r="B341" s="237" t="e">
        <f t="shared" si="54"/>
        <v>#NUM!</v>
      </c>
      <c r="C341" s="142" t="e">
        <f t="shared" si="50"/>
        <v>#NUM!</v>
      </c>
      <c r="D341" s="142" t="e">
        <f t="shared" si="55"/>
        <v>#NUM!</v>
      </c>
      <c r="E341" s="142" t="e">
        <f t="shared" si="56"/>
        <v>#NUM!</v>
      </c>
      <c r="F341" s="142" t="e">
        <f t="shared" si="51"/>
        <v>#NUM!</v>
      </c>
      <c r="G341" s="184">
        <f>IF('prijem -inna mena'!$I$90=TRUE,IF($C$11&gt;0,0.00025*C340,0),IF('prijem -inna mena'!$I$91=TRUE,IF('prijem -inna mena'!$F$91&gt;0,0.00025*C340,0),0))</f>
        <v>0</v>
      </c>
      <c r="L341" s="89">
        <v>325</v>
      </c>
      <c r="M341" s="237" t="e">
        <f t="shared" si="57"/>
        <v>#DIV/0!</v>
      </c>
      <c r="N341" s="142" t="e">
        <f t="shared" si="52"/>
        <v>#DIV/0!</v>
      </c>
      <c r="O341" s="142" t="e">
        <f t="shared" si="53"/>
        <v>#DIV/0!</v>
      </c>
      <c r="P341" s="142" t="e">
        <f t="shared" si="58"/>
        <v>#DIV/0!</v>
      </c>
      <c r="Q341" s="142" t="e">
        <f t="shared" si="59"/>
        <v>#DIV/0!</v>
      </c>
      <c r="R341" s="184">
        <f>IF('prijem -inna mena'!$I$90=TRUE,IF($C$11&gt;0,0.00025*N340,0),IF('prijem -inna mena'!$I$91=TRUE,IF('prijem -inna mena'!$F$91&gt;0,0.00025*N340*-1,0),0))</f>
        <v>0</v>
      </c>
    </row>
    <row r="342" spans="1:18" x14ac:dyDescent="0.2">
      <c r="A342" s="89">
        <v>326</v>
      </c>
      <c r="B342" s="237" t="e">
        <f t="shared" si="54"/>
        <v>#NUM!</v>
      </c>
      <c r="C342" s="142" t="e">
        <f t="shared" si="50"/>
        <v>#NUM!</v>
      </c>
      <c r="D342" s="142" t="e">
        <f t="shared" si="55"/>
        <v>#NUM!</v>
      </c>
      <c r="E342" s="142" t="e">
        <f t="shared" si="56"/>
        <v>#NUM!</v>
      </c>
      <c r="F342" s="142" t="e">
        <f t="shared" si="51"/>
        <v>#NUM!</v>
      </c>
      <c r="G342" s="184">
        <f>IF('prijem -inna mena'!$I$90=TRUE,IF($C$11&gt;0,0.00025*C341,0),IF('prijem -inna mena'!$I$91=TRUE,IF('prijem -inna mena'!$F$91&gt;0,0.00025*C341,0),0))</f>
        <v>0</v>
      </c>
      <c r="L342" s="89">
        <v>326</v>
      </c>
      <c r="M342" s="237" t="e">
        <f t="shared" si="57"/>
        <v>#DIV/0!</v>
      </c>
      <c r="N342" s="142" t="e">
        <f t="shared" si="52"/>
        <v>#DIV/0!</v>
      </c>
      <c r="O342" s="142" t="e">
        <f t="shared" si="53"/>
        <v>#DIV/0!</v>
      </c>
      <c r="P342" s="142" t="e">
        <f t="shared" si="58"/>
        <v>#DIV/0!</v>
      </c>
      <c r="Q342" s="142" t="e">
        <f t="shared" si="59"/>
        <v>#DIV/0!</v>
      </c>
      <c r="R342" s="184">
        <f>IF('prijem -inna mena'!$I$90=TRUE,IF($C$11&gt;0,0.00025*N341,0),IF('prijem -inna mena'!$I$91=TRUE,IF('prijem -inna mena'!$F$91&gt;0,0.00025*N341*-1,0),0))</f>
        <v>0</v>
      </c>
    </row>
    <row r="343" spans="1:18" x14ac:dyDescent="0.2">
      <c r="A343" s="89">
        <v>327</v>
      </c>
      <c r="B343" s="237" t="e">
        <f t="shared" si="54"/>
        <v>#NUM!</v>
      </c>
      <c r="C343" s="142" t="e">
        <f t="shared" si="50"/>
        <v>#NUM!</v>
      </c>
      <c r="D343" s="142" t="e">
        <f t="shared" si="55"/>
        <v>#NUM!</v>
      </c>
      <c r="E343" s="142" t="e">
        <f t="shared" si="56"/>
        <v>#NUM!</v>
      </c>
      <c r="F343" s="142" t="e">
        <f t="shared" si="51"/>
        <v>#NUM!</v>
      </c>
      <c r="G343" s="184">
        <f>IF('prijem -inna mena'!$I$90=TRUE,IF($C$11&gt;0,0.00025*C342,0),IF('prijem -inna mena'!$I$91=TRUE,IF('prijem -inna mena'!$F$91&gt;0,0.00025*C342,0),0))</f>
        <v>0</v>
      </c>
      <c r="L343" s="89">
        <v>327</v>
      </c>
      <c r="M343" s="237" t="e">
        <f t="shared" si="57"/>
        <v>#DIV/0!</v>
      </c>
      <c r="N343" s="142" t="e">
        <f t="shared" si="52"/>
        <v>#DIV/0!</v>
      </c>
      <c r="O343" s="142" t="e">
        <f t="shared" si="53"/>
        <v>#DIV/0!</v>
      </c>
      <c r="P343" s="142" t="e">
        <f t="shared" si="58"/>
        <v>#DIV/0!</v>
      </c>
      <c r="Q343" s="142" t="e">
        <f t="shared" si="59"/>
        <v>#DIV/0!</v>
      </c>
      <c r="R343" s="184">
        <f>IF('prijem -inna mena'!$I$90=TRUE,IF($C$11&gt;0,0.00025*N342,0),IF('prijem -inna mena'!$I$91=TRUE,IF('prijem -inna mena'!$F$91&gt;0,0.00025*N342*-1,0),0))</f>
        <v>0</v>
      </c>
    </row>
    <row r="344" spans="1:18" x14ac:dyDescent="0.2">
      <c r="A344" s="89">
        <v>328</v>
      </c>
      <c r="B344" s="237" t="e">
        <f t="shared" si="54"/>
        <v>#NUM!</v>
      </c>
      <c r="C344" s="142" t="e">
        <f t="shared" si="50"/>
        <v>#NUM!</v>
      </c>
      <c r="D344" s="142" t="e">
        <f t="shared" si="55"/>
        <v>#NUM!</v>
      </c>
      <c r="E344" s="142" t="e">
        <f t="shared" si="56"/>
        <v>#NUM!</v>
      </c>
      <c r="F344" s="142" t="e">
        <f t="shared" si="51"/>
        <v>#NUM!</v>
      </c>
      <c r="G344" s="184">
        <f>IF('prijem -inna mena'!$I$90=TRUE,IF($C$11&gt;0,0.00025*C343,0),IF('prijem -inna mena'!$I$91=TRUE,IF('prijem -inna mena'!$F$91&gt;0,0.00025*C343,0),0))</f>
        <v>0</v>
      </c>
      <c r="L344" s="89">
        <v>328</v>
      </c>
      <c r="M344" s="237" t="e">
        <f t="shared" si="57"/>
        <v>#DIV/0!</v>
      </c>
      <c r="N344" s="142" t="e">
        <f t="shared" si="52"/>
        <v>#DIV/0!</v>
      </c>
      <c r="O344" s="142" t="e">
        <f t="shared" si="53"/>
        <v>#DIV/0!</v>
      </c>
      <c r="P344" s="142" t="e">
        <f t="shared" si="58"/>
        <v>#DIV/0!</v>
      </c>
      <c r="Q344" s="142" t="e">
        <f t="shared" si="59"/>
        <v>#DIV/0!</v>
      </c>
      <c r="R344" s="184">
        <f>IF('prijem -inna mena'!$I$90=TRUE,IF($C$11&gt;0,0.00025*N343,0),IF('prijem -inna mena'!$I$91=TRUE,IF('prijem -inna mena'!$F$91&gt;0,0.00025*N343*-1,0),0))</f>
        <v>0</v>
      </c>
    </row>
    <row r="345" spans="1:18" x14ac:dyDescent="0.2">
      <c r="A345" s="89">
        <v>329</v>
      </c>
      <c r="B345" s="237" t="e">
        <f t="shared" si="54"/>
        <v>#NUM!</v>
      </c>
      <c r="C345" s="142" t="e">
        <f t="shared" si="50"/>
        <v>#NUM!</v>
      </c>
      <c r="D345" s="142" t="e">
        <f t="shared" si="55"/>
        <v>#NUM!</v>
      </c>
      <c r="E345" s="142" t="e">
        <f t="shared" si="56"/>
        <v>#NUM!</v>
      </c>
      <c r="F345" s="142" t="e">
        <f t="shared" si="51"/>
        <v>#NUM!</v>
      </c>
      <c r="G345" s="184">
        <f>IF('prijem -inna mena'!$I$90=TRUE,IF($C$11&gt;0,0.00025*C344,0),IF('prijem -inna mena'!$I$91=TRUE,IF('prijem -inna mena'!$F$91&gt;0,0.00025*C344,0),0))</f>
        <v>0</v>
      </c>
      <c r="L345" s="89">
        <v>329</v>
      </c>
      <c r="M345" s="237" t="e">
        <f t="shared" si="57"/>
        <v>#DIV/0!</v>
      </c>
      <c r="N345" s="142" t="e">
        <f t="shared" si="52"/>
        <v>#DIV/0!</v>
      </c>
      <c r="O345" s="142" t="e">
        <f t="shared" si="53"/>
        <v>#DIV/0!</v>
      </c>
      <c r="P345" s="142" t="e">
        <f t="shared" si="58"/>
        <v>#DIV/0!</v>
      </c>
      <c r="Q345" s="142" t="e">
        <f t="shared" si="59"/>
        <v>#DIV/0!</v>
      </c>
      <c r="R345" s="184">
        <f>IF('prijem -inna mena'!$I$90=TRUE,IF($C$11&gt;0,0.00025*N344,0),IF('prijem -inna mena'!$I$91=TRUE,IF('prijem -inna mena'!$F$91&gt;0,0.00025*N344*-1,0),0))</f>
        <v>0</v>
      </c>
    </row>
    <row r="346" spans="1:18" x14ac:dyDescent="0.2">
      <c r="A346" s="89">
        <v>330</v>
      </c>
      <c r="B346" s="237" t="e">
        <f t="shared" si="54"/>
        <v>#NUM!</v>
      </c>
      <c r="C346" s="142" t="e">
        <f t="shared" si="50"/>
        <v>#NUM!</v>
      </c>
      <c r="D346" s="142" t="e">
        <f t="shared" si="55"/>
        <v>#NUM!</v>
      </c>
      <c r="E346" s="142" t="e">
        <f t="shared" si="56"/>
        <v>#NUM!</v>
      </c>
      <c r="F346" s="142" t="e">
        <f t="shared" si="51"/>
        <v>#NUM!</v>
      </c>
      <c r="G346" s="184">
        <f>IF('prijem -inna mena'!$I$90=TRUE,IF($C$11&gt;0,0.00025*C345,0),IF('prijem -inna mena'!$I$91=TRUE,IF('prijem -inna mena'!$F$91&gt;0,0.00025*C345,0),0))</f>
        <v>0</v>
      </c>
      <c r="L346" s="89">
        <v>330</v>
      </c>
      <c r="M346" s="237" t="e">
        <f t="shared" si="57"/>
        <v>#DIV/0!</v>
      </c>
      <c r="N346" s="142" t="e">
        <f t="shared" si="52"/>
        <v>#DIV/0!</v>
      </c>
      <c r="O346" s="142" t="e">
        <f t="shared" si="53"/>
        <v>#DIV/0!</v>
      </c>
      <c r="P346" s="142" t="e">
        <f t="shared" si="58"/>
        <v>#DIV/0!</v>
      </c>
      <c r="Q346" s="142" t="e">
        <f t="shared" si="59"/>
        <v>#DIV/0!</v>
      </c>
      <c r="R346" s="184">
        <f>IF('prijem -inna mena'!$I$90=TRUE,IF($C$11&gt;0,0.00025*N345,0),IF('prijem -inna mena'!$I$91=TRUE,IF('prijem -inna mena'!$F$91&gt;0,0.00025*N345*-1,0),0))</f>
        <v>0</v>
      </c>
    </row>
    <row r="347" spans="1:18" x14ac:dyDescent="0.2">
      <c r="A347" s="89">
        <v>331</v>
      </c>
      <c r="B347" s="237" t="e">
        <f t="shared" si="54"/>
        <v>#NUM!</v>
      </c>
      <c r="C347" s="142" t="e">
        <f t="shared" si="50"/>
        <v>#NUM!</v>
      </c>
      <c r="D347" s="142" t="e">
        <f t="shared" si="55"/>
        <v>#NUM!</v>
      </c>
      <c r="E347" s="142" t="e">
        <f t="shared" si="56"/>
        <v>#NUM!</v>
      </c>
      <c r="F347" s="142" t="e">
        <f t="shared" si="51"/>
        <v>#NUM!</v>
      </c>
      <c r="G347" s="184">
        <f>IF('prijem -inna mena'!$I$90=TRUE,IF($C$11&gt;0,0.00025*C346,0),IF('prijem -inna mena'!$I$91=TRUE,IF('prijem -inna mena'!$F$91&gt;0,0.00025*C346,0),0))</f>
        <v>0</v>
      </c>
      <c r="L347" s="89">
        <v>331</v>
      </c>
      <c r="M347" s="237" t="e">
        <f t="shared" si="57"/>
        <v>#DIV/0!</v>
      </c>
      <c r="N347" s="142" t="e">
        <f t="shared" si="52"/>
        <v>#DIV/0!</v>
      </c>
      <c r="O347" s="142" t="e">
        <f t="shared" si="53"/>
        <v>#DIV/0!</v>
      </c>
      <c r="P347" s="142" t="e">
        <f t="shared" si="58"/>
        <v>#DIV/0!</v>
      </c>
      <c r="Q347" s="142" t="e">
        <f t="shared" si="59"/>
        <v>#DIV/0!</v>
      </c>
      <c r="R347" s="184">
        <f>IF('prijem -inna mena'!$I$90=TRUE,IF($C$11&gt;0,0.00025*N346,0),IF('prijem -inna mena'!$I$91=TRUE,IF('prijem -inna mena'!$F$91&gt;0,0.00025*N346*-1,0),0))</f>
        <v>0</v>
      </c>
    </row>
    <row r="348" spans="1:18" x14ac:dyDescent="0.2">
      <c r="A348" s="89">
        <v>332</v>
      </c>
      <c r="B348" s="237" t="e">
        <f t="shared" si="54"/>
        <v>#NUM!</v>
      </c>
      <c r="C348" s="142" t="e">
        <f t="shared" si="50"/>
        <v>#NUM!</v>
      </c>
      <c r="D348" s="142" t="e">
        <f t="shared" si="55"/>
        <v>#NUM!</v>
      </c>
      <c r="E348" s="142" t="e">
        <f t="shared" si="56"/>
        <v>#NUM!</v>
      </c>
      <c r="F348" s="142" t="e">
        <f t="shared" si="51"/>
        <v>#NUM!</v>
      </c>
      <c r="G348" s="184">
        <f>IF('prijem -inna mena'!$I$90=TRUE,IF($C$11&gt;0,0.00025*C347,0),IF('prijem -inna mena'!$I$91=TRUE,IF('prijem -inna mena'!$F$91&gt;0,0.00025*C347,0),0))</f>
        <v>0</v>
      </c>
      <c r="L348" s="89">
        <v>332</v>
      </c>
      <c r="M348" s="237" t="e">
        <f t="shared" si="57"/>
        <v>#DIV/0!</v>
      </c>
      <c r="N348" s="142" t="e">
        <f t="shared" si="52"/>
        <v>#DIV/0!</v>
      </c>
      <c r="O348" s="142" t="e">
        <f t="shared" si="53"/>
        <v>#DIV/0!</v>
      </c>
      <c r="P348" s="142" t="e">
        <f t="shared" si="58"/>
        <v>#DIV/0!</v>
      </c>
      <c r="Q348" s="142" t="e">
        <f t="shared" si="59"/>
        <v>#DIV/0!</v>
      </c>
      <c r="R348" s="184">
        <f>IF('prijem -inna mena'!$I$90=TRUE,IF($C$11&gt;0,0.00025*N347,0),IF('prijem -inna mena'!$I$91=TRUE,IF('prijem -inna mena'!$F$91&gt;0,0.00025*N347*-1,0),0))</f>
        <v>0</v>
      </c>
    </row>
    <row r="349" spans="1:18" x14ac:dyDescent="0.2">
      <c r="A349" s="89">
        <v>333</v>
      </c>
      <c r="B349" s="237" t="e">
        <f t="shared" si="54"/>
        <v>#NUM!</v>
      </c>
      <c r="C349" s="142" t="e">
        <f t="shared" si="50"/>
        <v>#NUM!</v>
      </c>
      <c r="D349" s="142" t="e">
        <f t="shared" si="55"/>
        <v>#NUM!</v>
      </c>
      <c r="E349" s="142" t="e">
        <f t="shared" si="56"/>
        <v>#NUM!</v>
      </c>
      <c r="F349" s="142" t="e">
        <f t="shared" si="51"/>
        <v>#NUM!</v>
      </c>
      <c r="G349" s="184">
        <f>IF('prijem -inna mena'!$I$90=TRUE,IF($C$11&gt;0,0.00025*C348,0),IF('prijem -inna mena'!$I$91=TRUE,IF('prijem -inna mena'!$F$91&gt;0,0.00025*C348,0),0))</f>
        <v>0</v>
      </c>
      <c r="L349" s="89">
        <v>333</v>
      </c>
      <c r="M349" s="237" t="e">
        <f t="shared" si="57"/>
        <v>#DIV/0!</v>
      </c>
      <c r="N349" s="142" t="e">
        <f t="shared" si="52"/>
        <v>#DIV/0!</v>
      </c>
      <c r="O349" s="142" t="e">
        <f t="shared" si="53"/>
        <v>#DIV/0!</v>
      </c>
      <c r="P349" s="142" t="e">
        <f t="shared" si="58"/>
        <v>#DIV/0!</v>
      </c>
      <c r="Q349" s="142" t="e">
        <f t="shared" si="59"/>
        <v>#DIV/0!</v>
      </c>
      <c r="R349" s="184">
        <f>IF('prijem -inna mena'!$I$90=TRUE,IF($C$11&gt;0,0.00025*N348,0),IF('prijem -inna mena'!$I$91=TRUE,IF('prijem -inna mena'!$F$91&gt;0,0.00025*N348*-1,0),0))</f>
        <v>0</v>
      </c>
    </row>
    <row r="350" spans="1:18" x14ac:dyDescent="0.2">
      <c r="A350" s="89">
        <v>334</v>
      </c>
      <c r="B350" s="237" t="e">
        <f t="shared" si="54"/>
        <v>#NUM!</v>
      </c>
      <c r="C350" s="142" t="e">
        <f t="shared" si="50"/>
        <v>#NUM!</v>
      </c>
      <c r="D350" s="142" t="e">
        <f t="shared" si="55"/>
        <v>#NUM!</v>
      </c>
      <c r="E350" s="142" t="e">
        <f t="shared" si="56"/>
        <v>#NUM!</v>
      </c>
      <c r="F350" s="142" t="e">
        <f t="shared" si="51"/>
        <v>#NUM!</v>
      </c>
      <c r="G350" s="184">
        <f>IF('prijem -inna mena'!$I$90=TRUE,IF($C$11&gt;0,0.00025*C349,0),IF('prijem -inna mena'!$I$91=TRUE,IF('prijem -inna mena'!$F$91&gt;0,0.00025*C349,0),0))</f>
        <v>0</v>
      </c>
      <c r="L350" s="89">
        <v>334</v>
      </c>
      <c r="M350" s="237" t="e">
        <f t="shared" si="57"/>
        <v>#DIV/0!</v>
      </c>
      <c r="N350" s="142" t="e">
        <f t="shared" si="52"/>
        <v>#DIV/0!</v>
      </c>
      <c r="O350" s="142" t="e">
        <f t="shared" si="53"/>
        <v>#DIV/0!</v>
      </c>
      <c r="P350" s="142" t="e">
        <f t="shared" si="58"/>
        <v>#DIV/0!</v>
      </c>
      <c r="Q350" s="142" t="e">
        <f t="shared" si="59"/>
        <v>#DIV/0!</v>
      </c>
      <c r="R350" s="184">
        <f>IF('prijem -inna mena'!$I$90=TRUE,IF($C$11&gt;0,0.00025*N349,0),IF('prijem -inna mena'!$I$91=TRUE,IF('prijem -inna mena'!$F$91&gt;0,0.00025*N349*-1,0),0))</f>
        <v>0</v>
      </c>
    </row>
    <row r="351" spans="1:18" x14ac:dyDescent="0.2">
      <c r="A351" s="89">
        <v>335</v>
      </c>
      <c r="B351" s="237" t="e">
        <f t="shared" si="54"/>
        <v>#NUM!</v>
      </c>
      <c r="C351" s="142" t="e">
        <f t="shared" si="50"/>
        <v>#NUM!</v>
      </c>
      <c r="D351" s="142" t="e">
        <f t="shared" si="55"/>
        <v>#NUM!</v>
      </c>
      <c r="E351" s="142" t="e">
        <f t="shared" si="56"/>
        <v>#NUM!</v>
      </c>
      <c r="F351" s="142" t="e">
        <f t="shared" si="51"/>
        <v>#NUM!</v>
      </c>
      <c r="G351" s="184">
        <f>IF('prijem -inna mena'!$I$90=TRUE,IF($C$11&gt;0,0.00025*C350,0),IF('prijem -inna mena'!$I$91=TRUE,IF('prijem -inna mena'!$F$91&gt;0,0.00025*C350,0),0))</f>
        <v>0</v>
      </c>
      <c r="L351" s="89">
        <v>335</v>
      </c>
      <c r="M351" s="237" t="e">
        <f t="shared" si="57"/>
        <v>#DIV/0!</v>
      </c>
      <c r="N351" s="142" t="e">
        <f t="shared" si="52"/>
        <v>#DIV/0!</v>
      </c>
      <c r="O351" s="142" t="e">
        <f t="shared" si="53"/>
        <v>#DIV/0!</v>
      </c>
      <c r="P351" s="142" t="e">
        <f t="shared" si="58"/>
        <v>#DIV/0!</v>
      </c>
      <c r="Q351" s="142" t="e">
        <f t="shared" si="59"/>
        <v>#DIV/0!</v>
      </c>
      <c r="R351" s="184">
        <f>IF('prijem -inna mena'!$I$90=TRUE,IF($C$11&gt;0,0.00025*N350,0),IF('prijem -inna mena'!$I$91=TRUE,IF('prijem -inna mena'!$F$91&gt;0,0.00025*N350*-1,0),0))</f>
        <v>0</v>
      </c>
    </row>
    <row r="352" spans="1:18" x14ac:dyDescent="0.2">
      <c r="A352" s="89">
        <v>336</v>
      </c>
      <c r="B352" s="237" t="e">
        <f t="shared" si="54"/>
        <v>#NUM!</v>
      </c>
      <c r="C352" s="142" t="e">
        <f t="shared" si="50"/>
        <v>#NUM!</v>
      </c>
      <c r="D352" s="142" t="e">
        <f t="shared" si="55"/>
        <v>#NUM!</v>
      </c>
      <c r="E352" s="142" t="e">
        <f t="shared" si="56"/>
        <v>#NUM!</v>
      </c>
      <c r="F352" s="142" t="e">
        <f t="shared" si="51"/>
        <v>#NUM!</v>
      </c>
      <c r="G352" s="184">
        <f>IF('prijem -inna mena'!$I$90=TRUE,IF($C$11&gt;0,0.00025*C351,0),IF('prijem -inna mena'!$I$91=TRUE,IF('prijem -inna mena'!$F$91&gt;0,0.00025*C351,0),0))</f>
        <v>0</v>
      </c>
      <c r="L352" s="89">
        <v>336</v>
      </c>
      <c r="M352" s="237" t="e">
        <f t="shared" si="57"/>
        <v>#DIV/0!</v>
      </c>
      <c r="N352" s="142" t="e">
        <f t="shared" si="52"/>
        <v>#DIV/0!</v>
      </c>
      <c r="O352" s="142" t="e">
        <f t="shared" si="53"/>
        <v>#DIV/0!</v>
      </c>
      <c r="P352" s="142" t="e">
        <f t="shared" si="58"/>
        <v>#DIV/0!</v>
      </c>
      <c r="Q352" s="142" t="e">
        <f t="shared" si="59"/>
        <v>#DIV/0!</v>
      </c>
      <c r="R352" s="184">
        <f>IF('prijem -inna mena'!$I$90=TRUE,IF($C$11&gt;0,0.00025*N351,0),IF('prijem -inna mena'!$I$91=TRUE,IF('prijem -inna mena'!$F$91&gt;0,0.00025*N351*-1,0),0))</f>
        <v>0</v>
      </c>
    </row>
    <row r="353" spans="1:18" x14ac:dyDescent="0.2">
      <c r="A353" s="89">
        <v>337</v>
      </c>
      <c r="B353" s="237" t="e">
        <f t="shared" si="54"/>
        <v>#NUM!</v>
      </c>
      <c r="C353" s="142" t="e">
        <f t="shared" si="50"/>
        <v>#NUM!</v>
      </c>
      <c r="D353" s="142" t="e">
        <f t="shared" si="55"/>
        <v>#NUM!</v>
      </c>
      <c r="E353" s="142" t="e">
        <f t="shared" si="56"/>
        <v>#NUM!</v>
      </c>
      <c r="F353" s="142" t="e">
        <f t="shared" si="51"/>
        <v>#NUM!</v>
      </c>
      <c r="G353" s="184">
        <f>IF('prijem -inna mena'!$I$90=TRUE,IF($C$11&gt;0,0.00025*C352,0),IF('prijem -inna mena'!$I$91=TRUE,IF('prijem -inna mena'!$F$91&gt;0,0.00025*C352,0),0))</f>
        <v>0</v>
      </c>
      <c r="L353" s="89">
        <v>337</v>
      </c>
      <c r="M353" s="237" t="e">
        <f t="shared" si="57"/>
        <v>#DIV/0!</v>
      </c>
      <c r="N353" s="142" t="e">
        <f t="shared" si="52"/>
        <v>#DIV/0!</v>
      </c>
      <c r="O353" s="142" t="e">
        <f t="shared" si="53"/>
        <v>#DIV/0!</v>
      </c>
      <c r="P353" s="142" t="e">
        <f t="shared" si="58"/>
        <v>#DIV/0!</v>
      </c>
      <c r="Q353" s="142" t="e">
        <f t="shared" si="59"/>
        <v>#DIV/0!</v>
      </c>
      <c r="R353" s="184">
        <f>IF('prijem -inna mena'!$I$90=TRUE,IF($C$11&gt;0,0.00025*N352,0),IF('prijem -inna mena'!$I$91=TRUE,IF('prijem -inna mena'!$F$91&gt;0,0.00025*N352*-1,0),0))</f>
        <v>0</v>
      </c>
    </row>
    <row r="354" spans="1:18" x14ac:dyDescent="0.2">
      <c r="A354" s="89">
        <v>338</v>
      </c>
      <c r="B354" s="237" t="e">
        <f t="shared" si="54"/>
        <v>#NUM!</v>
      </c>
      <c r="C354" s="142" t="e">
        <f t="shared" si="50"/>
        <v>#NUM!</v>
      </c>
      <c r="D354" s="142" t="e">
        <f t="shared" si="55"/>
        <v>#NUM!</v>
      </c>
      <c r="E354" s="142" t="e">
        <f t="shared" si="56"/>
        <v>#NUM!</v>
      </c>
      <c r="F354" s="142" t="e">
        <f t="shared" si="51"/>
        <v>#NUM!</v>
      </c>
      <c r="G354" s="184">
        <f>IF('prijem -inna mena'!$I$90=TRUE,IF($C$11&gt;0,0.00025*C353,0),IF('prijem -inna mena'!$I$91=TRUE,IF('prijem -inna mena'!$F$91&gt;0,0.00025*C353,0),0))</f>
        <v>0</v>
      </c>
      <c r="L354" s="89">
        <v>338</v>
      </c>
      <c r="M354" s="237" t="e">
        <f t="shared" si="57"/>
        <v>#DIV/0!</v>
      </c>
      <c r="N354" s="142" t="e">
        <f t="shared" si="52"/>
        <v>#DIV/0!</v>
      </c>
      <c r="O354" s="142" t="e">
        <f t="shared" si="53"/>
        <v>#DIV/0!</v>
      </c>
      <c r="P354" s="142" t="e">
        <f t="shared" si="58"/>
        <v>#DIV/0!</v>
      </c>
      <c r="Q354" s="142" t="e">
        <f t="shared" si="59"/>
        <v>#DIV/0!</v>
      </c>
      <c r="R354" s="184">
        <f>IF('prijem -inna mena'!$I$90=TRUE,IF($C$11&gt;0,0.00025*N353,0),IF('prijem -inna mena'!$I$91=TRUE,IF('prijem -inna mena'!$F$91&gt;0,0.00025*N353*-1,0),0))</f>
        <v>0</v>
      </c>
    </row>
    <row r="355" spans="1:18" x14ac:dyDescent="0.2">
      <c r="A355" s="89">
        <v>339</v>
      </c>
      <c r="B355" s="237" t="e">
        <f t="shared" si="54"/>
        <v>#NUM!</v>
      </c>
      <c r="C355" s="142" t="e">
        <f t="shared" si="50"/>
        <v>#NUM!</v>
      </c>
      <c r="D355" s="142" t="e">
        <f t="shared" si="55"/>
        <v>#NUM!</v>
      </c>
      <c r="E355" s="142" t="e">
        <f t="shared" si="56"/>
        <v>#NUM!</v>
      </c>
      <c r="F355" s="142" t="e">
        <f t="shared" si="51"/>
        <v>#NUM!</v>
      </c>
      <c r="G355" s="184">
        <f>IF('prijem -inna mena'!$I$90=TRUE,IF($C$11&gt;0,0.00025*C354,0),IF('prijem -inna mena'!$I$91=TRUE,IF('prijem -inna mena'!$F$91&gt;0,0.00025*C354,0),0))</f>
        <v>0</v>
      </c>
      <c r="L355" s="89">
        <v>339</v>
      </c>
      <c r="M355" s="237" t="e">
        <f t="shared" si="57"/>
        <v>#DIV/0!</v>
      </c>
      <c r="N355" s="142" t="e">
        <f t="shared" si="52"/>
        <v>#DIV/0!</v>
      </c>
      <c r="O355" s="142" t="e">
        <f t="shared" si="53"/>
        <v>#DIV/0!</v>
      </c>
      <c r="P355" s="142" t="e">
        <f t="shared" si="58"/>
        <v>#DIV/0!</v>
      </c>
      <c r="Q355" s="142" t="e">
        <f t="shared" si="59"/>
        <v>#DIV/0!</v>
      </c>
      <c r="R355" s="184">
        <f>IF('prijem -inna mena'!$I$90=TRUE,IF($C$11&gt;0,0.00025*N354,0),IF('prijem -inna mena'!$I$91=TRUE,IF('prijem -inna mena'!$F$91&gt;0,0.00025*N354*-1,0),0))</f>
        <v>0</v>
      </c>
    </row>
    <row r="356" spans="1:18" x14ac:dyDescent="0.2">
      <c r="A356" s="89">
        <v>340</v>
      </c>
      <c r="B356" s="237" t="e">
        <f t="shared" si="54"/>
        <v>#NUM!</v>
      </c>
      <c r="C356" s="142" t="e">
        <f t="shared" si="50"/>
        <v>#NUM!</v>
      </c>
      <c r="D356" s="142" t="e">
        <f t="shared" si="55"/>
        <v>#NUM!</v>
      </c>
      <c r="E356" s="142" t="e">
        <f t="shared" si="56"/>
        <v>#NUM!</v>
      </c>
      <c r="F356" s="142" t="e">
        <f t="shared" si="51"/>
        <v>#NUM!</v>
      </c>
      <c r="G356" s="184">
        <f>IF('prijem -inna mena'!$I$90=TRUE,IF($C$11&gt;0,0.00025*C355,0),IF('prijem -inna mena'!$I$91=TRUE,IF('prijem -inna mena'!$F$91&gt;0,0.00025*C355,0),0))</f>
        <v>0</v>
      </c>
      <c r="L356" s="89">
        <v>340</v>
      </c>
      <c r="M356" s="237" t="e">
        <f t="shared" si="57"/>
        <v>#DIV/0!</v>
      </c>
      <c r="N356" s="142" t="e">
        <f t="shared" si="52"/>
        <v>#DIV/0!</v>
      </c>
      <c r="O356" s="142" t="e">
        <f t="shared" si="53"/>
        <v>#DIV/0!</v>
      </c>
      <c r="P356" s="142" t="e">
        <f t="shared" si="58"/>
        <v>#DIV/0!</v>
      </c>
      <c r="Q356" s="142" t="e">
        <f t="shared" si="59"/>
        <v>#DIV/0!</v>
      </c>
      <c r="R356" s="184">
        <f>IF('prijem -inna mena'!$I$90=TRUE,IF($C$11&gt;0,0.00025*N355,0),IF('prijem -inna mena'!$I$91=TRUE,IF('prijem -inna mena'!$F$91&gt;0,0.00025*N355*-1,0),0))</f>
        <v>0</v>
      </c>
    </row>
    <row r="357" spans="1:18" x14ac:dyDescent="0.2">
      <c r="A357" s="89">
        <v>341</v>
      </c>
      <c r="B357" s="237" t="e">
        <f t="shared" si="54"/>
        <v>#NUM!</v>
      </c>
      <c r="C357" s="142" t="e">
        <f t="shared" si="50"/>
        <v>#NUM!</v>
      </c>
      <c r="D357" s="142" t="e">
        <f t="shared" si="55"/>
        <v>#NUM!</v>
      </c>
      <c r="E357" s="142" t="e">
        <f t="shared" si="56"/>
        <v>#NUM!</v>
      </c>
      <c r="F357" s="142" t="e">
        <f t="shared" si="51"/>
        <v>#NUM!</v>
      </c>
      <c r="G357" s="184">
        <f>IF('prijem -inna mena'!$I$90=TRUE,IF($C$11&gt;0,0.00025*C356,0),IF('prijem -inna mena'!$I$91=TRUE,IF('prijem -inna mena'!$F$91&gt;0,0.00025*C356,0),0))</f>
        <v>0</v>
      </c>
      <c r="L357" s="89">
        <v>341</v>
      </c>
      <c r="M357" s="237" t="e">
        <f t="shared" si="57"/>
        <v>#DIV/0!</v>
      </c>
      <c r="N357" s="142" t="e">
        <f t="shared" si="52"/>
        <v>#DIV/0!</v>
      </c>
      <c r="O357" s="142" t="e">
        <f t="shared" si="53"/>
        <v>#DIV/0!</v>
      </c>
      <c r="P357" s="142" t="e">
        <f t="shared" si="58"/>
        <v>#DIV/0!</v>
      </c>
      <c r="Q357" s="142" t="e">
        <f t="shared" si="59"/>
        <v>#DIV/0!</v>
      </c>
      <c r="R357" s="184">
        <f>IF('prijem -inna mena'!$I$90=TRUE,IF($C$11&gt;0,0.00025*N356,0),IF('prijem -inna mena'!$I$91=TRUE,IF('prijem -inna mena'!$F$91&gt;0,0.00025*N356*-1,0),0))</f>
        <v>0</v>
      </c>
    </row>
    <row r="358" spans="1:18" x14ac:dyDescent="0.2">
      <c r="A358" s="89">
        <v>342</v>
      </c>
      <c r="B358" s="237" t="e">
        <f t="shared" si="54"/>
        <v>#NUM!</v>
      </c>
      <c r="C358" s="142" t="e">
        <f t="shared" si="50"/>
        <v>#NUM!</v>
      </c>
      <c r="D358" s="142" t="e">
        <f t="shared" si="55"/>
        <v>#NUM!</v>
      </c>
      <c r="E358" s="142" t="e">
        <f t="shared" si="56"/>
        <v>#NUM!</v>
      </c>
      <c r="F358" s="142" t="e">
        <f t="shared" si="51"/>
        <v>#NUM!</v>
      </c>
      <c r="G358" s="184">
        <f>IF('prijem -inna mena'!$I$90=TRUE,IF($C$11&gt;0,0.00025*C357,0),IF('prijem -inna mena'!$I$91=TRUE,IF('prijem -inna mena'!$F$91&gt;0,0.00025*C357,0),0))</f>
        <v>0</v>
      </c>
      <c r="L358" s="89">
        <v>342</v>
      </c>
      <c r="M358" s="237" t="e">
        <f t="shared" si="57"/>
        <v>#DIV/0!</v>
      </c>
      <c r="N358" s="142" t="e">
        <f t="shared" si="52"/>
        <v>#DIV/0!</v>
      </c>
      <c r="O358" s="142" t="e">
        <f t="shared" si="53"/>
        <v>#DIV/0!</v>
      </c>
      <c r="P358" s="142" t="e">
        <f t="shared" si="58"/>
        <v>#DIV/0!</v>
      </c>
      <c r="Q358" s="142" t="e">
        <f t="shared" si="59"/>
        <v>#DIV/0!</v>
      </c>
      <c r="R358" s="184">
        <f>IF('prijem -inna mena'!$I$90=TRUE,IF($C$11&gt;0,0.00025*N357,0),IF('prijem -inna mena'!$I$91=TRUE,IF('prijem -inna mena'!$F$91&gt;0,0.00025*N357*-1,0),0))</f>
        <v>0</v>
      </c>
    </row>
    <row r="359" spans="1:18" x14ac:dyDescent="0.2">
      <c r="A359" s="89">
        <v>343</v>
      </c>
      <c r="B359" s="237" t="e">
        <f t="shared" si="54"/>
        <v>#NUM!</v>
      </c>
      <c r="C359" s="142" t="e">
        <f t="shared" si="50"/>
        <v>#NUM!</v>
      </c>
      <c r="D359" s="142" t="e">
        <f t="shared" si="55"/>
        <v>#NUM!</v>
      </c>
      <c r="E359" s="142" t="e">
        <f t="shared" si="56"/>
        <v>#NUM!</v>
      </c>
      <c r="F359" s="142" t="e">
        <f t="shared" si="51"/>
        <v>#NUM!</v>
      </c>
      <c r="G359" s="184">
        <f>IF('prijem -inna mena'!$I$90=TRUE,IF($C$11&gt;0,0.00025*C358,0),IF('prijem -inna mena'!$I$91=TRUE,IF('prijem -inna mena'!$F$91&gt;0,0.00025*C358,0),0))</f>
        <v>0</v>
      </c>
      <c r="L359" s="89">
        <v>343</v>
      </c>
      <c r="M359" s="237" t="e">
        <f t="shared" si="57"/>
        <v>#DIV/0!</v>
      </c>
      <c r="N359" s="142" t="e">
        <f t="shared" si="52"/>
        <v>#DIV/0!</v>
      </c>
      <c r="O359" s="142" t="e">
        <f t="shared" si="53"/>
        <v>#DIV/0!</v>
      </c>
      <c r="P359" s="142" t="e">
        <f t="shared" si="58"/>
        <v>#DIV/0!</v>
      </c>
      <c r="Q359" s="142" t="e">
        <f t="shared" si="59"/>
        <v>#DIV/0!</v>
      </c>
      <c r="R359" s="184">
        <f>IF('prijem -inna mena'!$I$90=TRUE,IF($C$11&gt;0,0.00025*N358,0),IF('prijem -inna mena'!$I$91=TRUE,IF('prijem -inna mena'!$F$91&gt;0,0.00025*N358*-1,0),0))</f>
        <v>0</v>
      </c>
    </row>
    <row r="360" spans="1:18" x14ac:dyDescent="0.2">
      <c r="A360" s="89">
        <v>344</v>
      </c>
      <c r="B360" s="237" t="e">
        <f t="shared" si="54"/>
        <v>#NUM!</v>
      </c>
      <c r="C360" s="142" t="e">
        <f t="shared" si="50"/>
        <v>#NUM!</v>
      </c>
      <c r="D360" s="142" t="e">
        <f t="shared" si="55"/>
        <v>#NUM!</v>
      </c>
      <c r="E360" s="142" t="e">
        <f t="shared" si="56"/>
        <v>#NUM!</v>
      </c>
      <c r="F360" s="142" t="e">
        <f t="shared" si="51"/>
        <v>#NUM!</v>
      </c>
      <c r="G360" s="184">
        <f>IF('prijem -inna mena'!$I$90=TRUE,IF($C$11&gt;0,0.00025*C359,0),IF('prijem -inna mena'!$I$91=TRUE,IF('prijem -inna mena'!$F$91&gt;0,0.00025*C359,0),0))</f>
        <v>0</v>
      </c>
      <c r="L360" s="89">
        <v>344</v>
      </c>
      <c r="M360" s="237" t="e">
        <f t="shared" si="57"/>
        <v>#DIV/0!</v>
      </c>
      <c r="N360" s="142" t="e">
        <f t="shared" si="52"/>
        <v>#DIV/0!</v>
      </c>
      <c r="O360" s="142" t="e">
        <f t="shared" si="53"/>
        <v>#DIV/0!</v>
      </c>
      <c r="P360" s="142" t="e">
        <f t="shared" si="58"/>
        <v>#DIV/0!</v>
      </c>
      <c r="Q360" s="142" t="e">
        <f t="shared" si="59"/>
        <v>#DIV/0!</v>
      </c>
      <c r="R360" s="184">
        <f>IF('prijem -inna mena'!$I$90=TRUE,IF($C$11&gt;0,0.00025*N359,0),IF('prijem -inna mena'!$I$91=TRUE,IF('prijem -inna mena'!$F$91&gt;0,0.00025*N359*-1,0),0))</f>
        <v>0</v>
      </c>
    </row>
    <row r="361" spans="1:18" x14ac:dyDescent="0.2">
      <c r="A361" s="89">
        <v>345</v>
      </c>
      <c r="B361" s="237" t="e">
        <f t="shared" si="54"/>
        <v>#NUM!</v>
      </c>
      <c r="C361" s="142" t="e">
        <f t="shared" si="50"/>
        <v>#NUM!</v>
      </c>
      <c r="D361" s="142" t="e">
        <f t="shared" si="55"/>
        <v>#NUM!</v>
      </c>
      <c r="E361" s="142" t="e">
        <f t="shared" si="56"/>
        <v>#NUM!</v>
      </c>
      <c r="F361" s="142" t="e">
        <f t="shared" si="51"/>
        <v>#NUM!</v>
      </c>
      <c r="G361" s="184">
        <f>IF('prijem -inna mena'!$I$90=TRUE,IF($C$11&gt;0,0.00025*C360,0),IF('prijem -inna mena'!$I$91=TRUE,IF('prijem -inna mena'!$F$91&gt;0,0.00025*C360,0),0))</f>
        <v>0</v>
      </c>
      <c r="L361" s="89">
        <v>345</v>
      </c>
      <c r="M361" s="237" t="e">
        <f t="shared" si="57"/>
        <v>#DIV/0!</v>
      </c>
      <c r="N361" s="142" t="e">
        <f t="shared" si="52"/>
        <v>#DIV/0!</v>
      </c>
      <c r="O361" s="142" t="e">
        <f t="shared" si="53"/>
        <v>#DIV/0!</v>
      </c>
      <c r="P361" s="142" t="e">
        <f t="shared" si="58"/>
        <v>#DIV/0!</v>
      </c>
      <c r="Q361" s="142" t="e">
        <f t="shared" si="59"/>
        <v>#DIV/0!</v>
      </c>
      <c r="R361" s="184">
        <f>IF('prijem -inna mena'!$I$90=TRUE,IF($C$11&gt;0,0.00025*N360,0),IF('prijem -inna mena'!$I$91=TRUE,IF('prijem -inna mena'!$F$91&gt;0,0.00025*N360*-1,0),0))</f>
        <v>0</v>
      </c>
    </row>
    <row r="362" spans="1:18" x14ac:dyDescent="0.2">
      <c r="A362" s="89">
        <v>346</v>
      </c>
      <c r="B362" s="237" t="e">
        <f t="shared" si="54"/>
        <v>#NUM!</v>
      </c>
      <c r="C362" s="142" t="e">
        <f t="shared" si="50"/>
        <v>#NUM!</v>
      </c>
      <c r="D362" s="142" t="e">
        <f t="shared" si="55"/>
        <v>#NUM!</v>
      </c>
      <c r="E362" s="142" t="e">
        <f t="shared" si="56"/>
        <v>#NUM!</v>
      </c>
      <c r="F362" s="142" t="e">
        <f t="shared" si="51"/>
        <v>#NUM!</v>
      </c>
      <c r="G362" s="184">
        <f>IF('prijem -inna mena'!$I$90=TRUE,IF($C$11&gt;0,0.00025*C361,0),IF('prijem -inna mena'!$I$91=TRUE,IF('prijem -inna mena'!$F$91&gt;0,0.00025*C361,0),0))</f>
        <v>0</v>
      </c>
      <c r="L362" s="89">
        <v>346</v>
      </c>
      <c r="M362" s="237" t="e">
        <f t="shared" si="57"/>
        <v>#DIV/0!</v>
      </c>
      <c r="N362" s="142" t="e">
        <f t="shared" si="52"/>
        <v>#DIV/0!</v>
      </c>
      <c r="O362" s="142" t="e">
        <f t="shared" si="53"/>
        <v>#DIV/0!</v>
      </c>
      <c r="P362" s="142" t="e">
        <f t="shared" si="58"/>
        <v>#DIV/0!</v>
      </c>
      <c r="Q362" s="142" t="e">
        <f t="shared" si="59"/>
        <v>#DIV/0!</v>
      </c>
      <c r="R362" s="184">
        <f>IF('prijem -inna mena'!$I$90=TRUE,IF($C$11&gt;0,0.00025*N361,0),IF('prijem -inna mena'!$I$91=TRUE,IF('prijem -inna mena'!$F$91&gt;0,0.00025*N361*-1,0),0))</f>
        <v>0</v>
      </c>
    </row>
    <row r="363" spans="1:18" x14ac:dyDescent="0.2">
      <c r="A363" s="89">
        <v>347</v>
      </c>
      <c r="B363" s="237" t="e">
        <f t="shared" si="54"/>
        <v>#NUM!</v>
      </c>
      <c r="C363" s="142" t="e">
        <f t="shared" si="50"/>
        <v>#NUM!</v>
      </c>
      <c r="D363" s="142" t="e">
        <f t="shared" si="55"/>
        <v>#NUM!</v>
      </c>
      <c r="E363" s="142" t="e">
        <f t="shared" si="56"/>
        <v>#NUM!</v>
      </c>
      <c r="F363" s="142" t="e">
        <f t="shared" si="51"/>
        <v>#NUM!</v>
      </c>
      <c r="G363" s="184">
        <f>IF('prijem -inna mena'!$I$90=TRUE,IF($C$11&gt;0,0.00025*C362,0),IF('prijem -inna mena'!$I$91=TRUE,IF('prijem -inna mena'!$F$91&gt;0,0.00025*C362,0),0))</f>
        <v>0</v>
      </c>
      <c r="L363" s="89">
        <v>347</v>
      </c>
      <c r="M363" s="237" t="e">
        <f t="shared" si="57"/>
        <v>#DIV/0!</v>
      </c>
      <c r="N363" s="142" t="e">
        <f t="shared" si="52"/>
        <v>#DIV/0!</v>
      </c>
      <c r="O363" s="142" t="e">
        <f t="shared" si="53"/>
        <v>#DIV/0!</v>
      </c>
      <c r="P363" s="142" t="e">
        <f t="shared" si="58"/>
        <v>#DIV/0!</v>
      </c>
      <c r="Q363" s="142" t="e">
        <f t="shared" si="59"/>
        <v>#DIV/0!</v>
      </c>
      <c r="R363" s="184">
        <f>IF('prijem -inna mena'!$I$90=TRUE,IF($C$11&gt;0,0.00025*N362,0),IF('prijem -inna mena'!$I$91=TRUE,IF('prijem -inna mena'!$F$91&gt;0,0.00025*N362*-1,0),0))</f>
        <v>0</v>
      </c>
    </row>
    <row r="364" spans="1:18" x14ac:dyDescent="0.2">
      <c r="A364" s="89">
        <v>348</v>
      </c>
      <c r="B364" s="237" t="e">
        <f t="shared" si="54"/>
        <v>#NUM!</v>
      </c>
      <c r="C364" s="142" t="e">
        <f t="shared" si="50"/>
        <v>#NUM!</v>
      </c>
      <c r="D364" s="142" t="e">
        <f t="shared" si="55"/>
        <v>#NUM!</v>
      </c>
      <c r="E364" s="142" t="e">
        <f t="shared" si="56"/>
        <v>#NUM!</v>
      </c>
      <c r="F364" s="142" t="e">
        <f t="shared" si="51"/>
        <v>#NUM!</v>
      </c>
      <c r="G364" s="184">
        <f>IF('prijem -inna mena'!$I$90=TRUE,IF($C$11&gt;0,0.00025*C363,0),IF('prijem -inna mena'!$I$91=TRUE,IF('prijem -inna mena'!$F$91&gt;0,0.00025*C363,0),0))</f>
        <v>0</v>
      </c>
      <c r="L364" s="89">
        <v>348</v>
      </c>
      <c r="M364" s="237" t="e">
        <f t="shared" si="57"/>
        <v>#DIV/0!</v>
      </c>
      <c r="N364" s="142" t="e">
        <f t="shared" si="52"/>
        <v>#DIV/0!</v>
      </c>
      <c r="O364" s="142" t="e">
        <f t="shared" si="53"/>
        <v>#DIV/0!</v>
      </c>
      <c r="P364" s="142" t="e">
        <f t="shared" si="58"/>
        <v>#DIV/0!</v>
      </c>
      <c r="Q364" s="142" t="e">
        <f t="shared" si="59"/>
        <v>#DIV/0!</v>
      </c>
      <c r="R364" s="184">
        <f>IF('prijem -inna mena'!$I$90=TRUE,IF($C$11&gt;0,0.00025*N363,0),IF('prijem -inna mena'!$I$91=TRUE,IF('prijem -inna mena'!$F$91&gt;0,0.00025*N363*-1,0),0))</f>
        <v>0</v>
      </c>
    </row>
    <row r="365" spans="1:18" x14ac:dyDescent="0.2">
      <c r="A365" s="89">
        <v>349</v>
      </c>
      <c r="B365" s="237" t="e">
        <f t="shared" si="54"/>
        <v>#NUM!</v>
      </c>
      <c r="C365" s="142" t="e">
        <f t="shared" si="50"/>
        <v>#NUM!</v>
      </c>
      <c r="D365" s="142" t="e">
        <f t="shared" si="55"/>
        <v>#NUM!</v>
      </c>
      <c r="E365" s="142" t="e">
        <f t="shared" si="56"/>
        <v>#NUM!</v>
      </c>
      <c r="F365" s="142" t="e">
        <f t="shared" si="51"/>
        <v>#NUM!</v>
      </c>
      <c r="G365" s="184">
        <f>IF('prijem -inna mena'!$I$90=TRUE,IF($C$11&gt;0,0.00025*C364,0),IF('prijem -inna mena'!$I$91=TRUE,IF('prijem -inna mena'!$F$91&gt;0,0.00025*C364,0),0))</f>
        <v>0</v>
      </c>
      <c r="L365" s="89">
        <v>349</v>
      </c>
      <c r="M365" s="237" t="e">
        <f t="shared" si="57"/>
        <v>#DIV/0!</v>
      </c>
      <c r="N365" s="142" t="e">
        <f t="shared" si="52"/>
        <v>#DIV/0!</v>
      </c>
      <c r="O365" s="142" t="e">
        <f t="shared" si="53"/>
        <v>#DIV/0!</v>
      </c>
      <c r="P365" s="142" t="e">
        <f t="shared" si="58"/>
        <v>#DIV/0!</v>
      </c>
      <c r="Q365" s="142" t="e">
        <f t="shared" si="59"/>
        <v>#DIV/0!</v>
      </c>
      <c r="R365" s="184">
        <f>IF('prijem -inna mena'!$I$90=TRUE,IF($C$11&gt;0,0.00025*N364,0),IF('prijem -inna mena'!$I$91=TRUE,IF('prijem -inna mena'!$F$91&gt;0,0.00025*N364*-1,0),0))</f>
        <v>0</v>
      </c>
    </row>
    <row r="366" spans="1:18" x14ac:dyDescent="0.2">
      <c r="A366" s="89">
        <v>350</v>
      </c>
      <c r="B366" s="237" t="e">
        <f t="shared" si="54"/>
        <v>#NUM!</v>
      </c>
      <c r="C366" s="142" t="e">
        <f t="shared" si="50"/>
        <v>#NUM!</v>
      </c>
      <c r="D366" s="142" t="e">
        <f t="shared" si="55"/>
        <v>#NUM!</v>
      </c>
      <c r="E366" s="142" t="e">
        <f t="shared" si="56"/>
        <v>#NUM!</v>
      </c>
      <c r="F366" s="142" t="e">
        <f t="shared" si="51"/>
        <v>#NUM!</v>
      </c>
      <c r="G366" s="184">
        <f>IF('prijem -inna mena'!$I$90=TRUE,IF($C$11&gt;0,0.00025*C365,0),IF('prijem -inna mena'!$I$91=TRUE,IF('prijem -inna mena'!$F$91&gt;0,0.00025*C365,0),0))</f>
        <v>0</v>
      </c>
      <c r="L366" s="89">
        <v>350</v>
      </c>
      <c r="M366" s="237" t="e">
        <f t="shared" si="57"/>
        <v>#DIV/0!</v>
      </c>
      <c r="N366" s="142" t="e">
        <f t="shared" si="52"/>
        <v>#DIV/0!</v>
      </c>
      <c r="O366" s="142" t="e">
        <f t="shared" si="53"/>
        <v>#DIV/0!</v>
      </c>
      <c r="P366" s="142" t="e">
        <f t="shared" si="58"/>
        <v>#DIV/0!</v>
      </c>
      <c r="Q366" s="142" t="e">
        <f t="shared" si="59"/>
        <v>#DIV/0!</v>
      </c>
      <c r="R366" s="184">
        <f>IF('prijem -inna mena'!$I$90=TRUE,IF($C$11&gt;0,0.00025*N365,0),IF('prijem -inna mena'!$I$91=TRUE,IF('prijem -inna mena'!$F$91&gt;0,0.00025*N365*-1,0),0))</f>
        <v>0</v>
      </c>
    </row>
    <row r="367" spans="1:18" x14ac:dyDescent="0.2">
      <c r="A367" s="89">
        <v>351</v>
      </c>
      <c r="B367" s="237" t="e">
        <f t="shared" si="54"/>
        <v>#NUM!</v>
      </c>
      <c r="C367" s="142" t="e">
        <f t="shared" si="50"/>
        <v>#NUM!</v>
      </c>
      <c r="D367" s="142" t="e">
        <f t="shared" si="55"/>
        <v>#NUM!</v>
      </c>
      <c r="E367" s="142" t="e">
        <f t="shared" si="56"/>
        <v>#NUM!</v>
      </c>
      <c r="F367" s="142" t="e">
        <f t="shared" si="51"/>
        <v>#NUM!</v>
      </c>
      <c r="G367" s="184">
        <f>IF('prijem -inna mena'!$I$90=TRUE,IF($C$11&gt;0,0.00025*C366,0),IF('prijem -inna mena'!$I$91=TRUE,IF('prijem -inna mena'!$F$91&gt;0,0.00025*C366,0),0))</f>
        <v>0</v>
      </c>
      <c r="L367" s="89">
        <v>351</v>
      </c>
      <c r="M367" s="237" t="e">
        <f t="shared" si="57"/>
        <v>#DIV/0!</v>
      </c>
      <c r="N367" s="142" t="e">
        <f t="shared" si="52"/>
        <v>#DIV/0!</v>
      </c>
      <c r="O367" s="142" t="e">
        <f t="shared" si="53"/>
        <v>#DIV/0!</v>
      </c>
      <c r="P367" s="142" t="e">
        <f t="shared" si="58"/>
        <v>#DIV/0!</v>
      </c>
      <c r="Q367" s="142" t="e">
        <f t="shared" si="59"/>
        <v>#DIV/0!</v>
      </c>
      <c r="R367" s="184">
        <f>IF('prijem -inna mena'!$I$90=TRUE,IF($C$11&gt;0,0.00025*N366,0),IF('prijem -inna mena'!$I$91=TRUE,IF('prijem -inna mena'!$F$91&gt;0,0.00025*N366*-1,0),0))</f>
        <v>0</v>
      </c>
    </row>
    <row r="368" spans="1:18" x14ac:dyDescent="0.2">
      <c r="A368" s="89">
        <v>352</v>
      </c>
      <c r="B368" s="237" t="e">
        <f t="shared" si="54"/>
        <v>#NUM!</v>
      </c>
      <c r="C368" s="142" t="e">
        <f t="shared" si="50"/>
        <v>#NUM!</v>
      </c>
      <c r="D368" s="142" t="e">
        <f t="shared" si="55"/>
        <v>#NUM!</v>
      </c>
      <c r="E368" s="142" t="e">
        <f t="shared" si="56"/>
        <v>#NUM!</v>
      </c>
      <c r="F368" s="142" t="e">
        <f t="shared" si="51"/>
        <v>#NUM!</v>
      </c>
      <c r="G368" s="184">
        <f>IF('prijem -inna mena'!$I$90=TRUE,IF($C$11&gt;0,0.00025*C367,0),IF('prijem -inna mena'!$I$91=TRUE,IF('prijem -inna mena'!$F$91&gt;0,0.00025*C367,0),0))</f>
        <v>0</v>
      </c>
      <c r="L368" s="89">
        <v>352</v>
      </c>
      <c r="M368" s="237" t="e">
        <f t="shared" si="57"/>
        <v>#DIV/0!</v>
      </c>
      <c r="N368" s="142" t="e">
        <f t="shared" si="52"/>
        <v>#DIV/0!</v>
      </c>
      <c r="O368" s="142" t="e">
        <f t="shared" si="53"/>
        <v>#DIV/0!</v>
      </c>
      <c r="P368" s="142" t="e">
        <f t="shared" si="58"/>
        <v>#DIV/0!</v>
      </c>
      <c r="Q368" s="142" t="e">
        <f t="shared" si="59"/>
        <v>#DIV/0!</v>
      </c>
      <c r="R368" s="184">
        <f>IF('prijem -inna mena'!$I$90=TRUE,IF($C$11&gt;0,0.00025*N367,0),IF('prijem -inna mena'!$I$91=TRUE,IF('prijem -inna mena'!$F$91&gt;0,0.00025*N367*-1,0),0))</f>
        <v>0</v>
      </c>
    </row>
    <row r="369" spans="1:18" x14ac:dyDescent="0.2">
      <c r="A369" s="89">
        <v>353</v>
      </c>
      <c r="B369" s="237" t="e">
        <f t="shared" si="54"/>
        <v>#NUM!</v>
      </c>
      <c r="C369" s="142" t="e">
        <f t="shared" si="50"/>
        <v>#NUM!</v>
      </c>
      <c r="D369" s="142" t="e">
        <f t="shared" si="55"/>
        <v>#NUM!</v>
      </c>
      <c r="E369" s="142" t="e">
        <f t="shared" si="56"/>
        <v>#NUM!</v>
      </c>
      <c r="F369" s="142" t="e">
        <f t="shared" si="51"/>
        <v>#NUM!</v>
      </c>
      <c r="G369" s="184">
        <f>IF('prijem -inna mena'!$I$90=TRUE,IF($C$11&gt;0,0.00025*C368,0),IF('prijem -inna mena'!$I$91=TRUE,IF('prijem -inna mena'!$F$91&gt;0,0.00025*C368,0),0))</f>
        <v>0</v>
      </c>
      <c r="L369" s="89">
        <v>353</v>
      </c>
      <c r="M369" s="237" t="e">
        <f t="shared" si="57"/>
        <v>#DIV/0!</v>
      </c>
      <c r="N369" s="142" t="e">
        <f t="shared" si="52"/>
        <v>#DIV/0!</v>
      </c>
      <c r="O369" s="142" t="e">
        <f t="shared" si="53"/>
        <v>#DIV/0!</v>
      </c>
      <c r="P369" s="142" t="e">
        <f t="shared" si="58"/>
        <v>#DIV/0!</v>
      </c>
      <c r="Q369" s="142" t="e">
        <f t="shared" si="59"/>
        <v>#DIV/0!</v>
      </c>
      <c r="R369" s="184">
        <f>IF('prijem -inna mena'!$I$90=TRUE,IF($C$11&gt;0,0.00025*N368,0),IF('prijem -inna mena'!$I$91=TRUE,IF('prijem -inna mena'!$F$91&gt;0,0.00025*N368*-1,0),0))</f>
        <v>0</v>
      </c>
    </row>
    <row r="370" spans="1:18" x14ac:dyDescent="0.2">
      <c r="A370" s="89">
        <v>354</v>
      </c>
      <c r="B370" s="237" t="e">
        <f t="shared" si="54"/>
        <v>#NUM!</v>
      </c>
      <c r="C370" s="142" t="e">
        <f t="shared" si="50"/>
        <v>#NUM!</v>
      </c>
      <c r="D370" s="142" t="e">
        <f t="shared" si="55"/>
        <v>#NUM!</v>
      </c>
      <c r="E370" s="142" t="e">
        <f t="shared" si="56"/>
        <v>#NUM!</v>
      </c>
      <c r="F370" s="142" t="e">
        <f t="shared" si="51"/>
        <v>#NUM!</v>
      </c>
      <c r="G370" s="184">
        <f>IF('prijem -inna mena'!$I$90=TRUE,IF($C$11&gt;0,0.00025*C369,0),IF('prijem -inna mena'!$I$91=TRUE,IF('prijem -inna mena'!$F$91&gt;0,0.00025*C369,0),0))</f>
        <v>0</v>
      </c>
      <c r="L370" s="89">
        <v>354</v>
      </c>
      <c r="M370" s="237" t="e">
        <f t="shared" si="57"/>
        <v>#DIV/0!</v>
      </c>
      <c r="N370" s="142" t="e">
        <f t="shared" si="52"/>
        <v>#DIV/0!</v>
      </c>
      <c r="O370" s="142" t="e">
        <f t="shared" si="53"/>
        <v>#DIV/0!</v>
      </c>
      <c r="P370" s="142" t="e">
        <f t="shared" si="58"/>
        <v>#DIV/0!</v>
      </c>
      <c r="Q370" s="142" t="e">
        <f t="shared" si="59"/>
        <v>#DIV/0!</v>
      </c>
      <c r="R370" s="184">
        <f>IF('prijem -inna mena'!$I$90=TRUE,IF($C$11&gt;0,0.00025*N369,0),IF('prijem -inna mena'!$I$91=TRUE,IF('prijem -inna mena'!$F$91&gt;0,0.00025*N369*-1,0),0))</f>
        <v>0</v>
      </c>
    </row>
    <row r="371" spans="1:18" x14ac:dyDescent="0.2">
      <c r="A371" s="89">
        <v>355</v>
      </c>
      <c r="B371" s="237" t="e">
        <f t="shared" si="54"/>
        <v>#NUM!</v>
      </c>
      <c r="C371" s="142" t="e">
        <f t="shared" si="50"/>
        <v>#NUM!</v>
      </c>
      <c r="D371" s="142" t="e">
        <f t="shared" si="55"/>
        <v>#NUM!</v>
      </c>
      <c r="E371" s="142" t="e">
        <f t="shared" si="56"/>
        <v>#NUM!</v>
      </c>
      <c r="F371" s="142" t="e">
        <f t="shared" si="51"/>
        <v>#NUM!</v>
      </c>
      <c r="G371" s="184">
        <f>IF('prijem -inna mena'!$I$90=TRUE,IF($C$11&gt;0,0.00025*C370,0),IF('prijem -inna mena'!$I$91=TRUE,IF('prijem -inna mena'!$F$91&gt;0,0.00025*C370,0),0))</f>
        <v>0</v>
      </c>
      <c r="L371" s="89">
        <v>355</v>
      </c>
      <c r="M371" s="237" t="e">
        <f t="shared" si="57"/>
        <v>#DIV/0!</v>
      </c>
      <c r="N371" s="142" t="e">
        <f t="shared" si="52"/>
        <v>#DIV/0!</v>
      </c>
      <c r="O371" s="142" t="e">
        <f t="shared" si="53"/>
        <v>#DIV/0!</v>
      </c>
      <c r="P371" s="142" t="e">
        <f t="shared" si="58"/>
        <v>#DIV/0!</v>
      </c>
      <c r="Q371" s="142" t="e">
        <f t="shared" si="59"/>
        <v>#DIV/0!</v>
      </c>
      <c r="R371" s="184">
        <f>IF('prijem -inna mena'!$I$90=TRUE,IF($C$11&gt;0,0.00025*N370,0),IF('prijem -inna mena'!$I$91=TRUE,IF('prijem -inna mena'!$F$91&gt;0,0.00025*N370*-1,0),0))</f>
        <v>0</v>
      </c>
    </row>
    <row r="372" spans="1:18" x14ac:dyDescent="0.2">
      <c r="A372" s="89">
        <v>356</v>
      </c>
      <c r="B372" s="237" t="e">
        <f t="shared" si="54"/>
        <v>#NUM!</v>
      </c>
      <c r="C372" s="142" t="e">
        <f t="shared" si="50"/>
        <v>#NUM!</v>
      </c>
      <c r="D372" s="142" t="e">
        <f t="shared" si="55"/>
        <v>#NUM!</v>
      </c>
      <c r="E372" s="142" t="e">
        <f t="shared" si="56"/>
        <v>#NUM!</v>
      </c>
      <c r="F372" s="142" t="e">
        <f t="shared" si="51"/>
        <v>#NUM!</v>
      </c>
      <c r="G372" s="184">
        <f>IF('prijem -inna mena'!$I$90=TRUE,IF($C$11&gt;0,0.00025*C371,0),IF('prijem -inna mena'!$I$91=TRUE,IF('prijem -inna mena'!$F$91&gt;0,0.00025*C371,0),0))</f>
        <v>0</v>
      </c>
      <c r="L372" s="89">
        <v>356</v>
      </c>
      <c r="M372" s="237" t="e">
        <f t="shared" si="57"/>
        <v>#DIV/0!</v>
      </c>
      <c r="N372" s="142" t="e">
        <f t="shared" si="52"/>
        <v>#DIV/0!</v>
      </c>
      <c r="O372" s="142" t="e">
        <f t="shared" si="53"/>
        <v>#DIV/0!</v>
      </c>
      <c r="P372" s="142" t="e">
        <f t="shared" si="58"/>
        <v>#DIV/0!</v>
      </c>
      <c r="Q372" s="142" t="e">
        <f t="shared" si="59"/>
        <v>#DIV/0!</v>
      </c>
      <c r="R372" s="184">
        <f>IF('prijem -inna mena'!$I$90=TRUE,IF($C$11&gt;0,0.00025*N371,0),IF('prijem -inna mena'!$I$91=TRUE,IF('prijem -inna mena'!$F$91&gt;0,0.00025*N371*-1,0),0))</f>
        <v>0</v>
      </c>
    </row>
    <row r="373" spans="1:18" x14ac:dyDescent="0.2">
      <c r="A373" s="89">
        <v>357</v>
      </c>
      <c r="B373" s="237" t="e">
        <f t="shared" si="54"/>
        <v>#NUM!</v>
      </c>
      <c r="C373" s="142" t="e">
        <f t="shared" si="50"/>
        <v>#NUM!</v>
      </c>
      <c r="D373" s="142" t="e">
        <f t="shared" si="55"/>
        <v>#NUM!</v>
      </c>
      <c r="E373" s="142" t="e">
        <f t="shared" si="56"/>
        <v>#NUM!</v>
      </c>
      <c r="F373" s="142" t="e">
        <f t="shared" si="51"/>
        <v>#NUM!</v>
      </c>
      <c r="G373" s="184">
        <f>IF('prijem -inna mena'!$I$90=TRUE,IF($C$11&gt;0,0.00025*C372,0),IF('prijem -inna mena'!$I$91=TRUE,IF('prijem -inna mena'!$F$91&gt;0,0.00025*C372,0),0))</f>
        <v>0</v>
      </c>
      <c r="L373" s="89">
        <v>357</v>
      </c>
      <c r="M373" s="237" t="e">
        <f t="shared" si="57"/>
        <v>#DIV/0!</v>
      </c>
      <c r="N373" s="142" t="e">
        <f t="shared" si="52"/>
        <v>#DIV/0!</v>
      </c>
      <c r="O373" s="142" t="e">
        <f t="shared" si="53"/>
        <v>#DIV/0!</v>
      </c>
      <c r="P373" s="142" t="e">
        <f t="shared" si="58"/>
        <v>#DIV/0!</v>
      </c>
      <c r="Q373" s="142" t="e">
        <f t="shared" si="59"/>
        <v>#DIV/0!</v>
      </c>
      <c r="R373" s="184">
        <f>IF('prijem -inna mena'!$I$90=TRUE,IF($C$11&gt;0,0.00025*N372,0),IF('prijem -inna mena'!$I$91=TRUE,IF('prijem -inna mena'!$F$91&gt;0,0.00025*N372*-1,0),0))</f>
        <v>0</v>
      </c>
    </row>
    <row r="374" spans="1:18" x14ac:dyDescent="0.2">
      <c r="A374" s="89">
        <v>358</v>
      </c>
      <c r="B374" s="237" t="e">
        <f t="shared" si="54"/>
        <v>#NUM!</v>
      </c>
      <c r="C374" s="142" t="e">
        <f t="shared" si="50"/>
        <v>#NUM!</v>
      </c>
      <c r="D374" s="142" t="e">
        <f t="shared" si="55"/>
        <v>#NUM!</v>
      </c>
      <c r="E374" s="142" t="e">
        <f t="shared" si="56"/>
        <v>#NUM!</v>
      </c>
      <c r="F374" s="142" t="e">
        <f t="shared" si="51"/>
        <v>#NUM!</v>
      </c>
      <c r="G374" s="184">
        <f>IF('prijem -inna mena'!$I$90=TRUE,IF($C$11&gt;0,0.00025*C373,0),IF('prijem -inna mena'!$I$91=TRUE,IF('prijem -inna mena'!$F$91&gt;0,0.00025*C373,0),0))</f>
        <v>0</v>
      </c>
      <c r="L374" s="89">
        <v>358</v>
      </c>
      <c r="M374" s="237" t="e">
        <f t="shared" si="57"/>
        <v>#DIV/0!</v>
      </c>
      <c r="N374" s="142" t="e">
        <f t="shared" si="52"/>
        <v>#DIV/0!</v>
      </c>
      <c r="O374" s="142" t="e">
        <f t="shared" si="53"/>
        <v>#DIV/0!</v>
      </c>
      <c r="P374" s="142" t="e">
        <f t="shared" si="58"/>
        <v>#DIV/0!</v>
      </c>
      <c r="Q374" s="142" t="e">
        <f t="shared" si="59"/>
        <v>#DIV/0!</v>
      </c>
      <c r="R374" s="184">
        <f>IF('prijem -inna mena'!$I$90=TRUE,IF($C$11&gt;0,0.00025*N373,0),IF('prijem -inna mena'!$I$91=TRUE,IF('prijem -inna mena'!$F$91&gt;0,0.00025*N373*-1,0),0))</f>
        <v>0</v>
      </c>
    </row>
    <row r="375" spans="1:18" x14ac:dyDescent="0.2">
      <c r="A375" s="89">
        <v>359</v>
      </c>
      <c r="B375" s="237" t="e">
        <f t="shared" si="54"/>
        <v>#NUM!</v>
      </c>
      <c r="C375" s="142" t="e">
        <f t="shared" si="50"/>
        <v>#NUM!</v>
      </c>
      <c r="D375" s="142" t="e">
        <f t="shared" si="55"/>
        <v>#NUM!</v>
      </c>
      <c r="E375" s="142" t="e">
        <f t="shared" si="56"/>
        <v>#NUM!</v>
      </c>
      <c r="F375" s="142" t="e">
        <f t="shared" si="51"/>
        <v>#NUM!</v>
      </c>
      <c r="G375" s="184">
        <f>IF('prijem -inna mena'!$I$90=TRUE,IF($C$11&gt;0,0.00025*C374,0),IF('prijem -inna mena'!$I$91=TRUE,IF('prijem -inna mena'!$F$91&gt;0,0.00025*C374,0),0))</f>
        <v>0</v>
      </c>
      <c r="L375" s="89">
        <v>359</v>
      </c>
      <c r="M375" s="237" t="e">
        <f t="shared" si="57"/>
        <v>#DIV/0!</v>
      </c>
      <c r="N375" s="142" t="e">
        <f t="shared" si="52"/>
        <v>#DIV/0!</v>
      </c>
      <c r="O375" s="142" t="e">
        <f t="shared" si="53"/>
        <v>#DIV/0!</v>
      </c>
      <c r="P375" s="142" t="e">
        <f t="shared" si="58"/>
        <v>#DIV/0!</v>
      </c>
      <c r="Q375" s="142" t="e">
        <f t="shared" si="59"/>
        <v>#DIV/0!</v>
      </c>
      <c r="R375" s="184">
        <f>IF('prijem -inna mena'!$I$90=TRUE,IF($C$11&gt;0,0.00025*N374,0),IF('prijem -inna mena'!$I$91=TRUE,IF('prijem -inna mena'!$F$91&gt;0,0.00025*N374*-1,0),0))</f>
        <v>0</v>
      </c>
    </row>
    <row r="376" spans="1:18" x14ac:dyDescent="0.2">
      <c r="A376" s="89">
        <v>360</v>
      </c>
      <c r="B376" s="237" t="e">
        <f t="shared" si="54"/>
        <v>#NUM!</v>
      </c>
      <c r="C376" s="142" t="e">
        <f t="shared" si="50"/>
        <v>#NUM!</v>
      </c>
      <c r="D376" s="142" t="e">
        <f t="shared" si="55"/>
        <v>#NUM!</v>
      </c>
      <c r="E376" s="142" t="e">
        <f t="shared" si="56"/>
        <v>#NUM!</v>
      </c>
      <c r="F376" s="142" t="e">
        <f t="shared" si="51"/>
        <v>#NUM!</v>
      </c>
      <c r="G376" s="184">
        <f>IF('prijem -inna mena'!$I$90=TRUE,IF($C$11&gt;0,0.00025*C375,0),IF('prijem -inna mena'!$I$91=TRUE,IF('prijem -inna mena'!$F$91&gt;0,0.00025*C375,0),0))</f>
        <v>0</v>
      </c>
      <c r="L376" s="89">
        <v>360</v>
      </c>
      <c r="M376" s="237" t="e">
        <f t="shared" si="57"/>
        <v>#DIV/0!</v>
      </c>
      <c r="N376" s="142" t="e">
        <f t="shared" si="52"/>
        <v>#DIV/0!</v>
      </c>
      <c r="O376" s="142" t="e">
        <f t="shared" si="53"/>
        <v>#DIV/0!</v>
      </c>
      <c r="P376" s="142" t="e">
        <f t="shared" si="58"/>
        <v>#DIV/0!</v>
      </c>
      <c r="Q376" s="142" t="e">
        <f t="shared" si="59"/>
        <v>#DIV/0!</v>
      </c>
      <c r="R376" s="184">
        <f>IF('prijem -inna mena'!$I$90=TRUE,IF($C$11&gt;0,0.00025*N375,0),IF('prijem -inna mena'!$I$91=TRUE,IF('prijem -inna mena'!$F$91&gt;0,0.00025*N375*-1,0),0))</f>
        <v>0</v>
      </c>
    </row>
    <row r="377" spans="1:18" x14ac:dyDescent="0.2">
      <c r="A377" s="89">
        <v>361</v>
      </c>
      <c r="B377" s="237" t="e">
        <f t="shared" si="54"/>
        <v>#NUM!</v>
      </c>
      <c r="C377" s="142" t="e">
        <f t="shared" si="50"/>
        <v>#NUM!</v>
      </c>
      <c r="D377" s="142" t="e">
        <f t="shared" si="55"/>
        <v>#NUM!</v>
      </c>
      <c r="E377" s="142" t="e">
        <f t="shared" si="56"/>
        <v>#NUM!</v>
      </c>
      <c r="F377" s="142" t="e">
        <f t="shared" si="51"/>
        <v>#NUM!</v>
      </c>
      <c r="G377" s="184">
        <f>IF('prijem -inna mena'!$I$90=TRUE,IF($C$11&gt;0,0.00025*C376,0),IF('prijem -inna mena'!$I$91=TRUE,IF('prijem -inna mena'!$F$91&gt;0,0.00025*C376,0),0))</f>
        <v>0</v>
      </c>
      <c r="L377" s="89">
        <v>361</v>
      </c>
      <c r="M377" s="237" t="e">
        <f t="shared" si="57"/>
        <v>#DIV/0!</v>
      </c>
      <c r="N377" s="142" t="e">
        <f t="shared" si="52"/>
        <v>#DIV/0!</v>
      </c>
      <c r="O377" s="142" t="e">
        <f t="shared" si="53"/>
        <v>#DIV/0!</v>
      </c>
      <c r="P377" s="142" t="e">
        <f t="shared" si="58"/>
        <v>#DIV/0!</v>
      </c>
      <c r="Q377" s="142" t="e">
        <f t="shared" si="59"/>
        <v>#DIV/0!</v>
      </c>
      <c r="R377" s="184">
        <f>IF('prijem -inna mena'!$I$90=TRUE,IF($C$11&gt;0,0.00025*N376,0),IF('prijem -inna mena'!$I$91=TRUE,IF('prijem -inna mena'!$F$91&gt;0,0.00025*N376*-1,0),0))</f>
        <v>0</v>
      </c>
    </row>
    <row r="378" spans="1:18" x14ac:dyDescent="0.2">
      <c r="A378" s="89">
        <v>362</v>
      </c>
      <c r="B378" s="237" t="e">
        <f t="shared" si="54"/>
        <v>#NUM!</v>
      </c>
      <c r="C378" s="142" t="e">
        <f t="shared" si="50"/>
        <v>#NUM!</v>
      </c>
      <c r="D378" s="142" t="e">
        <f t="shared" si="55"/>
        <v>#NUM!</v>
      </c>
      <c r="E378" s="142" t="e">
        <f t="shared" si="56"/>
        <v>#NUM!</v>
      </c>
      <c r="F378" s="142" t="e">
        <f t="shared" si="51"/>
        <v>#NUM!</v>
      </c>
      <c r="G378" s="184">
        <f>IF('prijem -inna mena'!$I$90=TRUE,IF($C$11&gt;0,0.00025*C377,0),IF('prijem -inna mena'!$I$91=TRUE,IF('prijem -inna mena'!$F$91&gt;0,0.00025*C377,0),0))</f>
        <v>0</v>
      </c>
      <c r="L378" s="89">
        <v>362</v>
      </c>
      <c r="M378" s="237" t="e">
        <f t="shared" si="57"/>
        <v>#DIV/0!</v>
      </c>
      <c r="N378" s="142" t="e">
        <f t="shared" si="52"/>
        <v>#DIV/0!</v>
      </c>
      <c r="O378" s="142" t="e">
        <f t="shared" si="53"/>
        <v>#DIV/0!</v>
      </c>
      <c r="P378" s="142" t="e">
        <f t="shared" si="58"/>
        <v>#DIV/0!</v>
      </c>
      <c r="Q378" s="142" t="e">
        <f t="shared" si="59"/>
        <v>#DIV/0!</v>
      </c>
      <c r="R378" s="184">
        <f>IF('prijem -inna mena'!$I$90=TRUE,IF($C$11&gt;0,0.00025*N377,0),IF('prijem -inna mena'!$I$91=TRUE,IF('prijem -inna mena'!$F$91&gt;0,0.00025*N377*-1,0),0))</f>
        <v>0</v>
      </c>
    </row>
    <row r="379" spans="1:18" x14ac:dyDescent="0.2">
      <c r="A379" s="89">
        <v>363</v>
      </c>
      <c r="B379" s="237" t="e">
        <f t="shared" si="54"/>
        <v>#NUM!</v>
      </c>
      <c r="C379" s="142" t="e">
        <f t="shared" si="50"/>
        <v>#NUM!</v>
      </c>
      <c r="D379" s="142" t="e">
        <f t="shared" si="55"/>
        <v>#NUM!</v>
      </c>
      <c r="E379" s="142" t="e">
        <f t="shared" si="56"/>
        <v>#NUM!</v>
      </c>
      <c r="F379" s="142" t="e">
        <f t="shared" si="51"/>
        <v>#NUM!</v>
      </c>
      <c r="G379" s="184">
        <f>IF('prijem -inna mena'!$I$90=TRUE,IF($C$11&gt;0,0.00025*C378,0),IF('prijem -inna mena'!$I$91=TRUE,IF('prijem -inna mena'!$F$91&gt;0,0.00025*C378,0),0))</f>
        <v>0</v>
      </c>
      <c r="L379" s="89">
        <v>363</v>
      </c>
      <c r="M379" s="237" t="e">
        <f t="shared" si="57"/>
        <v>#DIV/0!</v>
      </c>
      <c r="N379" s="142" t="e">
        <f t="shared" si="52"/>
        <v>#DIV/0!</v>
      </c>
      <c r="O379" s="142" t="e">
        <f t="shared" si="53"/>
        <v>#DIV/0!</v>
      </c>
      <c r="P379" s="142" t="e">
        <f t="shared" si="58"/>
        <v>#DIV/0!</v>
      </c>
      <c r="Q379" s="142" t="e">
        <f t="shared" si="59"/>
        <v>#DIV/0!</v>
      </c>
      <c r="R379" s="184">
        <f>IF('prijem -inna mena'!$I$90=TRUE,IF($C$11&gt;0,0.00025*N378,0),IF('prijem -inna mena'!$I$91=TRUE,IF('prijem -inna mena'!$F$91&gt;0,0.00025*N378*-1,0),0))</f>
        <v>0</v>
      </c>
    </row>
    <row r="380" spans="1:18" x14ac:dyDescent="0.2">
      <c r="A380" s="89">
        <v>364</v>
      </c>
      <c r="B380" s="237" t="e">
        <f t="shared" si="54"/>
        <v>#NUM!</v>
      </c>
      <c r="C380" s="142" t="e">
        <f t="shared" si="50"/>
        <v>#NUM!</v>
      </c>
      <c r="D380" s="142" t="e">
        <f t="shared" si="55"/>
        <v>#NUM!</v>
      </c>
      <c r="E380" s="142" t="e">
        <f t="shared" si="56"/>
        <v>#NUM!</v>
      </c>
      <c r="F380" s="142" t="e">
        <f t="shared" si="51"/>
        <v>#NUM!</v>
      </c>
      <c r="G380" s="184">
        <f>IF('prijem -inna mena'!$I$90=TRUE,IF($C$11&gt;0,0.00025*C379,0),IF('prijem -inna mena'!$I$91=TRUE,IF('prijem -inna mena'!$F$91&gt;0,0.00025*C379,0),0))</f>
        <v>0</v>
      </c>
      <c r="L380" s="89">
        <v>364</v>
      </c>
      <c r="M380" s="237" t="e">
        <f t="shared" si="57"/>
        <v>#DIV/0!</v>
      </c>
      <c r="N380" s="142" t="e">
        <f t="shared" si="52"/>
        <v>#DIV/0!</v>
      </c>
      <c r="O380" s="142" t="e">
        <f t="shared" si="53"/>
        <v>#DIV/0!</v>
      </c>
      <c r="P380" s="142" t="e">
        <f t="shared" si="58"/>
        <v>#DIV/0!</v>
      </c>
      <c r="Q380" s="142" t="e">
        <f t="shared" si="59"/>
        <v>#DIV/0!</v>
      </c>
      <c r="R380" s="184">
        <f>IF('prijem -inna mena'!$I$90=TRUE,IF($C$11&gt;0,0.00025*N379,0),IF('prijem -inna mena'!$I$91=TRUE,IF('prijem -inna mena'!$F$91&gt;0,0.00025*N379*-1,0),0))</f>
        <v>0</v>
      </c>
    </row>
    <row r="381" spans="1:18" x14ac:dyDescent="0.2">
      <c r="A381" s="89">
        <v>365</v>
      </c>
      <c r="B381" s="237" t="e">
        <f t="shared" si="54"/>
        <v>#NUM!</v>
      </c>
      <c r="C381" s="142" t="e">
        <f t="shared" si="50"/>
        <v>#NUM!</v>
      </c>
      <c r="D381" s="142" t="e">
        <f t="shared" si="55"/>
        <v>#NUM!</v>
      </c>
      <c r="E381" s="142" t="e">
        <f t="shared" si="56"/>
        <v>#NUM!</v>
      </c>
      <c r="F381" s="142" t="e">
        <f t="shared" si="51"/>
        <v>#NUM!</v>
      </c>
      <c r="G381" s="184">
        <f>IF('prijem -inna mena'!$I$90=TRUE,IF($C$11&gt;0,0.00025*C380,0),IF('prijem -inna mena'!$I$91=TRUE,IF('prijem -inna mena'!$F$91&gt;0,0.00025*C380,0),0))</f>
        <v>0</v>
      </c>
      <c r="L381" s="89">
        <v>365</v>
      </c>
      <c r="M381" s="237" t="e">
        <f t="shared" si="57"/>
        <v>#DIV/0!</v>
      </c>
      <c r="N381" s="142" t="e">
        <f t="shared" si="52"/>
        <v>#DIV/0!</v>
      </c>
      <c r="O381" s="142" t="e">
        <f t="shared" si="53"/>
        <v>#DIV/0!</v>
      </c>
      <c r="P381" s="142" t="e">
        <f t="shared" si="58"/>
        <v>#DIV/0!</v>
      </c>
      <c r="Q381" s="142" t="e">
        <f t="shared" si="59"/>
        <v>#DIV/0!</v>
      </c>
      <c r="R381" s="184">
        <f>IF('prijem -inna mena'!$I$90=TRUE,IF($C$11&gt;0,0.00025*N380,0),IF('prijem -inna mena'!$I$91=TRUE,IF('prijem -inna mena'!$F$91&gt;0,0.00025*N380*-1,0),0))</f>
        <v>0</v>
      </c>
    </row>
    <row r="382" spans="1:18" x14ac:dyDescent="0.2">
      <c r="A382" s="89">
        <v>366</v>
      </c>
      <c r="B382" s="237" t="e">
        <f t="shared" si="54"/>
        <v>#NUM!</v>
      </c>
      <c r="C382" s="142" t="e">
        <f t="shared" si="50"/>
        <v>#NUM!</v>
      </c>
      <c r="D382" s="142" t="e">
        <f t="shared" si="55"/>
        <v>#NUM!</v>
      </c>
      <c r="E382" s="142" t="e">
        <f t="shared" si="56"/>
        <v>#NUM!</v>
      </c>
      <c r="F382" s="142" t="e">
        <f t="shared" si="51"/>
        <v>#NUM!</v>
      </c>
      <c r="G382" s="184">
        <f>IF('prijem -inna mena'!$I$90=TRUE,IF($C$11&gt;0,0.00025*C381,0),IF('prijem -inna mena'!$I$91=TRUE,IF('prijem -inna mena'!$F$91&gt;0,0.00025*C381,0),0))</f>
        <v>0</v>
      </c>
      <c r="L382" s="89">
        <v>366</v>
      </c>
      <c r="M382" s="237" t="e">
        <f t="shared" si="57"/>
        <v>#DIV/0!</v>
      </c>
      <c r="N382" s="142" t="e">
        <f t="shared" si="52"/>
        <v>#DIV/0!</v>
      </c>
      <c r="O382" s="142" t="e">
        <f t="shared" si="53"/>
        <v>#DIV/0!</v>
      </c>
      <c r="P382" s="142" t="e">
        <f t="shared" si="58"/>
        <v>#DIV/0!</v>
      </c>
      <c r="Q382" s="142" t="e">
        <f t="shared" si="59"/>
        <v>#DIV/0!</v>
      </c>
      <c r="R382" s="184">
        <f>IF('prijem -inna mena'!$I$90=TRUE,IF($C$11&gt;0,0.00025*N381,0),IF('prijem -inna mena'!$I$91=TRUE,IF('prijem -inna mena'!$F$91&gt;0,0.00025*N381*-1,0),0))</f>
        <v>0</v>
      </c>
    </row>
    <row r="383" spans="1:18" x14ac:dyDescent="0.2">
      <c r="A383" s="89">
        <v>367</v>
      </c>
      <c r="B383" s="237" t="e">
        <f t="shared" si="54"/>
        <v>#NUM!</v>
      </c>
      <c r="C383" s="142" t="e">
        <f t="shared" si="50"/>
        <v>#NUM!</v>
      </c>
      <c r="D383" s="142" t="e">
        <f t="shared" si="55"/>
        <v>#NUM!</v>
      </c>
      <c r="E383" s="142" t="e">
        <f t="shared" si="56"/>
        <v>#NUM!</v>
      </c>
      <c r="F383" s="142" t="e">
        <f t="shared" si="51"/>
        <v>#NUM!</v>
      </c>
      <c r="G383" s="184">
        <f>IF('prijem -inna mena'!$I$90=TRUE,IF($C$11&gt;0,0.00025*C382,0),IF('prijem -inna mena'!$I$91=TRUE,IF('prijem -inna mena'!$F$91&gt;0,0.00025*C382,0),0))</f>
        <v>0</v>
      </c>
      <c r="L383" s="89">
        <v>367</v>
      </c>
      <c r="M383" s="237" t="e">
        <f t="shared" si="57"/>
        <v>#DIV/0!</v>
      </c>
      <c r="N383" s="142" t="e">
        <f t="shared" si="52"/>
        <v>#DIV/0!</v>
      </c>
      <c r="O383" s="142" t="e">
        <f t="shared" si="53"/>
        <v>#DIV/0!</v>
      </c>
      <c r="P383" s="142" t="e">
        <f t="shared" si="58"/>
        <v>#DIV/0!</v>
      </c>
      <c r="Q383" s="142" t="e">
        <f t="shared" si="59"/>
        <v>#DIV/0!</v>
      </c>
      <c r="R383" s="184">
        <f>IF('prijem -inna mena'!$I$90=TRUE,IF($C$11&gt;0,0.00025*N382,0),IF('prijem -inna mena'!$I$91=TRUE,IF('prijem -inna mena'!$F$91&gt;0,0.00025*N382*-1,0),0))</f>
        <v>0</v>
      </c>
    </row>
    <row r="384" spans="1:18" x14ac:dyDescent="0.2">
      <c r="A384" s="89">
        <v>368</v>
      </c>
      <c r="B384" s="237" t="e">
        <f t="shared" si="54"/>
        <v>#NUM!</v>
      </c>
      <c r="C384" s="142" t="e">
        <f t="shared" si="50"/>
        <v>#NUM!</v>
      </c>
      <c r="D384" s="142" t="e">
        <f t="shared" si="55"/>
        <v>#NUM!</v>
      </c>
      <c r="E384" s="142" t="e">
        <f t="shared" si="56"/>
        <v>#NUM!</v>
      </c>
      <c r="F384" s="142" t="e">
        <f t="shared" si="51"/>
        <v>#NUM!</v>
      </c>
      <c r="G384" s="184">
        <f>IF('prijem -inna mena'!$I$90=TRUE,IF($C$11&gt;0,0.00025*C383,0),IF('prijem -inna mena'!$I$91=TRUE,IF('prijem -inna mena'!$F$91&gt;0,0.00025*C383,0),0))</f>
        <v>0</v>
      </c>
      <c r="L384" s="89">
        <v>368</v>
      </c>
      <c r="M384" s="237" t="e">
        <f t="shared" si="57"/>
        <v>#DIV/0!</v>
      </c>
      <c r="N384" s="142" t="e">
        <f t="shared" si="52"/>
        <v>#DIV/0!</v>
      </c>
      <c r="O384" s="142" t="e">
        <f t="shared" si="53"/>
        <v>#DIV/0!</v>
      </c>
      <c r="P384" s="142" t="e">
        <f t="shared" si="58"/>
        <v>#DIV/0!</v>
      </c>
      <c r="Q384" s="142" t="e">
        <f t="shared" si="59"/>
        <v>#DIV/0!</v>
      </c>
      <c r="R384" s="184">
        <f>IF('prijem -inna mena'!$I$90=TRUE,IF($C$11&gt;0,0.00025*N383,0),IF('prijem -inna mena'!$I$91=TRUE,IF('prijem -inna mena'!$F$91&gt;0,0.00025*N383*-1,0),0))</f>
        <v>0</v>
      </c>
    </row>
    <row r="385" spans="1:18" x14ac:dyDescent="0.2">
      <c r="A385" s="89">
        <v>369</v>
      </c>
      <c r="B385" s="237" t="e">
        <f t="shared" si="54"/>
        <v>#NUM!</v>
      </c>
      <c r="C385" s="142" t="e">
        <f t="shared" si="50"/>
        <v>#NUM!</v>
      </c>
      <c r="D385" s="142" t="e">
        <f t="shared" si="55"/>
        <v>#NUM!</v>
      </c>
      <c r="E385" s="142" t="e">
        <f t="shared" si="56"/>
        <v>#NUM!</v>
      </c>
      <c r="F385" s="142" t="e">
        <f t="shared" si="51"/>
        <v>#NUM!</v>
      </c>
      <c r="G385" s="184">
        <f>IF('prijem -inna mena'!$I$90=TRUE,IF($C$11&gt;0,0.00025*C384,0),IF('prijem -inna mena'!$I$91=TRUE,IF('prijem -inna mena'!$F$91&gt;0,0.00025*C384,0),0))</f>
        <v>0</v>
      </c>
      <c r="L385" s="89">
        <v>369</v>
      </c>
      <c r="M385" s="237" t="e">
        <f t="shared" si="57"/>
        <v>#DIV/0!</v>
      </c>
      <c r="N385" s="142" t="e">
        <f t="shared" si="52"/>
        <v>#DIV/0!</v>
      </c>
      <c r="O385" s="142" t="e">
        <f t="shared" si="53"/>
        <v>#DIV/0!</v>
      </c>
      <c r="P385" s="142" t="e">
        <f t="shared" si="58"/>
        <v>#DIV/0!</v>
      </c>
      <c r="Q385" s="142" t="e">
        <f t="shared" si="59"/>
        <v>#DIV/0!</v>
      </c>
      <c r="R385" s="184">
        <f>IF('prijem -inna mena'!$I$90=TRUE,IF($C$11&gt;0,0.00025*N384,0),IF('prijem -inna mena'!$I$91=TRUE,IF('prijem -inna mena'!$F$91&gt;0,0.00025*N384*-1,0),0))</f>
        <v>0</v>
      </c>
    </row>
    <row r="386" spans="1:18" x14ac:dyDescent="0.2">
      <c r="A386" s="89">
        <v>370</v>
      </c>
      <c r="B386" s="237" t="e">
        <f t="shared" si="54"/>
        <v>#NUM!</v>
      </c>
      <c r="C386" s="142" t="e">
        <f t="shared" si="50"/>
        <v>#NUM!</v>
      </c>
      <c r="D386" s="142" t="e">
        <f t="shared" si="55"/>
        <v>#NUM!</v>
      </c>
      <c r="E386" s="142" t="e">
        <f t="shared" si="56"/>
        <v>#NUM!</v>
      </c>
      <c r="F386" s="142" t="e">
        <f t="shared" si="51"/>
        <v>#NUM!</v>
      </c>
      <c r="G386" s="184">
        <f>IF('prijem -inna mena'!$I$90=TRUE,IF($C$11&gt;0,0.00025*C385,0),IF('prijem -inna mena'!$I$91=TRUE,IF('prijem -inna mena'!$F$91&gt;0,0.00025*C385,0),0))</f>
        <v>0</v>
      </c>
      <c r="L386" s="89">
        <v>370</v>
      </c>
      <c r="M386" s="237" t="e">
        <f t="shared" si="57"/>
        <v>#DIV/0!</v>
      </c>
      <c r="N386" s="142" t="e">
        <f t="shared" si="52"/>
        <v>#DIV/0!</v>
      </c>
      <c r="O386" s="142" t="e">
        <f t="shared" si="53"/>
        <v>#DIV/0!</v>
      </c>
      <c r="P386" s="142" t="e">
        <f t="shared" si="58"/>
        <v>#DIV/0!</v>
      </c>
      <c r="Q386" s="142" t="e">
        <f t="shared" si="59"/>
        <v>#DIV/0!</v>
      </c>
      <c r="R386" s="184">
        <f>IF('prijem -inna mena'!$I$90=TRUE,IF($C$11&gt;0,0.00025*N385,0),IF('prijem -inna mena'!$I$91=TRUE,IF('prijem -inna mena'!$F$91&gt;0,0.00025*N385*-1,0),0))</f>
        <v>0</v>
      </c>
    </row>
    <row r="387" spans="1:18" x14ac:dyDescent="0.2">
      <c r="A387" s="89">
        <v>371</v>
      </c>
      <c r="B387" s="237" t="e">
        <f t="shared" si="54"/>
        <v>#NUM!</v>
      </c>
      <c r="C387" s="142" t="e">
        <f t="shared" si="50"/>
        <v>#NUM!</v>
      </c>
      <c r="D387" s="142" t="e">
        <f t="shared" si="55"/>
        <v>#NUM!</v>
      </c>
      <c r="E387" s="142" t="e">
        <f t="shared" si="56"/>
        <v>#NUM!</v>
      </c>
      <c r="F387" s="142" t="e">
        <f t="shared" si="51"/>
        <v>#NUM!</v>
      </c>
      <c r="G387" s="184">
        <f>IF('prijem -inna mena'!$I$90=TRUE,IF($C$11&gt;0,0.00025*C386,0),IF('prijem -inna mena'!$I$91=TRUE,IF('prijem -inna mena'!$F$91&gt;0,0.00025*C386,0),0))</f>
        <v>0</v>
      </c>
      <c r="L387" s="89">
        <v>371</v>
      </c>
      <c r="M387" s="237" t="e">
        <f t="shared" si="57"/>
        <v>#DIV/0!</v>
      </c>
      <c r="N387" s="142" t="e">
        <f t="shared" si="52"/>
        <v>#DIV/0!</v>
      </c>
      <c r="O387" s="142" t="e">
        <f t="shared" si="53"/>
        <v>#DIV/0!</v>
      </c>
      <c r="P387" s="142" t="e">
        <f t="shared" si="58"/>
        <v>#DIV/0!</v>
      </c>
      <c r="Q387" s="142" t="e">
        <f t="shared" si="59"/>
        <v>#DIV/0!</v>
      </c>
      <c r="R387" s="184">
        <f>IF('prijem -inna mena'!$I$90=TRUE,IF($C$11&gt;0,0.00025*N386,0),IF('prijem -inna mena'!$I$91=TRUE,IF('prijem -inna mena'!$F$91&gt;0,0.00025*N386*-1,0),0))</f>
        <v>0</v>
      </c>
    </row>
    <row r="388" spans="1:18" x14ac:dyDescent="0.2">
      <c r="A388" s="89">
        <v>372</v>
      </c>
      <c r="B388" s="237" t="e">
        <f t="shared" si="54"/>
        <v>#NUM!</v>
      </c>
      <c r="C388" s="142" t="e">
        <f t="shared" si="50"/>
        <v>#NUM!</v>
      </c>
      <c r="D388" s="142" t="e">
        <f t="shared" si="55"/>
        <v>#NUM!</v>
      </c>
      <c r="E388" s="142" t="e">
        <f t="shared" si="56"/>
        <v>#NUM!</v>
      </c>
      <c r="F388" s="142" t="e">
        <f t="shared" si="51"/>
        <v>#NUM!</v>
      </c>
      <c r="G388" s="184">
        <f>IF('prijem -inna mena'!$I$90=TRUE,IF($C$11&gt;0,0.00025*C387,0),IF('prijem -inna mena'!$I$91=TRUE,IF('prijem -inna mena'!$F$91&gt;0,0.00025*C387,0),0))</f>
        <v>0</v>
      </c>
      <c r="L388" s="89">
        <v>372</v>
      </c>
      <c r="M388" s="237" t="e">
        <f t="shared" si="57"/>
        <v>#DIV/0!</v>
      </c>
      <c r="N388" s="142" t="e">
        <f t="shared" si="52"/>
        <v>#DIV/0!</v>
      </c>
      <c r="O388" s="142" t="e">
        <f t="shared" si="53"/>
        <v>#DIV/0!</v>
      </c>
      <c r="P388" s="142" t="e">
        <f t="shared" si="58"/>
        <v>#DIV/0!</v>
      </c>
      <c r="Q388" s="142" t="e">
        <f t="shared" si="59"/>
        <v>#DIV/0!</v>
      </c>
      <c r="R388" s="184">
        <f>IF('prijem -inna mena'!$I$90=TRUE,IF($C$11&gt;0,0.00025*N387,0),IF('prijem -inna mena'!$I$91=TRUE,IF('prijem -inna mena'!$F$91&gt;0,0.00025*N387*-1,0),0))</f>
        <v>0</v>
      </c>
    </row>
    <row r="389" spans="1:18" x14ac:dyDescent="0.2">
      <c r="A389" s="89">
        <v>373</v>
      </c>
      <c r="B389" s="237" t="e">
        <f t="shared" si="54"/>
        <v>#NUM!</v>
      </c>
      <c r="C389" s="142" t="e">
        <f t="shared" si="50"/>
        <v>#NUM!</v>
      </c>
      <c r="D389" s="142" t="e">
        <f t="shared" si="55"/>
        <v>#NUM!</v>
      </c>
      <c r="E389" s="142" t="e">
        <f t="shared" si="56"/>
        <v>#NUM!</v>
      </c>
      <c r="F389" s="142" t="e">
        <f t="shared" si="51"/>
        <v>#NUM!</v>
      </c>
      <c r="G389" s="184">
        <f>IF('prijem -inna mena'!$I$90=TRUE,IF($C$11&gt;0,0.00025*C388,0),IF('prijem -inna mena'!$I$91=TRUE,IF('prijem -inna mena'!$F$91&gt;0,0.00025*C388,0),0))</f>
        <v>0</v>
      </c>
      <c r="L389" s="89">
        <v>373</v>
      </c>
      <c r="M389" s="237" t="e">
        <f t="shared" si="57"/>
        <v>#DIV/0!</v>
      </c>
      <c r="N389" s="142" t="e">
        <f t="shared" si="52"/>
        <v>#DIV/0!</v>
      </c>
      <c r="O389" s="142" t="e">
        <f t="shared" si="53"/>
        <v>#DIV/0!</v>
      </c>
      <c r="P389" s="142" t="e">
        <f t="shared" si="58"/>
        <v>#DIV/0!</v>
      </c>
      <c r="Q389" s="142" t="e">
        <f t="shared" si="59"/>
        <v>#DIV/0!</v>
      </c>
      <c r="R389" s="184">
        <f>IF('prijem -inna mena'!$I$90=TRUE,IF($C$11&gt;0,0.00025*N388,0),IF('prijem -inna mena'!$I$91=TRUE,IF('prijem -inna mena'!$F$91&gt;0,0.00025*N388*-1,0),0))</f>
        <v>0</v>
      </c>
    </row>
    <row r="390" spans="1:18" x14ac:dyDescent="0.2">
      <c r="A390" s="89">
        <v>374</v>
      </c>
      <c r="B390" s="237" t="e">
        <f t="shared" si="54"/>
        <v>#NUM!</v>
      </c>
      <c r="C390" s="142" t="e">
        <f t="shared" si="50"/>
        <v>#NUM!</v>
      </c>
      <c r="D390" s="142" t="e">
        <f t="shared" si="55"/>
        <v>#NUM!</v>
      </c>
      <c r="E390" s="142" t="e">
        <f t="shared" si="56"/>
        <v>#NUM!</v>
      </c>
      <c r="F390" s="142" t="e">
        <f t="shared" si="51"/>
        <v>#NUM!</v>
      </c>
      <c r="G390" s="184">
        <f>IF('prijem -inna mena'!$I$90=TRUE,IF($C$11&gt;0,0.00025*C389,0),IF('prijem -inna mena'!$I$91=TRUE,IF('prijem -inna mena'!$F$91&gt;0,0.00025*C389,0),0))</f>
        <v>0</v>
      </c>
      <c r="L390" s="89">
        <v>374</v>
      </c>
      <c r="M390" s="237" t="e">
        <f t="shared" si="57"/>
        <v>#DIV/0!</v>
      </c>
      <c r="N390" s="142" t="e">
        <f t="shared" si="52"/>
        <v>#DIV/0!</v>
      </c>
      <c r="O390" s="142" t="e">
        <f t="shared" si="53"/>
        <v>#DIV/0!</v>
      </c>
      <c r="P390" s="142" t="e">
        <f t="shared" si="58"/>
        <v>#DIV/0!</v>
      </c>
      <c r="Q390" s="142" t="e">
        <f t="shared" si="59"/>
        <v>#DIV/0!</v>
      </c>
      <c r="R390" s="184">
        <f>IF('prijem -inna mena'!$I$90=TRUE,IF($C$11&gt;0,0.00025*N389,0),IF('prijem -inna mena'!$I$91=TRUE,IF('prijem -inna mena'!$F$91&gt;0,0.00025*N389*-1,0),0))</f>
        <v>0</v>
      </c>
    </row>
    <row r="391" spans="1:18" x14ac:dyDescent="0.2">
      <c r="A391" s="89">
        <v>375</v>
      </c>
      <c r="B391" s="237" t="e">
        <f t="shared" si="54"/>
        <v>#NUM!</v>
      </c>
      <c r="C391" s="142" t="e">
        <f t="shared" si="50"/>
        <v>#NUM!</v>
      </c>
      <c r="D391" s="142" t="e">
        <f t="shared" si="55"/>
        <v>#NUM!</v>
      </c>
      <c r="E391" s="142" t="e">
        <f t="shared" si="56"/>
        <v>#NUM!</v>
      </c>
      <c r="F391" s="142" t="e">
        <f t="shared" si="51"/>
        <v>#NUM!</v>
      </c>
      <c r="G391" s="184">
        <f>IF('prijem -inna mena'!$I$90=TRUE,IF($C$11&gt;0,0.00025*C390,0),IF('prijem -inna mena'!$I$91=TRUE,IF('prijem -inna mena'!$F$91&gt;0,0.00025*C390,0),0))</f>
        <v>0</v>
      </c>
      <c r="L391" s="89">
        <v>375</v>
      </c>
      <c r="M391" s="237" t="e">
        <f t="shared" si="57"/>
        <v>#DIV/0!</v>
      </c>
      <c r="N391" s="142" t="e">
        <f t="shared" si="52"/>
        <v>#DIV/0!</v>
      </c>
      <c r="O391" s="142" t="e">
        <f t="shared" si="53"/>
        <v>#DIV/0!</v>
      </c>
      <c r="P391" s="142" t="e">
        <f t="shared" si="58"/>
        <v>#DIV/0!</v>
      </c>
      <c r="Q391" s="142" t="e">
        <f t="shared" si="59"/>
        <v>#DIV/0!</v>
      </c>
      <c r="R391" s="184">
        <f>IF('prijem -inna mena'!$I$90=TRUE,IF($C$11&gt;0,0.00025*N390,0),IF('prijem -inna mena'!$I$91=TRUE,IF('prijem -inna mena'!$F$91&gt;0,0.00025*N390*-1,0),0))</f>
        <v>0</v>
      </c>
    </row>
    <row r="392" spans="1:18" x14ac:dyDescent="0.2">
      <c r="A392" s="89">
        <v>376</v>
      </c>
      <c r="B392" s="237" t="e">
        <f t="shared" si="54"/>
        <v>#NUM!</v>
      </c>
      <c r="C392" s="142" t="e">
        <f t="shared" si="50"/>
        <v>#NUM!</v>
      </c>
      <c r="D392" s="142" t="e">
        <f t="shared" si="55"/>
        <v>#NUM!</v>
      </c>
      <c r="E392" s="142" t="e">
        <f t="shared" si="56"/>
        <v>#NUM!</v>
      </c>
      <c r="F392" s="142" t="e">
        <f t="shared" si="51"/>
        <v>#NUM!</v>
      </c>
      <c r="G392" s="184">
        <f>IF('prijem -inna mena'!$I$90=TRUE,IF($C$11&gt;0,0.00025*C391,0),IF('prijem -inna mena'!$I$91=TRUE,IF('prijem -inna mena'!$F$91&gt;0,0.00025*C391,0),0))</f>
        <v>0</v>
      </c>
      <c r="L392" s="89">
        <v>376</v>
      </c>
      <c r="M392" s="237" t="e">
        <f t="shared" si="57"/>
        <v>#DIV/0!</v>
      </c>
      <c r="N392" s="142" t="e">
        <f t="shared" si="52"/>
        <v>#DIV/0!</v>
      </c>
      <c r="O392" s="142" t="e">
        <f t="shared" si="53"/>
        <v>#DIV/0!</v>
      </c>
      <c r="P392" s="142" t="e">
        <f t="shared" si="58"/>
        <v>#DIV/0!</v>
      </c>
      <c r="Q392" s="142" t="e">
        <f t="shared" si="59"/>
        <v>#DIV/0!</v>
      </c>
      <c r="R392" s="184">
        <f>IF('prijem -inna mena'!$I$90=TRUE,IF($C$11&gt;0,0.00025*N391,0),IF('prijem -inna mena'!$I$91=TRUE,IF('prijem -inna mena'!$F$91&gt;0,0.00025*N391*-1,0),0))</f>
        <v>0</v>
      </c>
    </row>
    <row r="393" spans="1:18" x14ac:dyDescent="0.2">
      <c r="A393" s="89">
        <v>377</v>
      </c>
      <c r="B393" s="237" t="e">
        <f t="shared" si="54"/>
        <v>#NUM!</v>
      </c>
      <c r="C393" s="142" t="e">
        <f t="shared" si="50"/>
        <v>#NUM!</v>
      </c>
      <c r="D393" s="142" t="e">
        <f t="shared" si="55"/>
        <v>#NUM!</v>
      </c>
      <c r="E393" s="142" t="e">
        <f t="shared" si="56"/>
        <v>#NUM!</v>
      </c>
      <c r="F393" s="142" t="e">
        <f t="shared" si="51"/>
        <v>#NUM!</v>
      </c>
      <c r="G393" s="184">
        <f>IF('prijem -inna mena'!$I$90=TRUE,IF($C$11&gt;0,0.00025*C392,0),IF('prijem -inna mena'!$I$91=TRUE,IF('prijem -inna mena'!$F$91&gt;0,0.00025*C392,0),0))</f>
        <v>0</v>
      </c>
      <c r="L393" s="89">
        <v>377</v>
      </c>
      <c r="M393" s="237" t="e">
        <f t="shared" si="57"/>
        <v>#DIV/0!</v>
      </c>
      <c r="N393" s="142" t="e">
        <f t="shared" si="52"/>
        <v>#DIV/0!</v>
      </c>
      <c r="O393" s="142" t="e">
        <f t="shared" si="53"/>
        <v>#DIV/0!</v>
      </c>
      <c r="P393" s="142" t="e">
        <f t="shared" si="58"/>
        <v>#DIV/0!</v>
      </c>
      <c r="Q393" s="142" t="e">
        <f t="shared" si="59"/>
        <v>#DIV/0!</v>
      </c>
      <c r="R393" s="184">
        <f>IF('prijem -inna mena'!$I$90=TRUE,IF($C$11&gt;0,0.00025*N392,0),IF('prijem -inna mena'!$I$91=TRUE,IF('prijem -inna mena'!$F$91&gt;0,0.00025*N392*-1,0),0))</f>
        <v>0</v>
      </c>
    </row>
    <row r="394" spans="1:18" x14ac:dyDescent="0.2">
      <c r="A394" s="89">
        <v>378</v>
      </c>
      <c r="B394" s="237" t="e">
        <f t="shared" si="54"/>
        <v>#NUM!</v>
      </c>
      <c r="C394" s="142" t="e">
        <f t="shared" si="50"/>
        <v>#NUM!</v>
      </c>
      <c r="D394" s="142" t="e">
        <f t="shared" si="55"/>
        <v>#NUM!</v>
      </c>
      <c r="E394" s="142" t="e">
        <f t="shared" si="56"/>
        <v>#NUM!</v>
      </c>
      <c r="F394" s="142" t="e">
        <f t="shared" si="51"/>
        <v>#NUM!</v>
      </c>
      <c r="G394" s="184">
        <f>IF('prijem -inna mena'!$I$90=TRUE,IF($C$11&gt;0,0.00025*C393,0),IF('prijem -inna mena'!$I$91=TRUE,IF('prijem -inna mena'!$F$91&gt;0,0.00025*C393,0),0))</f>
        <v>0</v>
      </c>
      <c r="L394" s="89">
        <v>378</v>
      </c>
      <c r="M394" s="237" t="e">
        <f t="shared" si="57"/>
        <v>#DIV/0!</v>
      </c>
      <c r="N394" s="142" t="e">
        <f t="shared" si="52"/>
        <v>#DIV/0!</v>
      </c>
      <c r="O394" s="142" t="e">
        <f t="shared" si="53"/>
        <v>#DIV/0!</v>
      </c>
      <c r="P394" s="142" t="e">
        <f t="shared" si="58"/>
        <v>#DIV/0!</v>
      </c>
      <c r="Q394" s="142" t="e">
        <f t="shared" si="59"/>
        <v>#DIV/0!</v>
      </c>
      <c r="R394" s="184">
        <f>IF('prijem -inna mena'!$I$90=TRUE,IF($C$11&gt;0,0.00025*N393,0),IF('prijem -inna mena'!$I$91=TRUE,IF('prijem -inna mena'!$F$91&gt;0,0.00025*N393*-1,0),0))</f>
        <v>0</v>
      </c>
    </row>
    <row r="395" spans="1:18" x14ac:dyDescent="0.2">
      <c r="A395" s="89">
        <v>379</v>
      </c>
      <c r="B395" s="237" t="e">
        <f t="shared" si="54"/>
        <v>#NUM!</v>
      </c>
      <c r="C395" s="142" t="e">
        <f t="shared" si="50"/>
        <v>#NUM!</v>
      </c>
      <c r="D395" s="142" t="e">
        <f t="shared" si="55"/>
        <v>#NUM!</v>
      </c>
      <c r="E395" s="142" t="e">
        <f t="shared" si="56"/>
        <v>#NUM!</v>
      </c>
      <c r="F395" s="142" t="e">
        <f t="shared" si="51"/>
        <v>#NUM!</v>
      </c>
      <c r="G395" s="184">
        <f>IF('prijem -inna mena'!$I$90=TRUE,IF($C$11&gt;0,0.00025*C394,0),IF('prijem -inna mena'!$I$91=TRUE,IF('prijem -inna mena'!$F$91&gt;0,0.00025*C394,0),0))</f>
        <v>0</v>
      </c>
      <c r="L395" s="89">
        <v>379</v>
      </c>
      <c r="M395" s="237" t="e">
        <f t="shared" si="57"/>
        <v>#DIV/0!</v>
      </c>
      <c r="N395" s="142" t="e">
        <f t="shared" si="52"/>
        <v>#DIV/0!</v>
      </c>
      <c r="O395" s="142" t="e">
        <f t="shared" si="53"/>
        <v>#DIV/0!</v>
      </c>
      <c r="P395" s="142" t="e">
        <f t="shared" si="58"/>
        <v>#DIV/0!</v>
      </c>
      <c r="Q395" s="142" t="e">
        <f t="shared" si="59"/>
        <v>#DIV/0!</v>
      </c>
      <c r="R395" s="184">
        <f>IF('prijem -inna mena'!$I$90=TRUE,IF($C$11&gt;0,0.00025*N394,0),IF('prijem -inna mena'!$I$91=TRUE,IF('prijem -inna mena'!$F$91&gt;0,0.00025*N394*-1,0),0))</f>
        <v>0</v>
      </c>
    </row>
    <row r="396" spans="1:18" x14ac:dyDescent="0.2">
      <c r="A396" s="89">
        <v>380</v>
      </c>
      <c r="B396" s="237" t="e">
        <f t="shared" si="54"/>
        <v>#NUM!</v>
      </c>
      <c r="C396" s="142" t="e">
        <f t="shared" si="50"/>
        <v>#NUM!</v>
      </c>
      <c r="D396" s="142" t="e">
        <f t="shared" si="55"/>
        <v>#NUM!</v>
      </c>
      <c r="E396" s="142" t="e">
        <f t="shared" si="56"/>
        <v>#NUM!</v>
      </c>
      <c r="F396" s="142" t="e">
        <f t="shared" si="51"/>
        <v>#NUM!</v>
      </c>
      <c r="G396" s="184">
        <f>IF('prijem -inna mena'!$I$90=TRUE,IF($C$11&gt;0,0.00025*C395,0),IF('prijem -inna mena'!$I$91=TRUE,IF('prijem -inna mena'!$F$91&gt;0,0.00025*C395,0),0))</f>
        <v>0</v>
      </c>
      <c r="L396" s="89">
        <v>380</v>
      </c>
      <c r="M396" s="237" t="e">
        <f t="shared" si="57"/>
        <v>#DIV/0!</v>
      </c>
      <c r="N396" s="142" t="e">
        <f t="shared" si="52"/>
        <v>#DIV/0!</v>
      </c>
      <c r="O396" s="142" t="e">
        <f t="shared" si="53"/>
        <v>#DIV/0!</v>
      </c>
      <c r="P396" s="142" t="e">
        <f t="shared" si="58"/>
        <v>#DIV/0!</v>
      </c>
      <c r="Q396" s="142" t="e">
        <f t="shared" si="59"/>
        <v>#DIV/0!</v>
      </c>
      <c r="R396" s="184">
        <f>IF('prijem -inna mena'!$I$90=TRUE,IF($C$11&gt;0,0.00025*N395,0),IF('prijem -inna mena'!$I$91=TRUE,IF('prijem -inna mena'!$F$91&gt;0,0.00025*N395*-1,0),0))</f>
        <v>0</v>
      </c>
    </row>
    <row r="397" spans="1:18" x14ac:dyDescent="0.2">
      <c r="A397" s="89">
        <v>381</v>
      </c>
      <c r="B397" s="237" t="e">
        <f t="shared" si="54"/>
        <v>#NUM!</v>
      </c>
      <c r="C397" s="142" t="e">
        <f t="shared" si="50"/>
        <v>#NUM!</v>
      </c>
      <c r="D397" s="142" t="e">
        <f t="shared" si="55"/>
        <v>#NUM!</v>
      </c>
      <c r="E397" s="142" t="e">
        <f t="shared" si="56"/>
        <v>#NUM!</v>
      </c>
      <c r="F397" s="142" t="e">
        <f t="shared" si="51"/>
        <v>#NUM!</v>
      </c>
      <c r="G397" s="184">
        <f>IF('prijem -inna mena'!$I$90=TRUE,IF($C$11&gt;0,0.00025*C396,0),IF('prijem -inna mena'!$I$91=TRUE,IF('prijem -inna mena'!$F$91&gt;0,0.00025*C396,0),0))</f>
        <v>0</v>
      </c>
      <c r="L397" s="89">
        <v>381</v>
      </c>
      <c r="M397" s="237" t="e">
        <f t="shared" si="57"/>
        <v>#DIV/0!</v>
      </c>
      <c r="N397" s="142" t="e">
        <f t="shared" si="52"/>
        <v>#DIV/0!</v>
      </c>
      <c r="O397" s="142" t="e">
        <f t="shared" si="53"/>
        <v>#DIV/0!</v>
      </c>
      <c r="P397" s="142" t="e">
        <f t="shared" si="58"/>
        <v>#DIV/0!</v>
      </c>
      <c r="Q397" s="142" t="e">
        <f t="shared" si="59"/>
        <v>#DIV/0!</v>
      </c>
      <c r="R397" s="184">
        <f>IF('prijem -inna mena'!$I$90=TRUE,IF($C$11&gt;0,0.00025*N396,0),IF('prijem -inna mena'!$I$91=TRUE,IF('prijem -inna mena'!$F$91&gt;0,0.00025*N396*-1,0),0))</f>
        <v>0</v>
      </c>
    </row>
    <row r="398" spans="1:18" x14ac:dyDescent="0.2">
      <c r="A398" s="89">
        <v>382</v>
      </c>
      <c r="B398" s="237" t="e">
        <f t="shared" si="54"/>
        <v>#NUM!</v>
      </c>
      <c r="C398" s="142" t="e">
        <f t="shared" si="50"/>
        <v>#NUM!</v>
      </c>
      <c r="D398" s="142" t="e">
        <f t="shared" si="55"/>
        <v>#NUM!</v>
      </c>
      <c r="E398" s="142" t="e">
        <f t="shared" si="56"/>
        <v>#NUM!</v>
      </c>
      <c r="F398" s="142" t="e">
        <f t="shared" si="51"/>
        <v>#NUM!</v>
      </c>
      <c r="G398" s="184">
        <f>IF('prijem -inna mena'!$I$90=TRUE,IF($C$11&gt;0,0.00025*C397,0),IF('prijem -inna mena'!$I$91=TRUE,IF('prijem -inna mena'!$F$91&gt;0,0.00025*C397,0),0))</f>
        <v>0</v>
      </c>
      <c r="L398" s="89">
        <v>382</v>
      </c>
      <c r="M398" s="237" t="e">
        <f t="shared" si="57"/>
        <v>#DIV/0!</v>
      </c>
      <c r="N398" s="142" t="e">
        <f t="shared" si="52"/>
        <v>#DIV/0!</v>
      </c>
      <c r="O398" s="142" t="e">
        <f t="shared" si="53"/>
        <v>#DIV/0!</v>
      </c>
      <c r="P398" s="142" t="e">
        <f t="shared" si="58"/>
        <v>#DIV/0!</v>
      </c>
      <c r="Q398" s="142" t="e">
        <f t="shared" si="59"/>
        <v>#DIV/0!</v>
      </c>
      <c r="R398" s="184">
        <f>IF('prijem -inna mena'!$I$90=TRUE,IF($C$11&gt;0,0.00025*N397,0),IF('prijem -inna mena'!$I$91=TRUE,IF('prijem -inna mena'!$F$91&gt;0,0.00025*N397*-1,0),0))</f>
        <v>0</v>
      </c>
    </row>
    <row r="399" spans="1:18" x14ac:dyDescent="0.2">
      <c r="A399" s="89">
        <v>383</v>
      </c>
      <c r="B399" s="237" t="e">
        <f t="shared" si="54"/>
        <v>#NUM!</v>
      </c>
      <c r="C399" s="142" t="e">
        <f t="shared" si="50"/>
        <v>#NUM!</v>
      </c>
      <c r="D399" s="142" t="e">
        <f t="shared" si="55"/>
        <v>#NUM!</v>
      </c>
      <c r="E399" s="142" t="e">
        <f t="shared" si="56"/>
        <v>#NUM!</v>
      </c>
      <c r="F399" s="142" t="e">
        <f t="shared" si="51"/>
        <v>#NUM!</v>
      </c>
      <c r="G399" s="184">
        <f>IF('prijem -inna mena'!$I$90=TRUE,IF($C$11&gt;0,0.00025*C398,0),IF('prijem -inna mena'!$I$91=TRUE,IF('prijem -inna mena'!$F$91&gt;0,0.00025*C398,0),0))</f>
        <v>0</v>
      </c>
      <c r="L399" s="89">
        <v>383</v>
      </c>
      <c r="M399" s="237" t="e">
        <f t="shared" si="57"/>
        <v>#DIV/0!</v>
      </c>
      <c r="N399" s="142" t="e">
        <f t="shared" si="52"/>
        <v>#DIV/0!</v>
      </c>
      <c r="O399" s="142" t="e">
        <f t="shared" si="53"/>
        <v>#DIV/0!</v>
      </c>
      <c r="P399" s="142" t="e">
        <f t="shared" si="58"/>
        <v>#DIV/0!</v>
      </c>
      <c r="Q399" s="142" t="e">
        <f t="shared" si="59"/>
        <v>#DIV/0!</v>
      </c>
      <c r="R399" s="184">
        <f>IF('prijem -inna mena'!$I$90=TRUE,IF($C$11&gt;0,0.00025*N398,0),IF('prijem -inna mena'!$I$91=TRUE,IF('prijem -inna mena'!$F$91&gt;0,0.00025*N398*-1,0),0))</f>
        <v>0</v>
      </c>
    </row>
    <row r="400" spans="1:18" x14ac:dyDescent="0.2">
      <c r="A400" s="89">
        <v>384</v>
      </c>
      <c r="B400" s="237" t="e">
        <f t="shared" si="54"/>
        <v>#NUM!</v>
      </c>
      <c r="C400" s="142" t="e">
        <f t="shared" si="50"/>
        <v>#NUM!</v>
      </c>
      <c r="D400" s="142" t="e">
        <f t="shared" si="55"/>
        <v>#NUM!</v>
      </c>
      <c r="E400" s="142" t="e">
        <f t="shared" si="56"/>
        <v>#NUM!</v>
      </c>
      <c r="F400" s="142" t="e">
        <f t="shared" si="51"/>
        <v>#NUM!</v>
      </c>
      <c r="G400" s="184">
        <f>IF('prijem -inna mena'!$I$90=TRUE,IF($C$11&gt;0,0.00025*C399,0),IF('prijem -inna mena'!$I$91=TRUE,IF('prijem -inna mena'!$F$91&gt;0,0.00025*C399,0),0))</f>
        <v>0</v>
      </c>
      <c r="L400" s="89">
        <v>384</v>
      </c>
      <c r="M400" s="237" t="e">
        <f t="shared" si="57"/>
        <v>#DIV/0!</v>
      </c>
      <c r="N400" s="142" t="e">
        <f t="shared" si="52"/>
        <v>#DIV/0!</v>
      </c>
      <c r="O400" s="142" t="e">
        <f t="shared" si="53"/>
        <v>#DIV/0!</v>
      </c>
      <c r="P400" s="142" t="e">
        <f t="shared" si="58"/>
        <v>#DIV/0!</v>
      </c>
      <c r="Q400" s="142" t="e">
        <f t="shared" si="59"/>
        <v>#DIV/0!</v>
      </c>
      <c r="R400" s="184">
        <f>IF('prijem -inna mena'!$I$90=TRUE,IF($C$11&gt;0,0.00025*N399,0),IF('prijem -inna mena'!$I$91=TRUE,IF('prijem -inna mena'!$F$91&gt;0,0.00025*N399*-1,0),0))</f>
        <v>0</v>
      </c>
    </row>
    <row r="401" spans="1:18" x14ac:dyDescent="0.2">
      <c r="A401" s="89">
        <v>385</v>
      </c>
      <c r="B401" s="237" t="e">
        <f t="shared" si="54"/>
        <v>#NUM!</v>
      </c>
      <c r="C401" s="142" t="e">
        <f t="shared" ref="C401:C464" si="60">MAX(C400-D401,0)</f>
        <v>#NUM!</v>
      </c>
      <c r="D401" s="142" t="e">
        <f t="shared" si="55"/>
        <v>#NUM!</v>
      </c>
      <c r="E401" s="142" t="e">
        <f t="shared" si="56"/>
        <v>#NUM!</v>
      </c>
      <c r="F401" s="142" t="e">
        <f t="shared" ref="F401:F464" si="61">PMT($C$4/12,$C$5,$C$3)</f>
        <v>#NUM!</v>
      </c>
      <c r="G401" s="184">
        <f>IF('prijem -inna mena'!$I$90=TRUE,IF($C$11&gt;0,0.00025*C400,0),IF('prijem -inna mena'!$I$91=TRUE,IF('prijem -inna mena'!$F$91&gt;0,0.00025*C400,0),0))</f>
        <v>0</v>
      </c>
      <c r="L401" s="89">
        <v>385</v>
      </c>
      <c r="M401" s="237" t="e">
        <f t="shared" si="57"/>
        <v>#DIV/0!</v>
      </c>
      <c r="N401" s="142" t="e">
        <f t="shared" ref="N401:N464" si="62">MAX(N400-O401,0)</f>
        <v>#DIV/0!</v>
      </c>
      <c r="O401" s="142" t="e">
        <f t="shared" ref="O401:O464" si="63">$N$16/$N$5</f>
        <v>#DIV/0!</v>
      </c>
      <c r="P401" s="142" t="e">
        <f t="shared" si="58"/>
        <v>#DIV/0!</v>
      </c>
      <c r="Q401" s="142" t="e">
        <f t="shared" si="59"/>
        <v>#DIV/0!</v>
      </c>
      <c r="R401" s="184">
        <f>IF('prijem -inna mena'!$I$90=TRUE,IF($C$11&gt;0,0.00025*N400,0),IF('prijem -inna mena'!$I$91=TRUE,IF('prijem -inna mena'!$F$91&gt;0,0.00025*N400*-1,0),0))</f>
        <v>0</v>
      </c>
    </row>
    <row r="402" spans="1:18" x14ac:dyDescent="0.2">
      <c r="A402" s="89">
        <v>386</v>
      </c>
      <c r="B402" s="237" t="e">
        <f t="shared" ref="B402:B465" si="64">IF(C401&gt;0.00001,F402-G402,0)</f>
        <v>#NUM!</v>
      </c>
      <c r="C402" s="142" t="e">
        <f t="shared" si="60"/>
        <v>#NUM!</v>
      </c>
      <c r="D402" s="142" t="e">
        <f t="shared" ref="D402:D465" si="65">(F402-E402)*-1</f>
        <v>#NUM!</v>
      </c>
      <c r="E402" s="142" t="e">
        <f t="shared" ref="E402:E465" si="66">IPMT($C$4/12,1,$C$5,C401)</f>
        <v>#NUM!</v>
      </c>
      <c r="F402" s="142" t="e">
        <f t="shared" si="61"/>
        <v>#NUM!</v>
      </c>
      <c r="G402" s="184">
        <f>IF('prijem -inna mena'!$I$90=TRUE,IF($C$11&gt;0,0.00025*C401,0),IF('prijem -inna mena'!$I$91=TRUE,IF('prijem -inna mena'!$F$91&gt;0,0.00025*C401,0),0))</f>
        <v>0</v>
      </c>
      <c r="L402" s="89">
        <v>386</v>
      </c>
      <c r="M402" s="237" t="e">
        <f t="shared" ref="M402:M465" si="67">IF(N401&gt;0.00001,Q402-R402,0)*-1</f>
        <v>#DIV/0!</v>
      </c>
      <c r="N402" s="142" t="e">
        <f t="shared" si="62"/>
        <v>#DIV/0!</v>
      </c>
      <c r="O402" s="142" t="e">
        <f t="shared" si="63"/>
        <v>#DIV/0!</v>
      </c>
      <c r="P402" s="142" t="e">
        <f t="shared" ref="P402:P465" si="68">N401*$N$4/12</f>
        <v>#DIV/0!</v>
      </c>
      <c r="Q402" s="142" t="e">
        <f t="shared" ref="Q402:Q465" si="69">P402+O402</f>
        <v>#DIV/0!</v>
      </c>
      <c r="R402" s="184">
        <f>IF('prijem -inna mena'!$I$90=TRUE,IF($C$11&gt;0,0.00025*N401,0),IF('prijem -inna mena'!$I$91=TRUE,IF('prijem -inna mena'!$F$91&gt;0,0.00025*N401*-1,0),0))</f>
        <v>0</v>
      </c>
    </row>
    <row r="403" spans="1:18" x14ac:dyDescent="0.2">
      <c r="A403" s="89">
        <v>387</v>
      </c>
      <c r="B403" s="237" t="e">
        <f t="shared" si="64"/>
        <v>#NUM!</v>
      </c>
      <c r="C403" s="142" t="e">
        <f t="shared" si="60"/>
        <v>#NUM!</v>
      </c>
      <c r="D403" s="142" t="e">
        <f t="shared" si="65"/>
        <v>#NUM!</v>
      </c>
      <c r="E403" s="142" t="e">
        <f t="shared" si="66"/>
        <v>#NUM!</v>
      </c>
      <c r="F403" s="142" t="e">
        <f t="shared" si="61"/>
        <v>#NUM!</v>
      </c>
      <c r="G403" s="184">
        <f>IF('prijem -inna mena'!$I$90=TRUE,IF($C$11&gt;0,0.00025*C402,0),IF('prijem -inna mena'!$I$91=TRUE,IF('prijem -inna mena'!$F$91&gt;0,0.00025*C402,0),0))</f>
        <v>0</v>
      </c>
      <c r="L403" s="89">
        <v>387</v>
      </c>
      <c r="M403" s="237" t="e">
        <f t="shared" si="67"/>
        <v>#DIV/0!</v>
      </c>
      <c r="N403" s="142" t="e">
        <f t="shared" si="62"/>
        <v>#DIV/0!</v>
      </c>
      <c r="O403" s="142" t="e">
        <f t="shared" si="63"/>
        <v>#DIV/0!</v>
      </c>
      <c r="P403" s="142" t="e">
        <f t="shared" si="68"/>
        <v>#DIV/0!</v>
      </c>
      <c r="Q403" s="142" t="e">
        <f t="shared" si="69"/>
        <v>#DIV/0!</v>
      </c>
      <c r="R403" s="184">
        <f>IF('prijem -inna mena'!$I$90=TRUE,IF($C$11&gt;0,0.00025*N402,0),IF('prijem -inna mena'!$I$91=TRUE,IF('prijem -inna mena'!$F$91&gt;0,0.00025*N402*-1,0),0))</f>
        <v>0</v>
      </c>
    </row>
    <row r="404" spans="1:18" x14ac:dyDescent="0.2">
      <c r="A404" s="89">
        <v>388</v>
      </c>
      <c r="B404" s="237" t="e">
        <f t="shared" si="64"/>
        <v>#NUM!</v>
      </c>
      <c r="C404" s="142" t="e">
        <f t="shared" si="60"/>
        <v>#NUM!</v>
      </c>
      <c r="D404" s="142" t="e">
        <f t="shared" si="65"/>
        <v>#NUM!</v>
      </c>
      <c r="E404" s="142" t="e">
        <f t="shared" si="66"/>
        <v>#NUM!</v>
      </c>
      <c r="F404" s="142" t="e">
        <f t="shared" si="61"/>
        <v>#NUM!</v>
      </c>
      <c r="G404" s="184">
        <f>IF('prijem -inna mena'!$I$90=TRUE,IF($C$11&gt;0,0.00025*C403,0),IF('prijem -inna mena'!$I$91=TRUE,IF('prijem -inna mena'!$F$91&gt;0,0.00025*C403,0),0))</f>
        <v>0</v>
      </c>
      <c r="L404" s="89">
        <v>388</v>
      </c>
      <c r="M404" s="237" t="e">
        <f t="shared" si="67"/>
        <v>#DIV/0!</v>
      </c>
      <c r="N404" s="142" t="e">
        <f t="shared" si="62"/>
        <v>#DIV/0!</v>
      </c>
      <c r="O404" s="142" t="e">
        <f t="shared" si="63"/>
        <v>#DIV/0!</v>
      </c>
      <c r="P404" s="142" t="e">
        <f t="shared" si="68"/>
        <v>#DIV/0!</v>
      </c>
      <c r="Q404" s="142" t="e">
        <f t="shared" si="69"/>
        <v>#DIV/0!</v>
      </c>
      <c r="R404" s="184">
        <f>IF('prijem -inna mena'!$I$90=TRUE,IF($C$11&gt;0,0.00025*N403,0),IF('prijem -inna mena'!$I$91=TRUE,IF('prijem -inna mena'!$F$91&gt;0,0.00025*N403*-1,0),0))</f>
        <v>0</v>
      </c>
    </row>
    <row r="405" spans="1:18" x14ac:dyDescent="0.2">
      <c r="A405" s="89">
        <v>389</v>
      </c>
      <c r="B405" s="237" t="e">
        <f t="shared" si="64"/>
        <v>#NUM!</v>
      </c>
      <c r="C405" s="142" t="e">
        <f t="shared" si="60"/>
        <v>#NUM!</v>
      </c>
      <c r="D405" s="142" t="e">
        <f t="shared" si="65"/>
        <v>#NUM!</v>
      </c>
      <c r="E405" s="142" t="e">
        <f t="shared" si="66"/>
        <v>#NUM!</v>
      </c>
      <c r="F405" s="142" t="e">
        <f t="shared" si="61"/>
        <v>#NUM!</v>
      </c>
      <c r="G405" s="184">
        <f>IF('prijem -inna mena'!$I$90=TRUE,IF($C$11&gt;0,0.00025*C404,0),IF('prijem -inna mena'!$I$91=TRUE,IF('prijem -inna mena'!$F$91&gt;0,0.00025*C404,0),0))</f>
        <v>0</v>
      </c>
      <c r="L405" s="89">
        <v>389</v>
      </c>
      <c r="M405" s="237" t="e">
        <f t="shared" si="67"/>
        <v>#DIV/0!</v>
      </c>
      <c r="N405" s="142" t="e">
        <f t="shared" si="62"/>
        <v>#DIV/0!</v>
      </c>
      <c r="O405" s="142" t="e">
        <f t="shared" si="63"/>
        <v>#DIV/0!</v>
      </c>
      <c r="P405" s="142" t="e">
        <f t="shared" si="68"/>
        <v>#DIV/0!</v>
      </c>
      <c r="Q405" s="142" t="e">
        <f t="shared" si="69"/>
        <v>#DIV/0!</v>
      </c>
      <c r="R405" s="184">
        <f>IF('prijem -inna mena'!$I$90=TRUE,IF($C$11&gt;0,0.00025*N404,0),IF('prijem -inna mena'!$I$91=TRUE,IF('prijem -inna mena'!$F$91&gt;0,0.00025*N404*-1,0),0))</f>
        <v>0</v>
      </c>
    </row>
    <row r="406" spans="1:18" x14ac:dyDescent="0.2">
      <c r="A406" s="89">
        <v>390</v>
      </c>
      <c r="B406" s="237" t="e">
        <f t="shared" si="64"/>
        <v>#NUM!</v>
      </c>
      <c r="C406" s="142" t="e">
        <f t="shared" si="60"/>
        <v>#NUM!</v>
      </c>
      <c r="D406" s="142" t="e">
        <f t="shared" si="65"/>
        <v>#NUM!</v>
      </c>
      <c r="E406" s="142" t="e">
        <f t="shared" si="66"/>
        <v>#NUM!</v>
      </c>
      <c r="F406" s="142" t="e">
        <f t="shared" si="61"/>
        <v>#NUM!</v>
      </c>
      <c r="G406" s="184">
        <f>IF('prijem -inna mena'!$I$90=TRUE,IF($C$11&gt;0,0.00025*C405,0),IF('prijem -inna mena'!$I$91=TRUE,IF('prijem -inna mena'!$F$91&gt;0,0.00025*C405,0),0))</f>
        <v>0</v>
      </c>
      <c r="L406" s="89">
        <v>390</v>
      </c>
      <c r="M406" s="237" t="e">
        <f t="shared" si="67"/>
        <v>#DIV/0!</v>
      </c>
      <c r="N406" s="142" t="e">
        <f t="shared" si="62"/>
        <v>#DIV/0!</v>
      </c>
      <c r="O406" s="142" t="e">
        <f t="shared" si="63"/>
        <v>#DIV/0!</v>
      </c>
      <c r="P406" s="142" t="e">
        <f t="shared" si="68"/>
        <v>#DIV/0!</v>
      </c>
      <c r="Q406" s="142" t="e">
        <f t="shared" si="69"/>
        <v>#DIV/0!</v>
      </c>
      <c r="R406" s="184">
        <f>IF('prijem -inna mena'!$I$90=TRUE,IF($C$11&gt;0,0.00025*N405,0),IF('prijem -inna mena'!$I$91=TRUE,IF('prijem -inna mena'!$F$91&gt;0,0.00025*N405*-1,0),0))</f>
        <v>0</v>
      </c>
    </row>
    <row r="407" spans="1:18" x14ac:dyDescent="0.2">
      <c r="A407" s="89">
        <v>391</v>
      </c>
      <c r="B407" s="237" t="e">
        <f t="shared" si="64"/>
        <v>#NUM!</v>
      </c>
      <c r="C407" s="142" t="e">
        <f t="shared" si="60"/>
        <v>#NUM!</v>
      </c>
      <c r="D407" s="142" t="e">
        <f t="shared" si="65"/>
        <v>#NUM!</v>
      </c>
      <c r="E407" s="142" t="e">
        <f t="shared" si="66"/>
        <v>#NUM!</v>
      </c>
      <c r="F407" s="142" t="e">
        <f t="shared" si="61"/>
        <v>#NUM!</v>
      </c>
      <c r="G407" s="184">
        <f>IF('prijem -inna mena'!$I$90=TRUE,IF($C$11&gt;0,0.00025*C406,0),IF('prijem -inna mena'!$I$91=TRUE,IF('prijem -inna mena'!$F$91&gt;0,0.00025*C406,0),0))</f>
        <v>0</v>
      </c>
      <c r="L407" s="89">
        <v>391</v>
      </c>
      <c r="M407" s="237" t="e">
        <f t="shared" si="67"/>
        <v>#DIV/0!</v>
      </c>
      <c r="N407" s="142" t="e">
        <f t="shared" si="62"/>
        <v>#DIV/0!</v>
      </c>
      <c r="O407" s="142" t="e">
        <f t="shared" si="63"/>
        <v>#DIV/0!</v>
      </c>
      <c r="P407" s="142" t="e">
        <f t="shared" si="68"/>
        <v>#DIV/0!</v>
      </c>
      <c r="Q407" s="142" t="e">
        <f t="shared" si="69"/>
        <v>#DIV/0!</v>
      </c>
      <c r="R407" s="184">
        <f>IF('prijem -inna mena'!$I$90=TRUE,IF($C$11&gt;0,0.00025*N406,0),IF('prijem -inna mena'!$I$91=TRUE,IF('prijem -inna mena'!$F$91&gt;0,0.00025*N406*-1,0),0))</f>
        <v>0</v>
      </c>
    </row>
    <row r="408" spans="1:18" x14ac:dyDescent="0.2">
      <c r="A408" s="89">
        <v>392</v>
      </c>
      <c r="B408" s="237" t="e">
        <f t="shared" si="64"/>
        <v>#NUM!</v>
      </c>
      <c r="C408" s="142" t="e">
        <f t="shared" si="60"/>
        <v>#NUM!</v>
      </c>
      <c r="D408" s="142" t="e">
        <f t="shared" si="65"/>
        <v>#NUM!</v>
      </c>
      <c r="E408" s="142" t="e">
        <f t="shared" si="66"/>
        <v>#NUM!</v>
      </c>
      <c r="F408" s="142" t="e">
        <f t="shared" si="61"/>
        <v>#NUM!</v>
      </c>
      <c r="G408" s="184">
        <f>IF('prijem -inna mena'!$I$90=TRUE,IF($C$11&gt;0,0.00025*C407,0),IF('prijem -inna mena'!$I$91=TRUE,IF('prijem -inna mena'!$F$91&gt;0,0.00025*C407,0),0))</f>
        <v>0</v>
      </c>
      <c r="L408" s="89">
        <v>392</v>
      </c>
      <c r="M408" s="237" t="e">
        <f t="shared" si="67"/>
        <v>#DIV/0!</v>
      </c>
      <c r="N408" s="142" t="e">
        <f t="shared" si="62"/>
        <v>#DIV/0!</v>
      </c>
      <c r="O408" s="142" t="e">
        <f t="shared" si="63"/>
        <v>#DIV/0!</v>
      </c>
      <c r="P408" s="142" t="e">
        <f t="shared" si="68"/>
        <v>#DIV/0!</v>
      </c>
      <c r="Q408" s="142" t="e">
        <f t="shared" si="69"/>
        <v>#DIV/0!</v>
      </c>
      <c r="R408" s="184">
        <f>IF('prijem -inna mena'!$I$90=TRUE,IF($C$11&gt;0,0.00025*N407,0),IF('prijem -inna mena'!$I$91=TRUE,IF('prijem -inna mena'!$F$91&gt;0,0.00025*N407*-1,0),0))</f>
        <v>0</v>
      </c>
    </row>
    <row r="409" spans="1:18" x14ac:dyDescent="0.2">
      <c r="A409" s="89">
        <v>393</v>
      </c>
      <c r="B409" s="237" t="e">
        <f t="shared" si="64"/>
        <v>#NUM!</v>
      </c>
      <c r="C409" s="142" t="e">
        <f t="shared" si="60"/>
        <v>#NUM!</v>
      </c>
      <c r="D409" s="142" t="e">
        <f t="shared" si="65"/>
        <v>#NUM!</v>
      </c>
      <c r="E409" s="142" t="e">
        <f t="shared" si="66"/>
        <v>#NUM!</v>
      </c>
      <c r="F409" s="142" t="e">
        <f t="shared" si="61"/>
        <v>#NUM!</v>
      </c>
      <c r="G409" s="184">
        <f>IF('prijem -inna mena'!$I$90=TRUE,IF($C$11&gt;0,0.00025*C408,0),IF('prijem -inna mena'!$I$91=TRUE,IF('prijem -inna mena'!$F$91&gt;0,0.00025*C408,0),0))</f>
        <v>0</v>
      </c>
      <c r="L409" s="89">
        <v>393</v>
      </c>
      <c r="M409" s="237" t="e">
        <f t="shared" si="67"/>
        <v>#DIV/0!</v>
      </c>
      <c r="N409" s="142" t="e">
        <f t="shared" si="62"/>
        <v>#DIV/0!</v>
      </c>
      <c r="O409" s="142" t="e">
        <f t="shared" si="63"/>
        <v>#DIV/0!</v>
      </c>
      <c r="P409" s="142" t="e">
        <f t="shared" si="68"/>
        <v>#DIV/0!</v>
      </c>
      <c r="Q409" s="142" t="e">
        <f t="shared" si="69"/>
        <v>#DIV/0!</v>
      </c>
      <c r="R409" s="184">
        <f>IF('prijem -inna mena'!$I$90=TRUE,IF($C$11&gt;0,0.00025*N408,0),IF('prijem -inna mena'!$I$91=TRUE,IF('prijem -inna mena'!$F$91&gt;0,0.00025*N408*-1,0),0))</f>
        <v>0</v>
      </c>
    </row>
    <row r="410" spans="1:18" x14ac:dyDescent="0.2">
      <c r="A410" s="89">
        <v>394</v>
      </c>
      <c r="B410" s="237" t="e">
        <f t="shared" si="64"/>
        <v>#NUM!</v>
      </c>
      <c r="C410" s="142" t="e">
        <f t="shared" si="60"/>
        <v>#NUM!</v>
      </c>
      <c r="D410" s="142" t="e">
        <f t="shared" si="65"/>
        <v>#NUM!</v>
      </c>
      <c r="E410" s="142" t="e">
        <f t="shared" si="66"/>
        <v>#NUM!</v>
      </c>
      <c r="F410" s="142" t="e">
        <f t="shared" si="61"/>
        <v>#NUM!</v>
      </c>
      <c r="G410" s="184">
        <f>IF('prijem -inna mena'!$I$90=TRUE,IF($C$11&gt;0,0.00025*C409,0),IF('prijem -inna mena'!$I$91=TRUE,IF('prijem -inna mena'!$F$91&gt;0,0.00025*C409,0),0))</f>
        <v>0</v>
      </c>
      <c r="L410" s="89">
        <v>394</v>
      </c>
      <c r="M410" s="237" t="e">
        <f t="shared" si="67"/>
        <v>#DIV/0!</v>
      </c>
      <c r="N410" s="142" t="e">
        <f t="shared" si="62"/>
        <v>#DIV/0!</v>
      </c>
      <c r="O410" s="142" t="e">
        <f t="shared" si="63"/>
        <v>#DIV/0!</v>
      </c>
      <c r="P410" s="142" t="e">
        <f t="shared" si="68"/>
        <v>#DIV/0!</v>
      </c>
      <c r="Q410" s="142" t="e">
        <f t="shared" si="69"/>
        <v>#DIV/0!</v>
      </c>
      <c r="R410" s="184">
        <f>IF('prijem -inna mena'!$I$90=TRUE,IF($C$11&gt;0,0.00025*N409,0),IF('prijem -inna mena'!$I$91=TRUE,IF('prijem -inna mena'!$F$91&gt;0,0.00025*N409*-1,0),0))</f>
        <v>0</v>
      </c>
    </row>
    <row r="411" spans="1:18" x14ac:dyDescent="0.2">
      <c r="A411" s="89">
        <v>395</v>
      </c>
      <c r="B411" s="237" t="e">
        <f t="shared" si="64"/>
        <v>#NUM!</v>
      </c>
      <c r="C411" s="142" t="e">
        <f t="shared" si="60"/>
        <v>#NUM!</v>
      </c>
      <c r="D411" s="142" t="e">
        <f t="shared" si="65"/>
        <v>#NUM!</v>
      </c>
      <c r="E411" s="142" t="e">
        <f t="shared" si="66"/>
        <v>#NUM!</v>
      </c>
      <c r="F411" s="142" t="e">
        <f t="shared" si="61"/>
        <v>#NUM!</v>
      </c>
      <c r="G411" s="184">
        <f>IF('prijem -inna mena'!$I$90=TRUE,IF($C$11&gt;0,0.00025*C410,0),IF('prijem -inna mena'!$I$91=TRUE,IF('prijem -inna mena'!$F$91&gt;0,0.00025*C410,0),0))</f>
        <v>0</v>
      </c>
      <c r="L411" s="89">
        <v>395</v>
      </c>
      <c r="M411" s="237" t="e">
        <f t="shared" si="67"/>
        <v>#DIV/0!</v>
      </c>
      <c r="N411" s="142" t="e">
        <f t="shared" si="62"/>
        <v>#DIV/0!</v>
      </c>
      <c r="O411" s="142" t="e">
        <f t="shared" si="63"/>
        <v>#DIV/0!</v>
      </c>
      <c r="P411" s="142" t="e">
        <f t="shared" si="68"/>
        <v>#DIV/0!</v>
      </c>
      <c r="Q411" s="142" t="e">
        <f t="shared" si="69"/>
        <v>#DIV/0!</v>
      </c>
      <c r="R411" s="184">
        <f>IF('prijem -inna mena'!$I$90=TRUE,IF($C$11&gt;0,0.00025*N410,0),IF('prijem -inna mena'!$I$91=TRUE,IF('prijem -inna mena'!$F$91&gt;0,0.00025*N410*-1,0),0))</f>
        <v>0</v>
      </c>
    </row>
    <row r="412" spans="1:18" x14ac:dyDescent="0.2">
      <c r="A412" s="89">
        <v>396</v>
      </c>
      <c r="B412" s="237" t="e">
        <f t="shared" si="64"/>
        <v>#NUM!</v>
      </c>
      <c r="C412" s="142" t="e">
        <f t="shared" si="60"/>
        <v>#NUM!</v>
      </c>
      <c r="D412" s="142" t="e">
        <f t="shared" si="65"/>
        <v>#NUM!</v>
      </c>
      <c r="E412" s="142" t="e">
        <f t="shared" si="66"/>
        <v>#NUM!</v>
      </c>
      <c r="F412" s="142" t="e">
        <f t="shared" si="61"/>
        <v>#NUM!</v>
      </c>
      <c r="G412" s="184">
        <f>IF('prijem -inna mena'!$I$90=TRUE,IF($C$11&gt;0,0.00025*C411,0),IF('prijem -inna mena'!$I$91=TRUE,IF('prijem -inna mena'!$F$91&gt;0,0.00025*C411,0),0))</f>
        <v>0</v>
      </c>
      <c r="L412" s="89">
        <v>396</v>
      </c>
      <c r="M412" s="237" t="e">
        <f t="shared" si="67"/>
        <v>#DIV/0!</v>
      </c>
      <c r="N412" s="142" t="e">
        <f t="shared" si="62"/>
        <v>#DIV/0!</v>
      </c>
      <c r="O412" s="142" t="e">
        <f t="shared" si="63"/>
        <v>#DIV/0!</v>
      </c>
      <c r="P412" s="142" t="e">
        <f t="shared" si="68"/>
        <v>#DIV/0!</v>
      </c>
      <c r="Q412" s="142" t="e">
        <f t="shared" si="69"/>
        <v>#DIV/0!</v>
      </c>
      <c r="R412" s="184">
        <f>IF('prijem -inna mena'!$I$90=TRUE,IF($C$11&gt;0,0.00025*N411,0),IF('prijem -inna mena'!$I$91=TRUE,IF('prijem -inna mena'!$F$91&gt;0,0.00025*N411*-1,0),0))</f>
        <v>0</v>
      </c>
    </row>
    <row r="413" spans="1:18" x14ac:dyDescent="0.2">
      <c r="A413" s="89">
        <v>397</v>
      </c>
      <c r="B413" s="237" t="e">
        <f t="shared" si="64"/>
        <v>#NUM!</v>
      </c>
      <c r="C413" s="142" t="e">
        <f t="shared" si="60"/>
        <v>#NUM!</v>
      </c>
      <c r="D413" s="142" t="e">
        <f t="shared" si="65"/>
        <v>#NUM!</v>
      </c>
      <c r="E413" s="142" t="e">
        <f t="shared" si="66"/>
        <v>#NUM!</v>
      </c>
      <c r="F413" s="142" t="e">
        <f t="shared" si="61"/>
        <v>#NUM!</v>
      </c>
      <c r="G413" s="184">
        <f>IF('prijem -inna mena'!$I$90=TRUE,IF($C$11&gt;0,0.00025*C412,0),IF('prijem -inna mena'!$I$91=TRUE,IF('prijem -inna mena'!$F$91&gt;0,0.00025*C412,0),0))</f>
        <v>0</v>
      </c>
      <c r="L413" s="89">
        <v>397</v>
      </c>
      <c r="M413" s="237" t="e">
        <f t="shared" si="67"/>
        <v>#DIV/0!</v>
      </c>
      <c r="N413" s="142" t="e">
        <f t="shared" si="62"/>
        <v>#DIV/0!</v>
      </c>
      <c r="O413" s="142" t="e">
        <f t="shared" si="63"/>
        <v>#DIV/0!</v>
      </c>
      <c r="P413" s="142" t="e">
        <f t="shared" si="68"/>
        <v>#DIV/0!</v>
      </c>
      <c r="Q413" s="142" t="e">
        <f t="shared" si="69"/>
        <v>#DIV/0!</v>
      </c>
      <c r="R413" s="184">
        <f>IF('prijem -inna mena'!$I$90=TRUE,IF($C$11&gt;0,0.00025*N412,0),IF('prijem -inna mena'!$I$91=TRUE,IF('prijem -inna mena'!$F$91&gt;0,0.00025*N412*-1,0),0))</f>
        <v>0</v>
      </c>
    </row>
    <row r="414" spans="1:18" x14ac:dyDescent="0.2">
      <c r="A414" s="89">
        <v>398</v>
      </c>
      <c r="B414" s="237" t="e">
        <f t="shared" si="64"/>
        <v>#NUM!</v>
      </c>
      <c r="C414" s="142" t="e">
        <f t="shared" si="60"/>
        <v>#NUM!</v>
      </c>
      <c r="D414" s="142" t="e">
        <f t="shared" si="65"/>
        <v>#NUM!</v>
      </c>
      <c r="E414" s="142" t="e">
        <f t="shared" si="66"/>
        <v>#NUM!</v>
      </c>
      <c r="F414" s="142" t="e">
        <f t="shared" si="61"/>
        <v>#NUM!</v>
      </c>
      <c r="G414" s="184">
        <f>IF('prijem -inna mena'!$I$90=TRUE,IF($C$11&gt;0,0.00025*C413,0),IF('prijem -inna mena'!$I$91=TRUE,IF('prijem -inna mena'!$F$91&gt;0,0.00025*C413,0),0))</f>
        <v>0</v>
      </c>
      <c r="L414" s="89">
        <v>398</v>
      </c>
      <c r="M414" s="237" t="e">
        <f t="shared" si="67"/>
        <v>#DIV/0!</v>
      </c>
      <c r="N414" s="142" t="e">
        <f t="shared" si="62"/>
        <v>#DIV/0!</v>
      </c>
      <c r="O414" s="142" t="e">
        <f t="shared" si="63"/>
        <v>#DIV/0!</v>
      </c>
      <c r="P414" s="142" t="e">
        <f t="shared" si="68"/>
        <v>#DIV/0!</v>
      </c>
      <c r="Q414" s="142" t="e">
        <f t="shared" si="69"/>
        <v>#DIV/0!</v>
      </c>
      <c r="R414" s="184">
        <f>IF('prijem -inna mena'!$I$90=TRUE,IF($C$11&gt;0,0.00025*N413,0),IF('prijem -inna mena'!$I$91=TRUE,IF('prijem -inna mena'!$F$91&gt;0,0.00025*N413*-1,0),0))</f>
        <v>0</v>
      </c>
    </row>
    <row r="415" spans="1:18" x14ac:dyDescent="0.2">
      <c r="A415" s="89">
        <v>399</v>
      </c>
      <c r="B415" s="237" t="e">
        <f t="shared" si="64"/>
        <v>#NUM!</v>
      </c>
      <c r="C415" s="142" t="e">
        <f t="shared" si="60"/>
        <v>#NUM!</v>
      </c>
      <c r="D415" s="142" t="e">
        <f t="shared" si="65"/>
        <v>#NUM!</v>
      </c>
      <c r="E415" s="142" t="e">
        <f t="shared" si="66"/>
        <v>#NUM!</v>
      </c>
      <c r="F415" s="142" t="e">
        <f t="shared" si="61"/>
        <v>#NUM!</v>
      </c>
      <c r="G415" s="184">
        <f>IF('prijem -inna mena'!$I$90=TRUE,IF($C$11&gt;0,0.00025*C414,0),IF('prijem -inna mena'!$I$91=TRUE,IF('prijem -inna mena'!$F$91&gt;0,0.00025*C414,0),0))</f>
        <v>0</v>
      </c>
      <c r="L415" s="89">
        <v>399</v>
      </c>
      <c r="M415" s="237" t="e">
        <f t="shared" si="67"/>
        <v>#DIV/0!</v>
      </c>
      <c r="N415" s="142" t="e">
        <f t="shared" si="62"/>
        <v>#DIV/0!</v>
      </c>
      <c r="O415" s="142" t="e">
        <f t="shared" si="63"/>
        <v>#DIV/0!</v>
      </c>
      <c r="P415" s="142" t="e">
        <f t="shared" si="68"/>
        <v>#DIV/0!</v>
      </c>
      <c r="Q415" s="142" t="e">
        <f t="shared" si="69"/>
        <v>#DIV/0!</v>
      </c>
      <c r="R415" s="184">
        <f>IF('prijem -inna mena'!$I$90=TRUE,IF($C$11&gt;0,0.00025*N414,0),IF('prijem -inna mena'!$I$91=TRUE,IF('prijem -inna mena'!$F$91&gt;0,0.00025*N414*-1,0),0))</f>
        <v>0</v>
      </c>
    </row>
    <row r="416" spans="1:18" x14ac:dyDescent="0.2">
      <c r="A416" s="89">
        <v>400</v>
      </c>
      <c r="B416" s="237" t="e">
        <f t="shared" si="64"/>
        <v>#NUM!</v>
      </c>
      <c r="C416" s="142" t="e">
        <f t="shared" si="60"/>
        <v>#NUM!</v>
      </c>
      <c r="D416" s="142" t="e">
        <f t="shared" si="65"/>
        <v>#NUM!</v>
      </c>
      <c r="E416" s="142" t="e">
        <f t="shared" si="66"/>
        <v>#NUM!</v>
      </c>
      <c r="F416" s="142" t="e">
        <f t="shared" si="61"/>
        <v>#NUM!</v>
      </c>
      <c r="G416" s="184">
        <f>IF('prijem -inna mena'!$I$90=TRUE,IF($C$11&gt;0,0.00025*C415,0),IF('prijem -inna mena'!$I$91=TRUE,IF('prijem -inna mena'!$F$91&gt;0,0.00025*C415,0),0))</f>
        <v>0</v>
      </c>
      <c r="L416" s="89">
        <v>400</v>
      </c>
      <c r="M416" s="237" t="e">
        <f t="shared" si="67"/>
        <v>#DIV/0!</v>
      </c>
      <c r="N416" s="142" t="e">
        <f t="shared" si="62"/>
        <v>#DIV/0!</v>
      </c>
      <c r="O416" s="142" t="e">
        <f t="shared" si="63"/>
        <v>#DIV/0!</v>
      </c>
      <c r="P416" s="142" t="e">
        <f t="shared" si="68"/>
        <v>#DIV/0!</v>
      </c>
      <c r="Q416" s="142" t="e">
        <f t="shared" si="69"/>
        <v>#DIV/0!</v>
      </c>
      <c r="R416" s="184">
        <f>IF('prijem -inna mena'!$I$90=TRUE,IF($C$11&gt;0,0.00025*N415,0),IF('prijem -inna mena'!$I$91=TRUE,IF('prijem -inna mena'!$F$91&gt;0,0.00025*N415*-1,0),0))</f>
        <v>0</v>
      </c>
    </row>
    <row r="417" spans="1:18" x14ac:dyDescent="0.2">
      <c r="A417" s="89">
        <v>401</v>
      </c>
      <c r="B417" s="237" t="e">
        <f t="shared" si="64"/>
        <v>#NUM!</v>
      </c>
      <c r="C417" s="142" t="e">
        <f t="shared" si="60"/>
        <v>#NUM!</v>
      </c>
      <c r="D417" s="142" t="e">
        <f t="shared" si="65"/>
        <v>#NUM!</v>
      </c>
      <c r="E417" s="142" t="e">
        <f t="shared" si="66"/>
        <v>#NUM!</v>
      </c>
      <c r="F417" s="142" t="e">
        <f t="shared" si="61"/>
        <v>#NUM!</v>
      </c>
      <c r="G417" s="184">
        <f>IF('prijem -inna mena'!$I$90=TRUE,IF($C$11&gt;0,0.00025*C416,0),IF('prijem -inna mena'!$I$91=TRUE,IF('prijem -inna mena'!$F$91&gt;0,0.00025*C416,0),0))</f>
        <v>0</v>
      </c>
      <c r="L417" s="89">
        <v>401</v>
      </c>
      <c r="M417" s="237" t="e">
        <f t="shared" si="67"/>
        <v>#DIV/0!</v>
      </c>
      <c r="N417" s="142" t="e">
        <f t="shared" si="62"/>
        <v>#DIV/0!</v>
      </c>
      <c r="O417" s="142" t="e">
        <f t="shared" si="63"/>
        <v>#DIV/0!</v>
      </c>
      <c r="P417" s="142" t="e">
        <f t="shared" si="68"/>
        <v>#DIV/0!</v>
      </c>
      <c r="Q417" s="142" t="e">
        <f t="shared" si="69"/>
        <v>#DIV/0!</v>
      </c>
      <c r="R417" s="184">
        <f>IF('prijem -inna mena'!$I$90=TRUE,IF($C$11&gt;0,0.00025*N416,0),IF('prijem -inna mena'!$I$91=TRUE,IF('prijem -inna mena'!$F$91&gt;0,0.00025*N416*-1,0),0))</f>
        <v>0</v>
      </c>
    </row>
    <row r="418" spans="1:18" x14ac:dyDescent="0.2">
      <c r="A418" s="89">
        <v>402</v>
      </c>
      <c r="B418" s="237" t="e">
        <f t="shared" si="64"/>
        <v>#NUM!</v>
      </c>
      <c r="C418" s="142" t="e">
        <f t="shared" si="60"/>
        <v>#NUM!</v>
      </c>
      <c r="D418" s="142" t="e">
        <f t="shared" si="65"/>
        <v>#NUM!</v>
      </c>
      <c r="E418" s="142" t="e">
        <f t="shared" si="66"/>
        <v>#NUM!</v>
      </c>
      <c r="F418" s="142" t="e">
        <f t="shared" si="61"/>
        <v>#NUM!</v>
      </c>
      <c r="G418" s="184">
        <f>IF('prijem -inna mena'!$I$90=TRUE,IF($C$11&gt;0,0.00025*C417,0),IF('prijem -inna mena'!$I$91=TRUE,IF('prijem -inna mena'!$F$91&gt;0,0.00025*C417,0),0))</f>
        <v>0</v>
      </c>
      <c r="L418" s="89">
        <v>402</v>
      </c>
      <c r="M418" s="237" t="e">
        <f t="shared" si="67"/>
        <v>#DIV/0!</v>
      </c>
      <c r="N418" s="142" t="e">
        <f t="shared" si="62"/>
        <v>#DIV/0!</v>
      </c>
      <c r="O418" s="142" t="e">
        <f t="shared" si="63"/>
        <v>#DIV/0!</v>
      </c>
      <c r="P418" s="142" t="e">
        <f t="shared" si="68"/>
        <v>#DIV/0!</v>
      </c>
      <c r="Q418" s="142" t="e">
        <f t="shared" si="69"/>
        <v>#DIV/0!</v>
      </c>
      <c r="R418" s="184">
        <f>IF('prijem -inna mena'!$I$90=TRUE,IF($C$11&gt;0,0.00025*N417,0),IF('prijem -inna mena'!$I$91=TRUE,IF('prijem -inna mena'!$F$91&gt;0,0.00025*N417*-1,0),0))</f>
        <v>0</v>
      </c>
    </row>
    <row r="419" spans="1:18" x14ac:dyDescent="0.2">
      <c r="A419" s="89">
        <v>403</v>
      </c>
      <c r="B419" s="237" t="e">
        <f t="shared" si="64"/>
        <v>#NUM!</v>
      </c>
      <c r="C419" s="142" t="e">
        <f t="shared" si="60"/>
        <v>#NUM!</v>
      </c>
      <c r="D419" s="142" t="e">
        <f t="shared" si="65"/>
        <v>#NUM!</v>
      </c>
      <c r="E419" s="142" t="e">
        <f t="shared" si="66"/>
        <v>#NUM!</v>
      </c>
      <c r="F419" s="142" t="e">
        <f t="shared" si="61"/>
        <v>#NUM!</v>
      </c>
      <c r="G419" s="184">
        <f>IF('prijem -inna mena'!$I$90=TRUE,IF($C$11&gt;0,0.00025*C418,0),IF('prijem -inna mena'!$I$91=TRUE,IF('prijem -inna mena'!$F$91&gt;0,0.00025*C418,0),0))</f>
        <v>0</v>
      </c>
      <c r="L419" s="89">
        <v>403</v>
      </c>
      <c r="M419" s="237" t="e">
        <f t="shared" si="67"/>
        <v>#DIV/0!</v>
      </c>
      <c r="N419" s="142" t="e">
        <f t="shared" si="62"/>
        <v>#DIV/0!</v>
      </c>
      <c r="O419" s="142" t="e">
        <f t="shared" si="63"/>
        <v>#DIV/0!</v>
      </c>
      <c r="P419" s="142" t="e">
        <f t="shared" si="68"/>
        <v>#DIV/0!</v>
      </c>
      <c r="Q419" s="142" t="e">
        <f t="shared" si="69"/>
        <v>#DIV/0!</v>
      </c>
      <c r="R419" s="184">
        <f>IF('prijem -inna mena'!$I$90=TRUE,IF($C$11&gt;0,0.00025*N418,0),IF('prijem -inna mena'!$I$91=TRUE,IF('prijem -inna mena'!$F$91&gt;0,0.00025*N418*-1,0),0))</f>
        <v>0</v>
      </c>
    </row>
    <row r="420" spans="1:18" x14ac:dyDescent="0.2">
      <c r="A420" s="89">
        <v>404</v>
      </c>
      <c r="B420" s="237" t="e">
        <f t="shared" si="64"/>
        <v>#NUM!</v>
      </c>
      <c r="C420" s="142" t="e">
        <f t="shared" si="60"/>
        <v>#NUM!</v>
      </c>
      <c r="D420" s="142" t="e">
        <f t="shared" si="65"/>
        <v>#NUM!</v>
      </c>
      <c r="E420" s="142" t="e">
        <f t="shared" si="66"/>
        <v>#NUM!</v>
      </c>
      <c r="F420" s="142" t="e">
        <f t="shared" si="61"/>
        <v>#NUM!</v>
      </c>
      <c r="G420" s="184">
        <f>IF('prijem -inna mena'!$I$90=TRUE,IF($C$11&gt;0,0.00025*C419,0),IF('prijem -inna mena'!$I$91=TRUE,IF('prijem -inna mena'!$F$91&gt;0,0.00025*C419,0),0))</f>
        <v>0</v>
      </c>
      <c r="L420" s="89">
        <v>404</v>
      </c>
      <c r="M420" s="237" t="e">
        <f t="shared" si="67"/>
        <v>#DIV/0!</v>
      </c>
      <c r="N420" s="142" t="e">
        <f t="shared" si="62"/>
        <v>#DIV/0!</v>
      </c>
      <c r="O420" s="142" t="e">
        <f t="shared" si="63"/>
        <v>#DIV/0!</v>
      </c>
      <c r="P420" s="142" t="e">
        <f t="shared" si="68"/>
        <v>#DIV/0!</v>
      </c>
      <c r="Q420" s="142" t="e">
        <f t="shared" si="69"/>
        <v>#DIV/0!</v>
      </c>
      <c r="R420" s="184">
        <f>IF('prijem -inna mena'!$I$90=TRUE,IF($C$11&gt;0,0.00025*N419,0),IF('prijem -inna mena'!$I$91=TRUE,IF('prijem -inna mena'!$F$91&gt;0,0.00025*N419*-1,0),0))</f>
        <v>0</v>
      </c>
    </row>
    <row r="421" spans="1:18" x14ac:dyDescent="0.2">
      <c r="A421" s="89">
        <v>405</v>
      </c>
      <c r="B421" s="237" t="e">
        <f t="shared" si="64"/>
        <v>#NUM!</v>
      </c>
      <c r="C421" s="142" t="e">
        <f t="shared" si="60"/>
        <v>#NUM!</v>
      </c>
      <c r="D421" s="142" t="e">
        <f t="shared" si="65"/>
        <v>#NUM!</v>
      </c>
      <c r="E421" s="142" t="e">
        <f t="shared" si="66"/>
        <v>#NUM!</v>
      </c>
      <c r="F421" s="142" t="e">
        <f t="shared" si="61"/>
        <v>#NUM!</v>
      </c>
      <c r="G421" s="184">
        <f>IF('prijem -inna mena'!$I$90=TRUE,IF($C$11&gt;0,0.00025*C420,0),IF('prijem -inna mena'!$I$91=TRUE,IF('prijem -inna mena'!$F$91&gt;0,0.00025*C420,0),0))</f>
        <v>0</v>
      </c>
      <c r="L421" s="89">
        <v>405</v>
      </c>
      <c r="M421" s="237" t="e">
        <f t="shared" si="67"/>
        <v>#DIV/0!</v>
      </c>
      <c r="N421" s="142" t="e">
        <f t="shared" si="62"/>
        <v>#DIV/0!</v>
      </c>
      <c r="O421" s="142" t="e">
        <f t="shared" si="63"/>
        <v>#DIV/0!</v>
      </c>
      <c r="P421" s="142" t="e">
        <f t="shared" si="68"/>
        <v>#DIV/0!</v>
      </c>
      <c r="Q421" s="142" t="e">
        <f t="shared" si="69"/>
        <v>#DIV/0!</v>
      </c>
      <c r="R421" s="184">
        <f>IF('prijem -inna mena'!$I$90=TRUE,IF($C$11&gt;0,0.00025*N420,0),IF('prijem -inna mena'!$I$91=TRUE,IF('prijem -inna mena'!$F$91&gt;0,0.00025*N420*-1,0),0))</f>
        <v>0</v>
      </c>
    </row>
    <row r="422" spans="1:18" x14ac:dyDescent="0.2">
      <c r="A422" s="89">
        <v>406</v>
      </c>
      <c r="B422" s="237" t="e">
        <f t="shared" si="64"/>
        <v>#NUM!</v>
      </c>
      <c r="C422" s="142" t="e">
        <f t="shared" si="60"/>
        <v>#NUM!</v>
      </c>
      <c r="D422" s="142" t="e">
        <f t="shared" si="65"/>
        <v>#NUM!</v>
      </c>
      <c r="E422" s="142" t="e">
        <f t="shared" si="66"/>
        <v>#NUM!</v>
      </c>
      <c r="F422" s="142" t="e">
        <f t="shared" si="61"/>
        <v>#NUM!</v>
      </c>
      <c r="G422" s="184">
        <f>IF('prijem -inna mena'!$I$90=TRUE,IF($C$11&gt;0,0.00025*C421,0),IF('prijem -inna mena'!$I$91=TRUE,IF('prijem -inna mena'!$F$91&gt;0,0.00025*C421,0),0))</f>
        <v>0</v>
      </c>
      <c r="L422" s="89">
        <v>406</v>
      </c>
      <c r="M422" s="237" t="e">
        <f t="shared" si="67"/>
        <v>#DIV/0!</v>
      </c>
      <c r="N422" s="142" t="e">
        <f t="shared" si="62"/>
        <v>#DIV/0!</v>
      </c>
      <c r="O422" s="142" t="e">
        <f t="shared" si="63"/>
        <v>#DIV/0!</v>
      </c>
      <c r="P422" s="142" t="e">
        <f t="shared" si="68"/>
        <v>#DIV/0!</v>
      </c>
      <c r="Q422" s="142" t="e">
        <f t="shared" si="69"/>
        <v>#DIV/0!</v>
      </c>
      <c r="R422" s="184">
        <f>IF('prijem -inna mena'!$I$90=TRUE,IF($C$11&gt;0,0.00025*N421,0),IF('prijem -inna mena'!$I$91=TRUE,IF('prijem -inna mena'!$F$91&gt;0,0.00025*N421*-1,0),0))</f>
        <v>0</v>
      </c>
    </row>
    <row r="423" spans="1:18" x14ac:dyDescent="0.2">
      <c r="A423" s="89">
        <v>407</v>
      </c>
      <c r="B423" s="237" t="e">
        <f t="shared" si="64"/>
        <v>#NUM!</v>
      </c>
      <c r="C423" s="142" t="e">
        <f t="shared" si="60"/>
        <v>#NUM!</v>
      </c>
      <c r="D423" s="142" t="e">
        <f t="shared" si="65"/>
        <v>#NUM!</v>
      </c>
      <c r="E423" s="142" t="e">
        <f t="shared" si="66"/>
        <v>#NUM!</v>
      </c>
      <c r="F423" s="142" t="e">
        <f t="shared" si="61"/>
        <v>#NUM!</v>
      </c>
      <c r="G423" s="184">
        <f>IF('prijem -inna mena'!$I$90=TRUE,IF($C$11&gt;0,0.00025*C422,0),IF('prijem -inna mena'!$I$91=TRUE,IF('prijem -inna mena'!$F$91&gt;0,0.00025*C422,0),0))</f>
        <v>0</v>
      </c>
      <c r="L423" s="89">
        <v>407</v>
      </c>
      <c r="M423" s="237" t="e">
        <f t="shared" si="67"/>
        <v>#DIV/0!</v>
      </c>
      <c r="N423" s="142" t="e">
        <f t="shared" si="62"/>
        <v>#DIV/0!</v>
      </c>
      <c r="O423" s="142" t="e">
        <f t="shared" si="63"/>
        <v>#DIV/0!</v>
      </c>
      <c r="P423" s="142" t="e">
        <f t="shared" si="68"/>
        <v>#DIV/0!</v>
      </c>
      <c r="Q423" s="142" t="e">
        <f t="shared" si="69"/>
        <v>#DIV/0!</v>
      </c>
      <c r="R423" s="184">
        <f>IF('prijem -inna mena'!$I$90=TRUE,IF($C$11&gt;0,0.00025*N422,0),IF('prijem -inna mena'!$I$91=TRUE,IF('prijem -inna mena'!$F$91&gt;0,0.00025*N422*-1,0),0))</f>
        <v>0</v>
      </c>
    </row>
    <row r="424" spans="1:18" x14ac:dyDescent="0.2">
      <c r="A424" s="89">
        <v>408</v>
      </c>
      <c r="B424" s="237" t="e">
        <f t="shared" si="64"/>
        <v>#NUM!</v>
      </c>
      <c r="C424" s="142" t="e">
        <f t="shared" si="60"/>
        <v>#NUM!</v>
      </c>
      <c r="D424" s="142" t="e">
        <f t="shared" si="65"/>
        <v>#NUM!</v>
      </c>
      <c r="E424" s="142" t="e">
        <f t="shared" si="66"/>
        <v>#NUM!</v>
      </c>
      <c r="F424" s="142" t="e">
        <f t="shared" si="61"/>
        <v>#NUM!</v>
      </c>
      <c r="G424" s="184">
        <f>IF('prijem -inna mena'!$I$90=TRUE,IF($C$11&gt;0,0.00025*C423,0),IF('prijem -inna mena'!$I$91=TRUE,IF('prijem -inna mena'!$F$91&gt;0,0.00025*C423,0),0))</f>
        <v>0</v>
      </c>
      <c r="L424" s="89">
        <v>408</v>
      </c>
      <c r="M424" s="237" t="e">
        <f t="shared" si="67"/>
        <v>#DIV/0!</v>
      </c>
      <c r="N424" s="142" t="e">
        <f t="shared" si="62"/>
        <v>#DIV/0!</v>
      </c>
      <c r="O424" s="142" t="e">
        <f t="shared" si="63"/>
        <v>#DIV/0!</v>
      </c>
      <c r="P424" s="142" t="e">
        <f t="shared" si="68"/>
        <v>#DIV/0!</v>
      </c>
      <c r="Q424" s="142" t="e">
        <f t="shared" si="69"/>
        <v>#DIV/0!</v>
      </c>
      <c r="R424" s="184">
        <f>IF('prijem -inna mena'!$I$90=TRUE,IF($C$11&gt;0,0.00025*N423,0),IF('prijem -inna mena'!$I$91=TRUE,IF('prijem -inna mena'!$F$91&gt;0,0.00025*N423*-1,0),0))</f>
        <v>0</v>
      </c>
    </row>
    <row r="425" spans="1:18" x14ac:dyDescent="0.2">
      <c r="A425" s="89">
        <v>409</v>
      </c>
      <c r="B425" s="237" t="e">
        <f t="shared" si="64"/>
        <v>#NUM!</v>
      </c>
      <c r="C425" s="142" t="e">
        <f t="shared" si="60"/>
        <v>#NUM!</v>
      </c>
      <c r="D425" s="142" t="e">
        <f t="shared" si="65"/>
        <v>#NUM!</v>
      </c>
      <c r="E425" s="142" t="e">
        <f t="shared" si="66"/>
        <v>#NUM!</v>
      </c>
      <c r="F425" s="142" t="e">
        <f t="shared" si="61"/>
        <v>#NUM!</v>
      </c>
      <c r="G425" s="184">
        <f>IF('prijem -inna mena'!$I$90=TRUE,IF($C$11&gt;0,0.00025*C424,0),IF('prijem -inna mena'!$I$91=TRUE,IF('prijem -inna mena'!$F$91&gt;0,0.00025*C424,0),0))</f>
        <v>0</v>
      </c>
      <c r="L425" s="89">
        <v>409</v>
      </c>
      <c r="M425" s="237" t="e">
        <f t="shared" si="67"/>
        <v>#DIV/0!</v>
      </c>
      <c r="N425" s="142" t="e">
        <f t="shared" si="62"/>
        <v>#DIV/0!</v>
      </c>
      <c r="O425" s="142" t="e">
        <f t="shared" si="63"/>
        <v>#DIV/0!</v>
      </c>
      <c r="P425" s="142" t="e">
        <f t="shared" si="68"/>
        <v>#DIV/0!</v>
      </c>
      <c r="Q425" s="142" t="e">
        <f t="shared" si="69"/>
        <v>#DIV/0!</v>
      </c>
      <c r="R425" s="184">
        <f>IF('prijem -inna mena'!$I$90=TRUE,IF($C$11&gt;0,0.00025*N424,0),IF('prijem -inna mena'!$I$91=TRUE,IF('prijem -inna mena'!$F$91&gt;0,0.00025*N424*-1,0),0))</f>
        <v>0</v>
      </c>
    </row>
    <row r="426" spans="1:18" x14ac:dyDescent="0.2">
      <c r="A426" s="89">
        <v>410</v>
      </c>
      <c r="B426" s="237" t="e">
        <f t="shared" si="64"/>
        <v>#NUM!</v>
      </c>
      <c r="C426" s="142" t="e">
        <f t="shared" si="60"/>
        <v>#NUM!</v>
      </c>
      <c r="D426" s="142" t="e">
        <f t="shared" si="65"/>
        <v>#NUM!</v>
      </c>
      <c r="E426" s="142" t="e">
        <f t="shared" si="66"/>
        <v>#NUM!</v>
      </c>
      <c r="F426" s="142" t="e">
        <f t="shared" si="61"/>
        <v>#NUM!</v>
      </c>
      <c r="G426" s="184">
        <f>IF('prijem -inna mena'!$I$90=TRUE,IF($C$11&gt;0,0.00025*C425,0),IF('prijem -inna mena'!$I$91=TRUE,IF('prijem -inna mena'!$F$91&gt;0,0.00025*C425,0),0))</f>
        <v>0</v>
      </c>
      <c r="L426" s="89">
        <v>410</v>
      </c>
      <c r="M426" s="237" t="e">
        <f t="shared" si="67"/>
        <v>#DIV/0!</v>
      </c>
      <c r="N426" s="142" t="e">
        <f t="shared" si="62"/>
        <v>#DIV/0!</v>
      </c>
      <c r="O426" s="142" t="e">
        <f t="shared" si="63"/>
        <v>#DIV/0!</v>
      </c>
      <c r="P426" s="142" t="e">
        <f t="shared" si="68"/>
        <v>#DIV/0!</v>
      </c>
      <c r="Q426" s="142" t="e">
        <f t="shared" si="69"/>
        <v>#DIV/0!</v>
      </c>
      <c r="R426" s="184">
        <f>IF('prijem -inna mena'!$I$90=TRUE,IF($C$11&gt;0,0.00025*N425,0),IF('prijem -inna mena'!$I$91=TRUE,IF('prijem -inna mena'!$F$91&gt;0,0.00025*N425*-1,0),0))</f>
        <v>0</v>
      </c>
    </row>
    <row r="427" spans="1:18" x14ac:dyDescent="0.2">
      <c r="A427" s="89">
        <v>411</v>
      </c>
      <c r="B427" s="237" t="e">
        <f t="shared" si="64"/>
        <v>#NUM!</v>
      </c>
      <c r="C427" s="142" t="e">
        <f t="shared" si="60"/>
        <v>#NUM!</v>
      </c>
      <c r="D427" s="142" t="e">
        <f t="shared" si="65"/>
        <v>#NUM!</v>
      </c>
      <c r="E427" s="142" t="e">
        <f t="shared" si="66"/>
        <v>#NUM!</v>
      </c>
      <c r="F427" s="142" t="e">
        <f t="shared" si="61"/>
        <v>#NUM!</v>
      </c>
      <c r="G427" s="184">
        <f>IF('prijem -inna mena'!$I$90=TRUE,IF($C$11&gt;0,0.00025*C426,0),IF('prijem -inna mena'!$I$91=TRUE,IF('prijem -inna mena'!$F$91&gt;0,0.00025*C426,0),0))</f>
        <v>0</v>
      </c>
      <c r="L427" s="89">
        <v>411</v>
      </c>
      <c r="M427" s="237" t="e">
        <f t="shared" si="67"/>
        <v>#DIV/0!</v>
      </c>
      <c r="N427" s="142" t="e">
        <f t="shared" si="62"/>
        <v>#DIV/0!</v>
      </c>
      <c r="O427" s="142" t="e">
        <f t="shared" si="63"/>
        <v>#DIV/0!</v>
      </c>
      <c r="P427" s="142" t="e">
        <f t="shared" si="68"/>
        <v>#DIV/0!</v>
      </c>
      <c r="Q427" s="142" t="e">
        <f t="shared" si="69"/>
        <v>#DIV/0!</v>
      </c>
      <c r="R427" s="184">
        <f>IF('prijem -inna mena'!$I$90=TRUE,IF($C$11&gt;0,0.00025*N426,0),IF('prijem -inna mena'!$I$91=TRUE,IF('prijem -inna mena'!$F$91&gt;0,0.00025*N426*-1,0),0))</f>
        <v>0</v>
      </c>
    </row>
    <row r="428" spans="1:18" x14ac:dyDescent="0.2">
      <c r="A428" s="89">
        <v>412</v>
      </c>
      <c r="B428" s="237" t="e">
        <f t="shared" si="64"/>
        <v>#NUM!</v>
      </c>
      <c r="C428" s="142" t="e">
        <f t="shared" si="60"/>
        <v>#NUM!</v>
      </c>
      <c r="D428" s="142" t="e">
        <f t="shared" si="65"/>
        <v>#NUM!</v>
      </c>
      <c r="E428" s="142" t="e">
        <f t="shared" si="66"/>
        <v>#NUM!</v>
      </c>
      <c r="F428" s="142" t="e">
        <f t="shared" si="61"/>
        <v>#NUM!</v>
      </c>
      <c r="G428" s="184">
        <f>IF('prijem -inna mena'!$I$90=TRUE,IF($C$11&gt;0,0.00025*C427,0),IF('prijem -inna mena'!$I$91=TRUE,IF('prijem -inna mena'!$F$91&gt;0,0.00025*C427,0),0))</f>
        <v>0</v>
      </c>
      <c r="L428" s="89">
        <v>412</v>
      </c>
      <c r="M428" s="237" t="e">
        <f t="shared" si="67"/>
        <v>#DIV/0!</v>
      </c>
      <c r="N428" s="142" t="e">
        <f t="shared" si="62"/>
        <v>#DIV/0!</v>
      </c>
      <c r="O428" s="142" t="e">
        <f t="shared" si="63"/>
        <v>#DIV/0!</v>
      </c>
      <c r="P428" s="142" t="e">
        <f t="shared" si="68"/>
        <v>#DIV/0!</v>
      </c>
      <c r="Q428" s="142" t="e">
        <f t="shared" si="69"/>
        <v>#DIV/0!</v>
      </c>
      <c r="R428" s="184">
        <f>IF('prijem -inna mena'!$I$90=TRUE,IF($C$11&gt;0,0.00025*N427,0),IF('prijem -inna mena'!$I$91=TRUE,IF('prijem -inna mena'!$F$91&gt;0,0.00025*N427*-1,0),0))</f>
        <v>0</v>
      </c>
    </row>
    <row r="429" spans="1:18" x14ac:dyDescent="0.2">
      <c r="A429" s="89">
        <v>413</v>
      </c>
      <c r="B429" s="237" t="e">
        <f t="shared" si="64"/>
        <v>#NUM!</v>
      </c>
      <c r="C429" s="142" t="e">
        <f t="shared" si="60"/>
        <v>#NUM!</v>
      </c>
      <c r="D429" s="142" t="e">
        <f t="shared" si="65"/>
        <v>#NUM!</v>
      </c>
      <c r="E429" s="142" t="e">
        <f t="shared" si="66"/>
        <v>#NUM!</v>
      </c>
      <c r="F429" s="142" t="e">
        <f t="shared" si="61"/>
        <v>#NUM!</v>
      </c>
      <c r="G429" s="184">
        <f>IF('prijem -inna mena'!$I$90=TRUE,IF($C$11&gt;0,0.00025*C428,0),IF('prijem -inna mena'!$I$91=TRUE,IF('prijem -inna mena'!$F$91&gt;0,0.00025*C428,0),0))</f>
        <v>0</v>
      </c>
      <c r="L429" s="89">
        <v>413</v>
      </c>
      <c r="M429" s="237" t="e">
        <f t="shared" si="67"/>
        <v>#DIV/0!</v>
      </c>
      <c r="N429" s="142" t="e">
        <f t="shared" si="62"/>
        <v>#DIV/0!</v>
      </c>
      <c r="O429" s="142" t="e">
        <f t="shared" si="63"/>
        <v>#DIV/0!</v>
      </c>
      <c r="P429" s="142" t="e">
        <f t="shared" si="68"/>
        <v>#DIV/0!</v>
      </c>
      <c r="Q429" s="142" t="e">
        <f t="shared" si="69"/>
        <v>#DIV/0!</v>
      </c>
      <c r="R429" s="184">
        <f>IF('prijem -inna mena'!$I$90=TRUE,IF($C$11&gt;0,0.00025*N428,0),IF('prijem -inna mena'!$I$91=TRUE,IF('prijem -inna mena'!$F$91&gt;0,0.00025*N428*-1,0),0))</f>
        <v>0</v>
      </c>
    </row>
    <row r="430" spans="1:18" x14ac:dyDescent="0.2">
      <c r="A430" s="89">
        <v>414</v>
      </c>
      <c r="B430" s="237" t="e">
        <f t="shared" si="64"/>
        <v>#NUM!</v>
      </c>
      <c r="C430" s="142" t="e">
        <f t="shared" si="60"/>
        <v>#NUM!</v>
      </c>
      <c r="D430" s="142" t="e">
        <f t="shared" si="65"/>
        <v>#NUM!</v>
      </c>
      <c r="E430" s="142" t="e">
        <f t="shared" si="66"/>
        <v>#NUM!</v>
      </c>
      <c r="F430" s="142" t="e">
        <f t="shared" si="61"/>
        <v>#NUM!</v>
      </c>
      <c r="G430" s="184">
        <f>IF('prijem -inna mena'!$I$90=TRUE,IF($C$11&gt;0,0.00025*C429,0),IF('prijem -inna mena'!$I$91=TRUE,IF('prijem -inna mena'!$F$91&gt;0,0.00025*C429,0),0))</f>
        <v>0</v>
      </c>
      <c r="L430" s="89">
        <v>414</v>
      </c>
      <c r="M430" s="237" t="e">
        <f t="shared" si="67"/>
        <v>#DIV/0!</v>
      </c>
      <c r="N430" s="142" t="e">
        <f t="shared" si="62"/>
        <v>#DIV/0!</v>
      </c>
      <c r="O430" s="142" t="e">
        <f t="shared" si="63"/>
        <v>#DIV/0!</v>
      </c>
      <c r="P430" s="142" t="e">
        <f t="shared" si="68"/>
        <v>#DIV/0!</v>
      </c>
      <c r="Q430" s="142" t="e">
        <f t="shared" si="69"/>
        <v>#DIV/0!</v>
      </c>
      <c r="R430" s="184">
        <f>IF('prijem -inna mena'!$I$90=TRUE,IF($C$11&gt;0,0.00025*N429,0),IF('prijem -inna mena'!$I$91=TRUE,IF('prijem -inna mena'!$F$91&gt;0,0.00025*N429*-1,0),0))</f>
        <v>0</v>
      </c>
    </row>
    <row r="431" spans="1:18" x14ac:dyDescent="0.2">
      <c r="A431" s="89">
        <v>415</v>
      </c>
      <c r="B431" s="237" t="e">
        <f t="shared" si="64"/>
        <v>#NUM!</v>
      </c>
      <c r="C431" s="142" t="e">
        <f t="shared" si="60"/>
        <v>#NUM!</v>
      </c>
      <c r="D431" s="142" t="e">
        <f t="shared" si="65"/>
        <v>#NUM!</v>
      </c>
      <c r="E431" s="142" t="e">
        <f t="shared" si="66"/>
        <v>#NUM!</v>
      </c>
      <c r="F431" s="142" t="e">
        <f t="shared" si="61"/>
        <v>#NUM!</v>
      </c>
      <c r="G431" s="184">
        <f>IF('prijem -inna mena'!$I$90=TRUE,IF($C$11&gt;0,0.00025*C430,0),IF('prijem -inna mena'!$I$91=TRUE,IF('prijem -inna mena'!$F$91&gt;0,0.00025*C430,0),0))</f>
        <v>0</v>
      </c>
      <c r="L431" s="89">
        <v>415</v>
      </c>
      <c r="M431" s="237" t="e">
        <f t="shared" si="67"/>
        <v>#DIV/0!</v>
      </c>
      <c r="N431" s="142" t="e">
        <f t="shared" si="62"/>
        <v>#DIV/0!</v>
      </c>
      <c r="O431" s="142" t="e">
        <f t="shared" si="63"/>
        <v>#DIV/0!</v>
      </c>
      <c r="P431" s="142" t="e">
        <f t="shared" si="68"/>
        <v>#DIV/0!</v>
      </c>
      <c r="Q431" s="142" t="e">
        <f t="shared" si="69"/>
        <v>#DIV/0!</v>
      </c>
      <c r="R431" s="184">
        <f>IF('prijem -inna mena'!$I$90=TRUE,IF($C$11&gt;0,0.00025*N430,0),IF('prijem -inna mena'!$I$91=TRUE,IF('prijem -inna mena'!$F$91&gt;0,0.00025*N430*-1,0),0))</f>
        <v>0</v>
      </c>
    </row>
    <row r="432" spans="1:18" x14ac:dyDescent="0.2">
      <c r="A432" s="89">
        <v>416</v>
      </c>
      <c r="B432" s="237" t="e">
        <f t="shared" si="64"/>
        <v>#NUM!</v>
      </c>
      <c r="C432" s="142" t="e">
        <f t="shared" si="60"/>
        <v>#NUM!</v>
      </c>
      <c r="D432" s="142" t="e">
        <f t="shared" si="65"/>
        <v>#NUM!</v>
      </c>
      <c r="E432" s="142" t="e">
        <f t="shared" si="66"/>
        <v>#NUM!</v>
      </c>
      <c r="F432" s="142" t="e">
        <f t="shared" si="61"/>
        <v>#NUM!</v>
      </c>
      <c r="G432" s="184">
        <f>IF('prijem -inna mena'!$I$90=TRUE,IF($C$11&gt;0,0.00025*C431,0),IF('prijem -inna mena'!$I$91=TRUE,IF('prijem -inna mena'!$F$91&gt;0,0.00025*C431,0),0))</f>
        <v>0</v>
      </c>
      <c r="L432" s="89">
        <v>416</v>
      </c>
      <c r="M432" s="237" t="e">
        <f t="shared" si="67"/>
        <v>#DIV/0!</v>
      </c>
      <c r="N432" s="142" t="e">
        <f t="shared" si="62"/>
        <v>#DIV/0!</v>
      </c>
      <c r="O432" s="142" t="e">
        <f t="shared" si="63"/>
        <v>#DIV/0!</v>
      </c>
      <c r="P432" s="142" t="e">
        <f t="shared" si="68"/>
        <v>#DIV/0!</v>
      </c>
      <c r="Q432" s="142" t="e">
        <f t="shared" si="69"/>
        <v>#DIV/0!</v>
      </c>
      <c r="R432" s="184">
        <f>IF('prijem -inna mena'!$I$90=TRUE,IF($C$11&gt;0,0.00025*N431,0),IF('prijem -inna mena'!$I$91=TRUE,IF('prijem -inna mena'!$F$91&gt;0,0.00025*N431*-1,0),0))</f>
        <v>0</v>
      </c>
    </row>
    <row r="433" spans="1:18" x14ac:dyDescent="0.2">
      <c r="A433" s="89">
        <v>417</v>
      </c>
      <c r="B433" s="237" t="e">
        <f t="shared" si="64"/>
        <v>#NUM!</v>
      </c>
      <c r="C433" s="142" t="e">
        <f t="shared" si="60"/>
        <v>#NUM!</v>
      </c>
      <c r="D433" s="142" t="e">
        <f t="shared" si="65"/>
        <v>#NUM!</v>
      </c>
      <c r="E433" s="142" t="e">
        <f t="shared" si="66"/>
        <v>#NUM!</v>
      </c>
      <c r="F433" s="142" t="e">
        <f t="shared" si="61"/>
        <v>#NUM!</v>
      </c>
      <c r="G433" s="184">
        <f>IF('prijem -inna mena'!$I$90=TRUE,IF($C$11&gt;0,0.00025*C432,0),IF('prijem -inna mena'!$I$91=TRUE,IF('prijem -inna mena'!$F$91&gt;0,0.00025*C432,0),0))</f>
        <v>0</v>
      </c>
      <c r="L433" s="89">
        <v>417</v>
      </c>
      <c r="M433" s="237" t="e">
        <f t="shared" si="67"/>
        <v>#DIV/0!</v>
      </c>
      <c r="N433" s="142" t="e">
        <f t="shared" si="62"/>
        <v>#DIV/0!</v>
      </c>
      <c r="O433" s="142" t="e">
        <f t="shared" si="63"/>
        <v>#DIV/0!</v>
      </c>
      <c r="P433" s="142" t="e">
        <f t="shared" si="68"/>
        <v>#DIV/0!</v>
      </c>
      <c r="Q433" s="142" t="e">
        <f t="shared" si="69"/>
        <v>#DIV/0!</v>
      </c>
      <c r="R433" s="184">
        <f>IF('prijem -inna mena'!$I$90=TRUE,IF($C$11&gt;0,0.00025*N432,0),IF('prijem -inna mena'!$I$91=TRUE,IF('prijem -inna mena'!$F$91&gt;0,0.00025*N432*-1,0),0))</f>
        <v>0</v>
      </c>
    </row>
    <row r="434" spans="1:18" x14ac:dyDescent="0.2">
      <c r="A434" s="89">
        <v>418</v>
      </c>
      <c r="B434" s="237" t="e">
        <f t="shared" si="64"/>
        <v>#NUM!</v>
      </c>
      <c r="C434" s="142" t="e">
        <f t="shared" si="60"/>
        <v>#NUM!</v>
      </c>
      <c r="D434" s="142" t="e">
        <f t="shared" si="65"/>
        <v>#NUM!</v>
      </c>
      <c r="E434" s="142" t="e">
        <f t="shared" si="66"/>
        <v>#NUM!</v>
      </c>
      <c r="F434" s="142" t="e">
        <f t="shared" si="61"/>
        <v>#NUM!</v>
      </c>
      <c r="G434" s="184">
        <f>IF('prijem -inna mena'!$I$90=TRUE,IF($C$11&gt;0,0.00025*C433,0),IF('prijem -inna mena'!$I$91=TRUE,IF('prijem -inna mena'!$F$91&gt;0,0.00025*C433,0),0))</f>
        <v>0</v>
      </c>
      <c r="L434" s="89">
        <v>418</v>
      </c>
      <c r="M434" s="237" t="e">
        <f t="shared" si="67"/>
        <v>#DIV/0!</v>
      </c>
      <c r="N434" s="142" t="e">
        <f t="shared" si="62"/>
        <v>#DIV/0!</v>
      </c>
      <c r="O434" s="142" t="e">
        <f t="shared" si="63"/>
        <v>#DIV/0!</v>
      </c>
      <c r="P434" s="142" t="e">
        <f t="shared" si="68"/>
        <v>#DIV/0!</v>
      </c>
      <c r="Q434" s="142" t="e">
        <f t="shared" si="69"/>
        <v>#DIV/0!</v>
      </c>
      <c r="R434" s="184">
        <f>IF('prijem -inna mena'!$I$90=TRUE,IF($C$11&gt;0,0.00025*N433,0),IF('prijem -inna mena'!$I$91=TRUE,IF('prijem -inna mena'!$F$91&gt;0,0.00025*N433*-1,0),0))</f>
        <v>0</v>
      </c>
    </row>
    <row r="435" spans="1:18" x14ac:dyDescent="0.2">
      <c r="A435" s="89">
        <v>419</v>
      </c>
      <c r="B435" s="237" t="e">
        <f t="shared" si="64"/>
        <v>#NUM!</v>
      </c>
      <c r="C435" s="142" t="e">
        <f t="shared" si="60"/>
        <v>#NUM!</v>
      </c>
      <c r="D435" s="142" t="e">
        <f t="shared" si="65"/>
        <v>#NUM!</v>
      </c>
      <c r="E435" s="142" t="e">
        <f t="shared" si="66"/>
        <v>#NUM!</v>
      </c>
      <c r="F435" s="142" t="e">
        <f t="shared" si="61"/>
        <v>#NUM!</v>
      </c>
      <c r="G435" s="184">
        <f>IF('prijem -inna mena'!$I$90=TRUE,IF($C$11&gt;0,0.00025*C434,0),IF('prijem -inna mena'!$I$91=TRUE,IF('prijem -inna mena'!$F$91&gt;0,0.00025*C434,0),0))</f>
        <v>0</v>
      </c>
      <c r="L435" s="89">
        <v>419</v>
      </c>
      <c r="M435" s="237" t="e">
        <f t="shared" si="67"/>
        <v>#DIV/0!</v>
      </c>
      <c r="N435" s="142" t="e">
        <f t="shared" si="62"/>
        <v>#DIV/0!</v>
      </c>
      <c r="O435" s="142" t="e">
        <f t="shared" si="63"/>
        <v>#DIV/0!</v>
      </c>
      <c r="P435" s="142" t="e">
        <f t="shared" si="68"/>
        <v>#DIV/0!</v>
      </c>
      <c r="Q435" s="142" t="e">
        <f t="shared" si="69"/>
        <v>#DIV/0!</v>
      </c>
      <c r="R435" s="184">
        <f>IF('prijem -inna mena'!$I$90=TRUE,IF($C$11&gt;0,0.00025*N434,0),IF('prijem -inna mena'!$I$91=TRUE,IF('prijem -inna mena'!$F$91&gt;0,0.00025*N434*-1,0),0))</f>
        <v>0</v>
      </c>
    </row>
    <row r="436" spans="1:18" x14ac:dyDescent="0.2">
      <c r="A436" s="89">
        <v>420</v>
      </c>
      <c r="B436" s="237" t="e">
        <f t="shared" si="64"/>
        <v>#NUM!</v>
      </c>
      <c r="C436" s="142" t="e">
        <f t="shared" si="60"/>
        <v>#NUM!</v>
      </c>
      <c r="D436" s="142" t="e">
        <f t="shared" si="65"/>
        <v>#NUM!</v>
      </c>
      <c r="E436" s="142" t="e">
        <f t="shared" si="66"/>
        <v>#NUM!</v>
      </c>
      <c r="F436" s="142" t="e">
        <f t="shared" si="61"/>
        <v>#NUM!</v>
      </c>
      <c r="G436" s="184">
        <f>IF('prijem -inna mena'!$I$90=TRUE,IF($C$11&gt;0,0.00025*C435,0),IF('prijem -inna mena'!$I$91=TRUE,IF('prijem -inna mena'!$F$91&gt;0,0.00025*C435,0),0))</f>
        <v>0</v>
      </c>
      <c r="L436" s="89">
        <v>420</v>
      </c>
      <c r="M436" s="237" t="e">
        <f t="shared" si="67"/>
        <v>#DIV/0!</v>
      </c>
      <c r="N436" s="142" t="e">
        <f t="shared" si="62"/>
        <v>#DIV/0!</v>
      </c>
      <c r="O436" s="142" t="e">
        <f t="shared" si="63"/>
        <v>#DIV/0!</v>
      </c>
      <c r="P436" s="142" t="e">
        <f t="shared" si="68"/>
        <v>#DIV/0!</v>
      </c>
      <c r="Q436" s="142" t="e">
        <f t="shared" si="69"/>
        <v>#DIV/0!</v>
      </c>
      <c r="R436" s="184">
        <f>IF('prijem -inna mena'!$I$90=TRUE,IF($C$11&gt;0,0.00025*N435,0),IF('prijem -inna mena'!$I$91=TRUE,IF('prijem -inna mena'!$F$91&gt;0,0.00025*N435*-1,0),0))</f>
        <v>0</v>
      </c>
    </row>
    <row r="437" spans="1:18" x14ac:dyDescent="0.2">
      <c r="A437" s="89">
        <v>421</v>
      </c>
      <c r="B437" s="237" t="e">
        <f t="shared" si="64"/>
        <v>#NUM!</v>
      </c>
      <c r="C437" s="142" t="e">
        <f t="shared" si="60"/>
        <v>#NUM!</v>
      </c>
      <c r="D437" s="142" t="e">
        <f t="shared" si="65"/>
        <v>#NUM!</v>
      </c>
      <c r="E437" s="142" t="e">
        <f t="shared" si="66"/>
        <v>#NUM!</v>
      </c>
      <c r="F437" s="142" t="e">
        <f t="shared" si="61"/>
        <v>#NUM!</v>
      </c>
      <c r="G437" s="184">
        <f>IF('prijem -inna mena'!$I$90=TRUE,IF($C$11&gt;0,0.00025*C436,0),IF('prijem -inna mena'!$I$91=TRUE,IF('prijem -inna mena'!$F$91&gt;0,0.00025*C436,0),0))</f>
        <v>0</v>
      </c>
      <c r="L437" s="89">
        <v>421</v>
      </c>
      <c r="M437" s="237" t="e">
        <f t="shared" si="67"/>
        <v>#DIV/0!</v>
      </c>
      <c r="N437" s="142" t="e">
        <f t="shared" si="62"/>
        <v>#DIV/0!</v>
      </c>
      <c r="O437" s="142" t="e">
        <f t="shared" si="63"/>
        <v>#DIV/0!</v>
      </c>
      <c r="P437" s="142" t="e">
        <f t="shared" si="68"/>
        <v>#DIV/0!</v>
      </c>
      <c r="Q437" s="142" t="e">
        <f t="shared" si="69"/>
        <v>#DIV/0!</v>
      </c>
      <c r="R437" s="184">
        <f>IF('prijem -inna mena'!$I$90=TRUE,IF($C$11&gt;0,0.00025*N436,0),IF('prijem -inna mena'!$I$91=TRUE,IF('prijem -inna mena'!$F$91&gt;0,0.00025*N436*-1,0),0))</f>
        <v>0</v>
      </c>
    </row>
    <row r="438" spans="1:18" x14ac:dyDescent="0.2">
      <c r="A438" s="89">
        <v>422</v>
      </c>
      <c r="B438" s="237" t="e">
        <f t="shared" si="64"/>
        <v>#NUM!</v>
      </c>
      <c r="C438" s="142" t="e">
        <f t="shared" si="60"/>
        <v>#NUM!</v>
      </c>
      <c r="D438" s="142" t="e">
        <f t="shared" si="65"/>
        <v>#NUM!</v>
      </c>
      <c r="E438" s="142" t="e">
        <f t="shared" si="66"/>
        <v>#NUM!</v>
      </c>
      <c r="F438" s="142" t="e">
        <f t="shared" si="61"/>
        <v>#NUM!</v>
      </c>
      <c r="G438" s="184">
        <f>IF('prijem -inna mena'!$I$90=TRUE,IF($C$11&gt;0,0.00025*C437,0),IF('prijem -inna mena'!$I$91=TRUE,IF('prijem -inna mena'!$F$91&gt;0,0.00025*C437,0),0))</f>
        <v>0</v>
      </c>
      <c r="L438" s="89">
        <v>422</v>
      </c>
      <c r="M438" s="237" t="e">
        <f t="shared" si="67"/>
        <v>#DIV/0!</v>
      </c>
      <c r="N438" s="142" t="e">
        <f t="shared" si="62"/>
        <v>#DIV/0!</v>
      </c>
      <c r="O438" s="142" t="e">
        <f t="shared" si="63"/>
        <v>#DIV/0!</v>
      </c>
      <c r="P438" s="142" t="e">
        <f t="shared" si="68"/>
        <v>#DIV/0!</v>
      </c>
      <c r="Q438" s="142" t="e">
        <f t="shared" si="69"/>
        <v>#DIV/0!</v>
      </c>
      <c r="R438" s="184">
        <f>IF('prijem -inna mena'!$I$90=TRUE,IF($C$11&gt;0,0.00025*N437,0),IF('prijem -inna mena'!$I$91=TRUE,IF('prijem -inna mena'!$F$91&gt;0,0.00025*N437*-1,0),0))</f>
        <v>0</v>
      </c>
    </row>
    <row r="439" spans="1:18" x14ac:dyDescent="0.2">
      <c r="A439" s="89">
        <v>423</v>
      </c>
      <c r="B439" s="237" t="e">
        <f t="shared" si="64"/>
        <v>#NUM!</v>
      </c>
      <c r="C439" s="142" t="e">
        <f t="shared" si="60"/>
        <v>#NUM!</v>
      </c>
      <c r="D439" s="142" t="e">
        <f t="shared" si="65"/>
        <v>#NUM!</v>
      </c>
      <c r="E439" s="142" t="e">
        <f t="shared" si="66"/>
        <v>#NUM!</v>
      </c>
      <c r="F439" s="142" t="e">
        <f t="shared" si="61"/>
        <v>#NUM!</v>
      </c>
      <c r="G439" s="184">
        <f>IF('prijem -inna mena'!$I$90=TRUE,IF($C$11&gt;0,0.00025*C438,0),IF('prijem -inna mena'!$I$91=TRUE,IF('prijem -inna mena'!$F$91&gt;0,0.00025*C438,0),0))</f>
        <v>0</v>
      </c>
      <c r="L439" s="89">
        <v>423</v>
      </c>
      <c r="M439" s="237" t="e">
        <f t="shared" si="67"/>
        <v>#DIV/0!</v>
      </c>
      <c r="N439" s="142" t="e">
        <f t="shared" si="62"/>
        <v>#DIV/0!</v>
      </c>
      <c r="O439" s="142" t="e">
        <f t="shared" si="63"/>
        <v>#DIV/0!</v>
      </c>
      <c r="P439" s="142" t="e">
        <f t="shared" si="68"/>
        <v>#DIV/0!</v>
      </c>
      <c r="Q439" s="142" t="e">
        <f t="shared" si="69"/>
        <v>#DIV/0!</v>
      </c>
      <c r="R439" s="184">
        <f>IF('prijem -inna mena'!$I$90=TRUE,IF($C$11&gt;0,0.00025*N438,0),IF('prijem -inna mena'!$I$91=TRUE,IF('prijem -inna mena'!$F$91&gt;0,0.00025*N438*-1,0),0))</f>
        <v>0</v>
      </c>
    </row>
    <row r="440" spans="1:18" x14ac:dyDescent="0.2">
      <c r="A440" s="89">
        <v>424</v>
      </c>
      <c r="B440" s="237" t="e">
        <f t="shared" si="64"/>
        <v>#NUM!</v>
      </c>
      <c r="C440" s="142" t="e">
        <f t="shared" si="60"/>
        <v>#NUM!</v>
      </c>
      <c r="D440" s="142" t="e">
        <f t="shared" si="65"/>
        <v>#NUM!</v>
      </c>
      <c r="E440" s="142" t="e">
        <f t="shared" si="66"/>
        <v>#NUM!</v>
      </c>
      <c r="F440" s="142" t="e">
        <f t="shared" si="61"/>
        <v>#NUM!</v>
      </c>
      <c r="G440" s="184">
        <f>IF('prijem -inna mena'!$I$90=TRUE,IF($C$11&gt;0,0.00025*C439,0),IF('prijem -inna mena'!$I$91=TRUE,IF('prijem -inna mena'!$F$91&gt;0,0.00025*C439,0),0))</f>
        <v>0</v>
      </c>
      <c r="L440" s="89">
        <v>424</v>
      </c>
      <c r="M440" s="237" t="e">
        <f t="shared" si="67"/>
        <v>#DIV/0!</v>
      </c>
      <c r="N440" s="142" t="e">
        <f t="shared" si="62"/>
        <v>#DIV/0!</v>
      </c>
      <c r="O440" s="142" t="e">
        <f t="shared" si="63"/>
        <v>#DIV/0!</v>
      </c>
      <c r="P440" s="142" t="e">
        <f t="shared" si="68"/>
        <v>#DIV/0!</v>
      </c>
      <c r="Q440" s="142" t="e">
        <f t="shared" si="69"/>
        <v>#DIV/0!</v>
      </c>
      <c r="R440" s="184">
        <f>IF('prijem -inna mena'!$I$90=TRUE,IF($C$11&gt;0,0.00025*N439,0),IF('prijem -inna mena'!$I$91=TRUE,IF('prijem -inna mena'!$F$91&gt;0,0.00025*N439*-1,0),0))</f>
        <v>0</v>
      </c>
    </row>
    <row r="441" spans="1:18" x14ac:dyDescent="0.2">
      <c r="A441" s="89">
        <v>425</v>
      </c>
      <c r="B441" s="237" t="e">
        <f t="shared" si="64"/>
        <v>#NUM!</v>
      </c>
      <c r="C441" s="142" t="e">
        <f t="shared" si="60"/>
        <v>#NUM!</v>
      </c>
      <c r="D441" s="142" t="e">
        <f t="shared" si="65"/>
        <v>#NUM!</v>
      </c>
      <c r="E441" s="142" t="e">
        <f t="shared" si="66"/>
        <v>#NUM!</v>
      </c>
      <c r="F441" s="142" t="e">
        <f t="shared" si="61"/>
        <v>#NUM!</v>
      </c>
      <c r="G441" s="184">
        <f>IF('prijem -inna mena'!$I$90=TRUE,IF($C$11&gt;0,0.00025*C440,0),IF('prijem -inna mena'!$I$91=TRUE,IF('prijem -inna mena'!$F$91&gt;0,0.00025*C440,0),0))</f>
        <v>0</v>
      </c>
      <c r="L441" s="89">
        <v>425</v>
      </c>
      <c r="M441" s="237" t="e">
        <f t="shared" si="67"/>
        <v>#DIV/0!</v>
      </c>
      <c r="N441" s="142" t="e">
        <f t="shared" si="62"/>
        <v>#DIV/0!</v>
      </c>
      <c r="O441" s="142" t="e">
        <f t="shared" si="63"/>
        <v>#DIV/0!</v>
      </c>
      <c r="P441" s="142" t="e">
        <f t="shared" si="68"/>
        <v>#DIV/0!</v>
      </c>
      <c r="Q441" s="142" t="e">
        <f t="shared" si="69"/>
        <v>#DIV/0!</v>
      </c>
      <c r="R441" s="184">
        <f>IF('prijem -inna mena'!$I$90=TRUE,IF($C$11&gt;0,0.00025*N440,0),IF('prijem -inna mena'!$I$91=TRUE,IF('prijem -inna mena'!$F$91&gt;0,0.00025*N440*-1,0),0))</f>
        <v>0</v>
      </c>
    </row>
    <row r="442" spans="1:18" x14ac:dyDescent="0.2">
      <c r="A442" s="89">
        <v>426</v>
      </c>
      <c r="B442" s="237" t="e">
        <f t="shared" si="64"/>
        <v>#NUM!</v>
      </c>
      <c r="C442" s="142" t="e">
        <f t="shared" si="60"/>
        <v>#NUM!</v>
      </c>
      <c r="D442" s="142" t="e">
        <f t="shared" si="65"/>
        <v>#NUM!</v>
      </c>
      <c r="E442" s="142" t="e">
        <f t="shared" si="66"/>
        <v>#NUM!</v>
      </c>
      <c r="F442" s="142" t="e">
        <f t="shared" si="61"/>
        <v>#NUM!</v>
      </c>
      <c r="G442" s="184">
        <f>IF('prijem -inna mena'!$I$90=TRUE,IF($C$11&gt;0,0.00025*C441,0),IF('prijem -inna mena'!$I$91=TRUE,IF('prijem -inna mena'!$F$91&gt;0,0.00025*C441,0),0))</f>
        <v>0</v>
      </c>
      <c r="L442" s="89">
        <v>426</v>
      </c>
      <c r="M442" s="237" t="e">
        <f t="shared" si="67"/>
        <v>#DIV/0!</v>
      </c>
      <c r="N442" s="142" t="e">
        <f t="shared" si="62"/>
        <v>#DIV/0!</v>
      </c>
      <c r="O442" s="142" t="e">
        <f t="shared" si="63"/>
        <v>#DIV/0!</v>
      </c>
      <c r="P442" s="142" t="e">
        <f t="shared" si="68"/>
        <v>#DIV/0!</v>
      </c>
      <c r="Q442" s="142" t="e">
        <f t="shared" si="69"/>
        <v>#DIV/0!</v>
      </c>
      <c r="R442" s="184">
        <f>IF('prijem -inna mena'!$I$90=TRUE,IF($C$11&gt;0,0.00025*N441,0),IF('prijem -inna mena'!$I$91=TRUE,IF('prijem -inna mena'!$F$91&gt;0,0.00025*N441*-1,0),0))</f>
        <v>0</v>
      </c>
    </row>
    <row r="443" spans="1:18" x14ac:dyDescent="0.2">
      <c r="A443" s="89">
        <v>427</v>
      </c>
      <c r="B443" s="237" t="e">
        <f t="shared" si="64"/>
        <v>#NUM!</v>
      </c>
      <c r="C443" s="142" t="e">
        <f t="shared" si="60"/>
        <v>#NUM!</v>
      </c>
      <c r="D443" s="142" t="e">
        <f t="shared" si="65"/>
        <v>#NUM!</v>
      </c>
      <c r="E443" s="142" t="e">
        <f t="shared" si="66"/>
        <v>#NUM!</v>
      </c>
      <c r="F443" s="142" t="e">
        <f t="shared" si="61"/>
        <v>#NUM!</v>
      </c>
      <c r="G443" s="184">
        <f>IF('prijem -inna mena'!$I$90=TRUE,IF($C$11&gt;0,0.00025*C442,0),IF('prijem -inna mena'!$I$91=TRUE,IF('prijem -inna mena'!$F$91&gt;0,0.00025*C442,0),0))</f>
        <v>0</v>
      </c>
      <c r="L443" s="89">
        <v>427</v>
      </c>
      <c r="M443" s="237" t="e">
        <f t="shared" si="67"/>
        <v>#DIV/0!</v>
      </c>
      <c r="N443" s="142" t="e">
        <f t="shared" si="62"/>
        <v>#DIV/0!</v>
      </c>
      <c r="O443" s="142" t="e">
        <f t="shared" si="63"/>
        <v>#DIV/0!</v>
      </c>
      <c r="P443" s="142" t="e">
        <f t="shared" si="68"/>
        <v>#DIV/0!</v>
      </c>
      <c r="Q443" s="142" t="e">
        <f t="shared" si="69"/>
        <v>#DIV/0!</v>
      </c>
      <c r="R443" s="184">
        <f>IF('prijem -inna mena'!$I$90=TRUE,IF($C$11&gt;0,0.00025*N442,0),IF('prijem -inna mena'!$I$91=TRUE,IF('prijem -inna mena'!$F$91&gt;0,0.00025*N442*-1,0),0))</f>
        <v>0</v>
      </c>
    </row>
    <row r="444" spans="1:18" x14ac:dyDescent="0.2">
      <c r="A444" s="89">
        <v>428</v>
      </c>
      <c r="B444" s="237" t="e">
        <f t="shared" si="64"/>
        <v>#NUM!</v>
      </c>
      <c r="C444" s="142" t="e">
        <f t="shared" si="60"/>
        <v>#NUM!</v>
      </c>
      <c r="D444" s="142" t="e">
        <f t="shared" si="65"/>
        <v>#NUM!</v>
      </c>
      <c r="E444" s="142" t="e">
        <f t="shared" si="66"/>
        <v>#NUM!</v>
      </c>
      <c r="F444" s="142" t="e">
        <f t="shared" si="61"/>
        <v>#NUM!</v>
      </c>
      <c r="G444" s="184">
        <f>IF('prijem -inna mena'!$I$90=TRUE,IF($C$11&gt;0,0.00025*C443,0),IF('prijem -inna mena'!$I$91=TRUE,IF('prijem -inna mena'!$F$91&gt;0,0.00025*C443,0),0))</f>
        <v>0</v>
      </c>
      <c r="L444" s="89">
        <v>428</v>
      </c>
      <c r="M444" s="237" t="e">
        <f t="shared" si="67"/>
        <v>#DIV/0!</v>
      </c>
      <c r="N444" s="142" t="e">
        <f t="shared" si="62"/>
        <v>#DIV/0!</v>
      </c>
      <c r="O444" s="142" t="e">
        <f t="shared" si="63"/>
        <v>#DIV/0!</v>
      </c>
      <c r="P444" s="142" t="e">
        <f t="shared" si="68"/>
        <v>#DIV/0!</v>
      </c>
      <c r="Q444" s="142" t="e">
        <f t="shared" si="69"/>
        <v>#DIV/0!</v>
      </c>
      <c r="R444" s="184">
        <f>IF('prijem -inna mena'!$I$90=TRUE,IF($C$11&gt;0,0.00025*N443,0),IF('prijem -inna mena'!$I$91=TRUE,IF('prijem -inna mena'!$F$91&gt;0,0.00025*N443*-1,0),0))</f>
        <v>0</v>
      </c>
    </row>
    <row r="445" spans="1:18" x14ac:dyDescent="0.2">
      <c r="A445" s="89">
        <v>429</v>
      </c>
      <c r="B445" s="237" t="e">
        <f t="shared" si="64"/>
        <v>#NUM!</v>
      </c>
      <c r="C445" s="142" t="e">
        <f t="shared" si="60"/>
        <v>#NUM!</v>
      </c>
      <c r="D445" s="142" t="e">
        <f t="shared" si="65"/>
        <v>#NUM!</v>
      </c>
      <c r="E445" s="142" t="e">
        <f t="shared" si="66"/>
        <v>#NUM!</v>
      </c>
      <c r="F445" s="142" t="e">
        <f t="shared" si="61"/>
        <v>#NUM!</v>
      </c>
      <c r="G445" s="184">
        <f>IF('prijem -inna mena'!$I$90=TRUE,IF($C$11&gt;0,0.00025*C444,0),IF('prijem -inna mena'!$I$91=TRUE,IF('prijem -inna mena'!$F$91&gt;0,0.00025*C444,0),0))</f>
        <v>0</v>
      </c>
      <c r="L445" s="89">
        <v>429</v>
      </c>
      <c r="M445" s="237" t="e">
        <f t="shared" si="67"/>
        <v>#DIV/0!</v>
      </c>
      <c r="N445" s="142" t="e">
        <f t="shared" si="62"/>
        <v>#DIV/0!</v>
      </c>
      <c r="O445" s="142" t="e">
        <f t="shared" si="63"/>
        <v>#DIV/0!</v>
      </c>
      <c r="P445" s="142" t="e">
        <f t="shared" si="68"/>
        <v>#DIV/0!</v>
      </c>
      <c r="Q445" s="142" t="e">
        <f t="shared" si="69"/>
        <v>#DIV/0!</v>
      </c>
      <c r="R445" s="184">
        <f>IF('prijem -inna mena'!$I$90=TRUE,IF($C$11&gt;0,0.00025*N444,0),IF('prijem -inna mena'!$I$91=TRUE,IF('prijem -inna mena'!$F$91&gt;0,0.00025*N444*-1,0),0))</f>
        <v>0</v>
      </c>
    </row>
    <row r="446" spans="1:18" x14ac:dyDescent="0.2">
      <c r="A446" s="89">
        <v>430</v>
      </c>
      <c r="B446" s="237" t="e">
        <f t="shared" si="64"/>
        <v>#NUM!</v>
      </c>
      <c r="C446" s="142" t="e">
        <f t="shared" si="60"/>
        <v>#NUM!</v>
      </c>
      <c r="D446" s="142" t="e">
        <f t="shared" si="65"/>
        <v>#NUM!</v>
      </c>
      <c r="E446" s="142" t="e">
        <f t="shared" si="66"/>
        <v>#NUM!</v>
      </c>
      <c r="F446" s="142" t="e">
        <f t="shared" si="61"/>
        <v>#NUM!</v>
      </c>
      <c r="G446" s="184">
        <f>IF('prijem -inna mena'!$I$90=TRUE,IF($C$11&gt;0,0.00025*C445,0),IF('prijem -inna mena'!$I$91=TRUE,IF('prijem -inna mena'!$F$91&gt;0,0.00025*C445,0),0))</f>
        <v>0</v>
      </c>
      <c r="L446" s="89">
        <v>430</v>
      </c>
      <c r="M446" s="237" t="e">
        <f t="shared" si="67"/>
        <v>#DIV/0!</v>
      </c>
      <c r="N446" s="142" t="e">
        <f t="shared" si="62"/>
        <v>#DIV/0!</v>
      </c>
      <c r="O446" s="142" t="e">
        <f t="shared" si="63"/>
        <v>#DIV/0!</v>
      </c>
      <c r="P446" s="142" t="e">
        <f t="shared" si="68"/>
        <v>#DIV/0!</v>
      </c>
      <c r="Q446" s="142" t="e">
        <f t="shared" si="69"/>
        <v>#DIV/0!</v>
      </c>
      <c r="R446" s="184">
        <f>IF('prijem -inna mena'!$I$90=TRUE,IF($C$11&gt;0,0.00025*N445,0),IF('prijem -inna mena'!$I$91=TRUE,IF('prijem -inna mena'!$F$91&gt;0,0.00025*N445*-1,0),0))</f>
        <v>0</v>
      </c>
    </row>
    <row r="447" spans="1:18" x14ac:dyDescent="0.2">
      <c r="A447" s="89">
        <v>431</v>
      </c>
      <c r="B447" s="237" t="e">
        <f t="shared" si="64"/>
        <v>#NUM!</v>
      </c>
      <c r="C447" s="142" t="e">
        <f t="shared" si="60"/>
        <v>#NUM!</v>
      </c>
      <c r="D447" s="142" t="e">
        <f t="shared" si="65"/>
        <v>#NUM!</v>
      </c>
      <c r="E447" s="142" t="e">
        <f t="shared" si="66"/>
        <v>#NUM!</v>
      </c>
      <c r="F447" s="142" t="e">
        <f t="shared" si="61"/>
        <v>#NUM!</v>
      </c>
      <c r="G447" s="184">
        <f>IF('prijem -inna mena'!$I$90=TRUE,IF($C$11&gt;0,0.00025*C446,0),IF('prijem -inna mena'!$I$91=TRUE,IF('prijem -inna mena'!$F$91&gt;0,0.00025*C446,0),0))</f>
        <v>0</v>
      </c>
      <c r="L447" s="89">
        <v>431</v>
      </c>
      <c r="M447" s="237" t="e">
        <f t="shared" si="67"/>
        <v>#DIV/0!</v>
      </c>
      <c r="N447" s="142" t="e">
        <f t="shared" si="62"/>
        <v>#DIV/0!</v>
      </c>
      <c r="O447" s="142" t="e">
        <f t="shared" si="63"/>
        <v>#DIV/0!</v>
      </c>
      <c r="P447" s="142" t="e">
        <f t="shared" si="68"/>
        <v>#DIV/0!</v>
      </c>
      <c r="Q447" s="142" t="e">
        <f t="shared" si="69"/>
        <v>#DIV/0!</v>
      </c>
      <c r="R447" s="184">
        <f>IF('prijem -inna mena'!$I$90=TRUE,IF($C$11&gt;0,0.00025*N446,0),IF('prijem -inna mena'!$I$91=TRUE,IF('prijem -inna mena'!$F$91&gt;0,0.00025*N446*-1,0),0))</f>
        <v>0</v>
      </c>
    </row>
    <row r="448" spans="1:18" x14ac:dyDescent="0.2">
      <c r="A448" s="89">
        <v>432</v>
      </c>
      <c r="B448" s="237" t="e">
        <f t="shared" si="64"/>
        <v>#NUM!</v>
      </c>
      <c r="C448" s="142" t="e">
        <f t="shared" si="60"/>
        <v>#NUM!</v>
      </c>
      <c r="D448" s="142" t="e">
        <f t="shared" si="65"/>
        <v>#NUM!</v>
      </c>
      <c r="E448" s="142" t="e">
        <f t="shared" si="66"/>
        <v>#NUM!</v>
      </c>
      <c r="F448" s="142" t="e">
        <f t="shared" si="61"/>
        <v>#NUM!</v>
      </c>
      <c r="G448" s="184">
        <f>IF('prijem -inna mena'!$I$90=TRUE,IF($C$11&gt;0,0.00025*C447,0),IF('prijem -inna mena'!$I$91=TRUE,IF('prijem -inna mena'!$F$91&gt;0,0.00025*C447,0),0))</f>
        <v>0</v>
      </c>
      <c r="L448" s="89">
        <v>432</v>
      </c>
      <c r="M448" s="237" t="e">
        <f t="shared" si="67"/>
        <v>#DIV/0!</v>
      </c>
      <c r="N448" s="142" t="e">
        <f t="shared" si="62"/>
        <v>#DIV/0!</v>
      </c>
      <c r="O448" s="142" t="e">
        <f t="shared" si="63"/>
        <v>#DIV/0!</v>
      </c>
      <c r="P448" s="142" t="e">
        <f t="shared" si="68"/>
        <v>#DIV/0!</v>
      </c>
      <c r="Q448" s="142" t="e">
        <f t="shared" si="69"/>
        <v>#DIV/0!</v>
      </c>
      <c r="R448" s="184">
        <f>IF('prijem -inna mena'!$I$90=TRUE,IF($C$11&gt;0,0.00025*N447,0),IF('prijem -inna mena'!$I$91=TRUE,IF('prijem -inna mena'!$F$91&gt;0,0.00025*N447*-1,0),0))</f>
        <v>0</v>
      </c>
    </row>
    <row r="449" spans="1:18" x14ac:dyDescent="0.2">
      <c r="A449" s="89">
        <v>433</v>
      </c>
      <c r="B449" s="237" t="e">
        <f t="shared" si="64"/>
        <v>#NUM!</v>
      </c>
      <c r="C449" s="142" t="e">
        <f t="shared" si="60"/>
        <v>#NUM!</v>
      </c>
      <c r="D449" s="142" t="e">
        <f t="shared" si="65"/>
        <v>#NUM!</v>
      </c>
      <c r="E449" s="142" t="e">
        <f t="shared" si="66"/>
        <v>#NUM!</v>
      </c>
      <c r="F449" s="142" t="e">
        <f t="shared" si="61"/>
        <v>#NUM!</v>
      </c>
      <c r="G449" s="184">
        <f>IF('prijem -inna mena'!$I$90=TRUE,IF($C$11&gt;0,0.00025*C448,0),IF('prijem -inna mena'!$I$91=TRUE,IF('prijem -inna mena'!$F$91&gt;0,0.00025*C448,0),0))</f>
        <v>0</v>
      </c>
      <c r="L449" s="89">
        <v>433</v>
      </c>
      <c r="M449" s="237" t="e">
        <f t="shared" si="67"/>
        <v>#DIV/0!</v>
      </c>
      <c r="N449" s="142" t="e">
        <f t="shared" si="62"/>
        <v>#DIV/0!</v>
      </c>
      <c r="O449" s="142" t="e">
        <f t="shared" si="63"/>
        <v>#DIV/0!</v>
      </c>
      <c r="P449" s="142" t="e">
        <f t="shared" si="68"/>
        <v>#DIV/0!</v>
      </c>
      <c r="Q449" s="142" t="e">
        <f t="shared" si="69"/>
        <v>#DIV/0!</v>
      </c>
      <c r="R449" s="184">
        <f>IF('prijem -inna mena'!$I$90=TRUE,IF($C$11&gt;0,0.00025*N448,0),IF('prijem -inna mena'!$I$91=TRUE,IF('prijem -inna mena'!$F$91&gt;0,0.00025*N448*-1,0),0))</f>
        <v>0</v>
      </c>
    </row>
    <row r="450" spans="1:18" x14ac:dyDescent="0.2">
      <c r="A450" s="89">
        <v>434</v>
      </c>
      <c r="B450" s="237" t="e">
        <f t="shared" si="64"/>
        <v>#NUM!</v>
      </c>
      <c r="C450" s="142" t="e">
        <f t="shared" si="60"/>
        <v>#NUM!</v>
      </c>
      <c r="D450" s="142" t="e">
        <f t="shared" si="65"/>
        <v>#NUM!</v>
      </c>
      <c r="E450" s="142" t="e">
        <f t="shared" si="66"/>
        <v>#NUM!</v>
      </c>
      <c r="F450" s="142" t="e">
        <f t="shared" si="61"/>
        <v>#NUM!</v>
      </c>
      <c r="G450" s="184">
        <f>IF('prijem -inna mena'!$I$90=TRUE,IF($C$11&gt;0,0.00025*C449,0),IF('prijem -inna mena'!$I$91=TRUE,IF('prijem -inna mena'!$F$91&gt;0,0.00025*C449,0),0))</f>
        <v>0</v>
      </c>
      <c r="L450" s="89">
        <v>434</v>
      </c>
      <c r="M450" s="237" t="e">
        <f t="shared" si="67"/>
        <v>#DIV/0!</v>
      </c>
      <c r="N450" s="142" t="e">
        <f t="shared" si="62"/>
        <v>#DIV/0!</v>
      </c>
      <c r="O450" s="142" t="e">
        <f t="shared" si="63"/>
        <v>#DIV/0!</v>
      </c>
      <c r="P450" s="142" t="e">
        <f t="shared" si="68"/>
        <v>#DIV/0!</v>
      </c>
      <c r="Q450" s="142" t="e">
        <f t="shared" si="69"/>
        <v>#DIV/0!</v>
      </c>
      <c r="R450" s="184">
        <f>IF('prijem -inna mena'!$I$90=TRUE,IF($C$11&gt;0,0.00025*N449,0),IF('prijem -inna mena'!$I$91=TRUE,IF('prijem -inna mena'!$F$91&gt;0,0.00025*N449*-1,0),0))</f>
        <v>0</v>
      </c>
    </row>
    <row r="451" spans="1:18" x14ac:dyDescent="0.2">
      <c r="A451" s="89">
        <v>435</v>
      </c>
      <c r="B451" s="237" t="e">
        <f t="shared" si="64"/>
        <v>#NUM!</v>
      </c>
      <c r="C451" s="142" t="e">
        <f t="shared" si="60"/>
        <v>#NUM!</v>
      </c>
      <c r="D451" s="142" t="e">
        <f t="shared" si="65"/>
        <v>#NUM!</v>
      </c>
      <c r="E451" s="142" t="e">
        <f t="shared" si="66"/>
        <v>#NUM!</v>
      </c>
      <c r="F451" s="142" t="e">
        <f t="shared" si="61"/>
        <v>#NUM!</v>
      </c>
      <c r="G451" s="184">
        <f>IF('prijem -inna mena'!$I$90=TRUE,IF($C$11&gt;0,0.00025*C450,0),IF('prijem -inna mena'!$I$91=TRUE,IF('prijem -inna mena'!$F$91&gt;0,0.00025*C450,0),0))</f>
        <v>0</v>
      </c>
      <c r="L451" s="89">
        <v>435</v>
      </c>
      <c r="M451" s="237" t="e">
        <f t="shared" si="67"/>
        <v>#DIV/0!</v>
      </c>
      <c r="N451" s="142" t="e">
        <f t="shared" si="62"/>
        <v>#DIV/0!</v>
      </c>
      <c r="O451" s="142" t="e">
        <f t="shared" si="63"/>
        <v>#DIV/0!</v>
      </c>
      <c r="P451" s="142" t="e">
        <f t="shared" si="68"/>
        <v>#DIV/0!</v>
      </c>
      <c r="Q451" s="142" t="e">
        <f t="shared" si="69"/>
        <v>#DIV/0!</v>
      </c>
      <c r="R451" s="184">
        <f>IF('prijem -inna mena'!$I$90=TRUE,IF($C$11&gt;0,0.00025*N450,0),IF('prijem -inna mena'!$I$91=TRUE,IF('prijem -inna mena'!$F$91&gt;0,0.00025*N450*-1,0),0))</f>
        <v>0</v>
      </c>
    </row>
    <row r="452" spans="1:18" x14ac:dyDescent="0.2">
      <c r="A452" s="89">
        <v>436</v>
      </c>
      <c r="B452" s="237" t="e">
        <f t="shared" si="64"/>
        <v>#NUM!</v>
      </c>
      <c r="C452" s="142" t="e">
        <f t="shared" si="60"/>
        <v>#NUM!</v>
      </c>
      <c r="D452" s="142" t="e">
        <f t="shared" si="65"/>
        <v>#NUM!</v>
      </c>
      <c r="E452" s="142" t="e">
        <f t="shared" si="66"/>
        <v>#NUM!</v>
      </c>
      <c r="F452" s="142" t="e">
        <f t="shared" si="61"/>
        <v>#NUM!</v>
      </c>
      <c r="G452" s="184">
        <f>IF('prijem -inna mena'!$I$90=TRUE,IF($C$11&gt;0,0.00025*C451,0),IF('prijem -inna mena'!$I$91=TRUE,IF('prijem -inna mena'!$F$91&gt;0,0.00025*C451,0),0))</f>
        <v>0</v>
      </c>
      <c r="L452" s="89">
        <v>436</v>
      </c>
      <c r="M452" s="237" t="e">
        <f t="shared" si="67"/>
        <v>#DIV/0!</v>
      </c>
      <c r="N452" s="142" t="e">
        <f t="shared" si="62"/>
        <v>#DIV/0!</v>
      </c>
      <c r="O452" s="142" t="e">
        <f t="shared" si="63"/>
        <v>#DIV/0!</v>
      </c>
      <c r="P452" s="142" t="e">
        <f t="shared" si="68"/>
        <v>#DIV/0!</v>
      </c>
      <c r="Q452" s="142" t="e">
        <f t="shared" si="69"/>
        <v>#DIV/0!</v>
      </c>
      <c r="R452" s="184">
        <f>IF('prijem -inna mena'!$I$90=TRUE,IF($C$11&gt;0,0.00025*N451,0),IF('prijem -inna mena'!$I$91=TRUE,IF('prijem -inna mena'!$F$91&gt;0,0.00025*N451*-1,0),0))</f>
        <v>0</v>
      </c>
    </row>
    <row r="453" spans="1:18" x14ac:dyDescent="0.2">
      <c r="A453" s="89">
        <v>437</v>
      </c>
      <c r="B453" s="237" t="e">
        <f t="shared" si="64"/>
        <v>#NUM!</v>
      </c>
      <c r="C453" s="142" t="e">
        <f t="shared" si="60"/>
        <v>#NUM!</v>
      </c>
      <c r="D453" s="142" t="e">
        <f t="shared" si="65"/>
        <v>#NUM!</v>
      </c>
      <c r="E453" s="142" t="e">
        <f t="shared" si="66"/>
        <v>#NUM!</v>
      </c>
      <c r="F453" s="142" t="e">
        <f t="shared" si="61"/>
        <v>#NUM!</v>
      </c>
      <c r="G453" s="184">
        <f>IF('prijem -inna mena'!$I$90=TRUE,IF($C$11&gt;0,0.00025*C452,0),IF('prijem -inna mena'!$I$91=TRUE,IF('prijem -inna mena'!$F$91&gt;0,0.00025*C452,0),0))</f>
        <v>0</v>
      </c>
      <c r="L453" s="89">
        <v>437</v>
      </c>
      <c r="M453" s="237" t="e">
        <f t="shared" si="67"/>
        <v>#DIV/0!</v>
      </c>
      <c r="N453" s="142" t="e">
        <f t="shared" si="62"/>
        <v>#DIV/0!</v>
      </c>
      <c r="O453" s="142" t="e">
        <f t="shared" si="63"/>
        <v>#DIV/0!</v>
      </c>
      <c r="P453" s="142" t="e">
        <f t="shared" si="68"/>
        <v>#DIV/0!</v>
      </c>
      <c r="Q453" s="142" t="e">
        <f t="shared" si="69"/>
        <v>#DIV/0!</v>
      </c>
      <c r="R453" s="184">
        <f>IF('prijem -inna mena'!$I$90=TRUE,IF($C$11&gt;0,0.00025*N452,0),IF('prijem -inna mena'!$I$91=TRUE,IF('prijem -inna mena'!$F$91&gt;0,0.00025*N452*-1,0),0))</f>
        <v>0</v>
      </c>
    </row>
    <row r="454" spans="1:18" x14ac:dyDescent="0.2">
      <c r="A454" s="89">
        <v>438</v>
      </c>
      <c r="B454" s="237" t="e">
        <f t="shared" si="64"/>
        <v>#NUM!</v>
      </c>
      <c r="C454" s="142" t="e">
        <f t="shared" si="60"/>
        <v>#NUM!</v>
      </c>
      <c r="D454" s="142" t="e">
        <f t="shared" si="65"/>
        <v>#NUM!</v>
      </c>
      <c r="E454" s="142" t="e">
        <f t="shared" si="66"/>
        <v>#NUM!</v>
      </c>
      <c r="F454" s="142" t="e">
        <f t="shared" si="61"/>
        <v>#NUM!</v>
      </c>
      <c r="G454" s="184">
        <f>IF('prijem -inna mena'!$I$90=TRUE,IF($C$11&gt;0,0.00025*C453,0),IF('prijem -inna mena'!$I$91=TRUE,IF('prijem -inna mena'!$F$91&gt;0,0.00025*C453,0),0))</f>
        <v>0</v>
      </c>
      <c r="L454" s="89">
        <v>438</v>
      </c>
      <c r="M454" s="237" t="e">
        <f t="shared" si="67"/>
        <v>#DIV/0!</v>
      </c>
      <c r="N454" s="142" t="e">
        <f t="shared" si="62"/>
        <v>#DIV/0!</v>
      </c>
      <c r="O454" s="142" t="e">
        <f t="shared" si="63"/>
        <v>#DIV/0!</v>
      </c>
      <c r="P454" s="142" t="e">
        <f t="shared" si="68"/>
        <v>#DIV/0!</v>
      </c>
      <c r="Q454" s="142" t="e">
        <f t="shared" si="69"/>
        <v>#DIV/0!</v>
      </c>
      <c r="R454" s="184">
        <f>IF('prijem -inna mena'!$I$90=TRUE,IF($C$11&gt;0,0.00025*N453,0),IF('prijem -inna mena'!$I$91=TRUE,IF('prijem -inna mena'!$F$91&gt;0,0.00025*N453*-1,0),0))</f>
        <v>0</v>
      </c>
    </row>
    <row r="455" spans="1:18" x14ac:dyDescent="0.2">
      <c r="A455" s="89">
        <v>439</v>
      </c>
      <c r="B455" s="237" t="e">
        <f t="shared" si="64"/>
        <v>#NUM!</v>
      </c>
      <c r="C455" s="142" t="e">
        <f t="shared" si="60"/>
        <v>#NUM!</v>
      </c>
      <c r="D455" s="142" t="e">
        <f t="shared" si="65"/>
        <v>#NUM!</v>
      </c>
      <c r="E455" s="142" t="e">
        <f t="shared" si="66"/>
        <v>#NUM!</v>
      </c>
      <c r="F455" s="142" t="e">
        <f t="shared" si="61"/>
        <v>#NUM!</v>
      </c>
      <c r="G455" s="184">
        <f>IF('prijem -inna mena'!$I$90=TRUE,IF($C$11&gt;0,0.00025*C454,0),IF('prijem -inna mena'!$I$91=TRUE,IF('prijem -inna mena'!$F$91&gt;0,0.00025*C454,0),0))</f>
        <v>0</v>
      </c>
      <c r="L455" s="89">
        <v>439</v>
      </c>
      <c r="M455" s="237" t="e">
        <f t="shared" si="67"/>
        <v>#DIV/0!</v>
      </c>
      <c r="N455" s="142" t="e">
        <f t="shared" si="62"/>
        <v>#DIV/0!</v>
      </c>
      <c r="O455" s="142" t="e">
        <f t="shared" si="63"/>
        <v>#DIV/0!</v>
      </c>
      <c r="P455" s="142" t="e">
        <f t="shared" si="68"/>
        <v>#DIV/0!</v>
      </c>
      <c r="Q455" s="142" t="e">
        <f t="shared" si="69"/>
        <v>#DIV/0!</v>
      </c>
      <c r="R455" s="184">
        <f>IF('prijem -inna mena'!$I$90=TRUE,IF($C$11&gt;0,0.00025*N454,0),IF('prijem -inna mena'!$I$91=TRUE,IF('prijem -inna mena'!$F$91&gt;0,0.00025*N454*-1,0),0))</f>
        <v>0</v>
      </c>
    </row>
    <row r="456" spans="1:18" x14ac:dyDescent="0.2">
      <c r="A456" s="89">
        <v>440</v>
      </c>
      <c r="B456" s="237" t="e">
        <f t="shared" si="64"/>
        <v>#NUM!</v>
      </c>
      <c r="C456" s="142" t="e">
        <f t="shared" si="60"/>
        <v>#NUM!</v>
      </c>
      <c r="D456" s="142" t="e">
        <f t="shared" si="65"/>
        <v>#NUM!</v>
      </c>
      <c r="E456" s="142" t="e">
        <f t="shared" si="66"/>
        <v>#NUM!</v>
      </c>
      <c r="F456" s="142" t="e">
        <f t="shared" si="61"/>
        <v>#NUM!</v>
      </c>
      <c r="G456" s="184">
        <f>IF('prijem -inna mena'!$I$90=TRUE,IF($C$11&gt;0,0.00025*C455,0),IF('prijem -inna mena'!$I$91=TRUE,IF('prijem -inna mena'!$F$91&gt;0,0.00025*C455,0),0))</f>
        <v>0</v>
      </c>
      <c r="L456" s="89">
        <v>440</v>
      </c>
      <c r="M456" s="237" t="e">
        <f t="shared" si="67"/>
        <v>#DIV/0!</v>
      </c>
      <c r="N456" s="142" t="e">
        <f t="shared" si="62"/>
        <v>#DIV/0!</v>
      </c>
      <c r="O456" s="142" t="e">
        <f t="shared" si="63"/>
        <v>#DIV/0!</v>
      </c>
      <c r="P456" s="142" t="e">
        <f t="shared" si="68"/>
        <v>#DIV/0!</v>
      </c>
      <c r="Q456" s="142" t="e">
        <f t="shared" si="69"/>
        <v>#DIV/0!</v>
      </c>
      <c r="R456" s="184">
        <f>IF('prijem -inna mena'!$I$90=TRUE,IF($C$11&gt;0,0.00025*N455,0),IF('prijem -inna mena'!$I$91=TRUE,IF('prijem -inna mena'!$F$91&gt;0,0.00025*N455*-1,0),0))</f>
        <v>0</v>
      </c>
    </row>
    <row r="457" spans="1:18" x14ac:dyDescent="0.2">
      <c r="A457" s="89">
        <v>441</v>
      </c>
      <c r="B457" s="237" t="e">
        <f t="shared" si="64"/>
        <v>#NUM!</v>
      </c>
      <c r="C457" s="142" t="e">
        <f t="shared" si="60"/>
        <v>#NUM!</v>
      </c>
      <c r="D457" s="142" t="e">
        <f t="shared" si="65"/>
        <v>#NUM!</v>
      </c>
      <c r="E457" s="142" t="e">
        <f t="shared" si="66"/>
        <v>#NUM!</v>
      </c>
      <c r="F457" s="142" t="e">
        <f t="shared" si="61"/>
        <v>#NUM!</v>
      </c>
      <c r="G457" s="184">
        <f>IF('prijem -inna mena'!$I$90=TRUE,IF($C$11&gt;0,0.00025*C456,0),IF('prijem -inna mena'!$I$91=TRUE,IF('prijem -inna mena'!$F$91&gt;0,0.00025*C456,0),0))</f>
        <v>0</v>
      </c>
      <c r="L457" s="89">
        <v>441</v>
      </c>
      <c r="M457" s="237" t="e">
        <f t="shared" si="67"/>
        <v>#DIV/0!</v>
      </c>
      <c r="N457" s="142" t="e">
        <f t="shared" si="62"/>
        <v>#DIV/0!</v>
      </c>
      <c r="O457" s="142" t="e">
        <f t="shared" si="63"/>
        <v>#DIV/0!</v>
      </c>
      <c r="P457" s="142" t="e">
        <f t="shared" si="68"/>
        <v>#DIV/0!</v>
      </c>
      <c r="Q457" s="142" t="e">
        <f t="shared" si="69"/>
        <v>#DIV/0!</v>
      </c>
      <c r="R457" s="184">
        <f>IF('prijem -inna mena'!$I$90=TRUE,IF($C$11&gt;0,0.00025*N456,0),IF('prijem -inna mena'!$I$91=TRUE,IF('prijem -inna mena'!$F$91&gt;0,0.00025*N456*-1,0),0))</f>
        <v>0</v>
      </c>
    </row>
    <row r="458" spans="1:18" x14ac:dyDescent="0.2">
      <c r="A458" s="89">
        <v>442</v>
      </c>
      <c r="B458" s="237" t="e">
        <f t="shared" si="64"/>
        <v>#NUM!</v>
      </c>
      <c r="C458" s="142" t="e">
        <f t="shared" si="60"/>
        <v>#NUM!</v>
      </c>
      <c r="D458" s="142" t="e">
        <f t="shared" si="65"/>
        <v>#NUM!</v>
      </c>
      <c r="E458" s="142" t="e">
        <f t="shared" si="66"/>
        <v>#NUM!</v>
      </c>
      <c r="F458" s="142" t="e">
        <f t="shared" si="61"/>
        <v>#NUM!</v>
      </c>
      <c r="G458" s="184">
        <f>IF('prijem -inna mena'!$I$90=TRUE,IF($C$11&gt;0,0.00025*C457,0),IF('prijem -inna mena'!$I$91=TRUE,IF('prijem -inna mena'!$F$91&gt;0,0.00025*C457,0),0))</f>
        <v>0</v>
      </c>
      <c r="L458" s="89">
        <v>442</v>
      </c>
      <c r="M458" s="237" t="e">
        <f t="shared" si="67"/>
        <v>#DIV/0!</v>
      </c>
      <c r="N458" s="142" t="e">
        <f t="shared" si="62"/>
        <v>#DIV/0!</v>
      </c>
      <c r="O458" s="142" t="e">
        <f t="shared" si="63"/>
        <v>#DIV/0!</v>
      </c>
      <c r="P458" s="142" t="e">
        <f t="shared" si="68"/>
        <v>#DIV/0!</v>
      </c>
      <c r="Q458" s="142" t="e">
        <f t="shared" si="69"/>
        <v>#DIV/0!</v>
      </c>
      <c r="R458" s="184">
        <f>IF('prijem -inna mena'!$I$90=TRUE,IF($C$11&gt;0,0.00025*N457,0),IF('prijem -inna mena'!$I$91=TRUE,IF('prijem -inna mena'!$F$91&gt;0,0.00025*N457*-1,0),0))</f>
        <v>0</v>
      </c>
    </row>
    <row r="459" spans="1:18" x14ac:dyDescent="0.2">
      <c r="A459" s="89">
        <v>443</v>
      </c>
      <c r="B459" s="237" t="e">
        <f t="shared" si="64"/>
        <v>#NUM!</v>
      </c>
      <c r="C459" s="142" t="e">
        <f t="shared" si="60"/>
        <v>#NUM!</v>
      </c>
      <c r="D459" s="142" t="e">
        <f t="shared" si="65"/>
        <v>#NUM!</v>
      </c>
      <c r="E459" s="142" t="e">
        <f t="shared" si="66"/>
        <v>#NUM!</v>
      </c>
      <c r="F459" s="142" t="e">
        <f t="shared" si="61"/>
        <v>#NUM!</v>
      </c>
      <c r="G459" s="184">
        <f>IF('prijem -inna mena'!$I$90=TRUE,IF($C$11&gt;0,0.00025*C458,0),IF('prijem -inna mena'!$I$91=TRUE,IF('prijem -inna mena'!$F$91&gt;0,0.00025*C458,0),0))</f>
        <v>0</v>
      </c>
      <c r="L459" s="89">
        <v>443</v>
      </c>
      <c r="M459" s="237" t="e">
        <f t="shared" si="67"/>
        <v>#DIV/0!</v>
      </c>
      <c r="N459" s="142" t="e">
        <f t="shared" si="62"/>
        <v>#DIV/0!</v>
      </c>
      <c r="O459" s="142" t="e">
        <f t="shared" si="63"/>
        <v>#DIV/0!</v>
      </c>
      <c r="P459" s="142" t="e">
        <f t="shared" si="68"/>
        <v>#DIV/0!</v>
      </c>
      <c r="Q459" s="142" t="e">
        <f t="shared" si="69"/>
        <v>#DIV/0!</v>
      </c>
      <c r="R459" s="184">
        <f>IF('prijem -inna mena'!$I$90=TRUE,IF($C$11&gt;0,0.00025*N458,0),IF('prijem -inna mena'!$I$91=TRUE,IF('prijem -inna mena'!$F$91&gt;0,0.00025*N458*-1,0),0))</f>
        <v>0</v>
      </c>
    </row>
    <row r="460" spans="1:18" x14ac:dyDescent="0.2">
      <c r="A460" s="89">
        <v>444</v>
      </c>
      <c r="B460" s="237" t="e">
        <f t="shared" si="64"/>
        <v>#NUM!</v>
      </c>
      <c r="C460" s="142" t="e">
        <f t="shared" si="60"/>
        <v>#NUM!</v>
      </c>
      <c r="D460" s="142" t="e">
        <f t="shared" si="65"/>
        <v>#NUM!</v>
      </c>
      <c r="E460" s="142" t="e">
        <f t="shared" si="66"/>
        <v>#NUM!</v>
      </c>
      <c r="F460" s="142" t="e">
        <f t="shared" si="61"/>
        <v>#NUM!</v>
      </c>
      <c r="G460" s="184">
        <f>IF('prijem -inna mena'!$I$90=TRUE,IF($C$11&gt;0,0.00025*C459,0),IF('prijem -inna mena'!$I$91=TRUE,IF('prijem -inna mena'!$F$91&gt;0,0.00025*C459,0),0))</f>
        <v>0</v>
      </c>
      <c r="L460" s="89">
        <v>444</v>
      </c>
      <c r="M460" s="237" t="e">
        <f t="shared" si="67"/>
        <v>#DIV/0!</v>
      </c>
      <c r="N460" s="142" t="e">
        <f t="shared" si="62"/>
        <v>#DIV/0!</v>
      </c>
      <c r="O460" s="142" t="e">
        <f t="shared" si="63"/>
        <v>#DIV/0!</v>
      </c>
      <c r="P460" s="142" t="e">
        <f t="shared" si="68"/>
        <v>#DIV/0!</v>
      </c>
      <c r="Q460" s="142" t="e">
        <f t="shared" si="69"/>
        <v>#DIV/0!</v>
      </c>
      <c r="R460" s="184">
        <f>IF('prijem -inna mena'!$I$90=TRUE,IF($C$11&gt;0,0.00025*N459,0),IF('prijem -inna mena'!$I$91=TRUE,IF('prijem -inna mena'!$F$91&gt;0,0.00025*N459*-1,0),0))</f>
        <v>0</v>
      </c>
    </row>
    <row r="461" spans="1:18" x14ac:dyDescent="0.2">
      <c r="A461" s="89">
        <v>445</v>
      </c>
      <c r="B461" s="237" t="e">
        <f t="shared" si="64"/>
        <v>#NUM!</v>
      </c>
      <c r="C461" s="142" t="e">
        <f t="shared" si="60"/>
        <v>#NUM!</v>
      </c>
      <c r="D461" s="142" t="e">
        <f t="shared" si="65"/>
        <v>#NUM!</v>
      </c>
      <c r="E461" s="142" t="e">
        <f t="shared" si="66"/>
        <v>#NUM!</v>
      </c>
      <c r="F461" s="142" t="e">
        <f t="shared" si="61"/>
        <v>#NUM!</v>
      </c>
      <c r="G461" s="184">
        <f>IF('prijem -inna mena'!$I$90=TRUE,IF($C$11&gt;0,0.00025*C460,0),IF('prijem -inna mena'!$I$91=TRUE,IF('prijem -inna mena'!$F$91&gt;0,0.00025*C460,0),0))</f>
        <v>0</v>
      </c>
      <c r="L461" s="89">
        <v>445</v>
      </c>
      <c r="M461" s="237" t="e">
        <f t="shared" si="67"/>
        <v>#DIV/0!</v>
      </c>
      <c r="N461" s="142" t="e">
        <f t="shared" si="62"/>
        <v>#DIV/0!</v>
      </c>
      <c r="O461" s="142" t="e">
        <f t="shared" si="63"/>
        <v>#DIV/0!</v>
      </c>
      <c r="P461" s="142" t="e">
        <f t="shared" si="68"/>
        <v>#DIV/0!</v>
      </c>
      <c r="Q461" s="142" t="e">
        <f t="shared" si="69"/>
        <v>#DIV/0!</v>
      </c>
      <c r="R461" s="184">
        <f>IF('prijem -inna mena'!$I$90=TRUE,IF($C$11&gt;0,0.00025*N460,0),IF('prijem -inna mena'!$I$91=TRUE,IF('prijem -inna mena'!$F$91&gt;0,0.00025*N460*-1,0),0))</f>
        <v>0</v>
      </c>
    </row>
    <row r="462" spans="1:18" x14ac:dyDescent="0.2">
      <c r="A462" s="89">
        <v>446</v>
      </c>
      <c r="B462" s="237" t="e">
        <f t="shared" si="64"/>
        <v>#NUM!</v>
      </c>
      <c r="C462" s="142" t="e">
        <f t="shared" si="60"/>
        <v>#NUM!</v>
      </c>
      <c r="D462" s="142" t="e">
        <f t="shared" si="65"/>
        <v>#NUM!</v>
      </c>
      <c r="E462" s="142" t="e">
        <f t="shared" si="66"/>
        <v>#NUM!</v>
      </c>
      <c r="F462" s="142" t="e">
        <f t="shared" si="61"/>
        <v>#NUM!</v>
      </c>
      <c r="G462" s="184">
        <f>IF('prijem -inna mena'!$I$90=TRUE,IF($C$11&gt;0,0.00025*C461,0),IF('prijem -inna mena'!$I$91=TRUE,IF('prijem -inna mena'!$F$91&gt;0,0.00025*C461,0),0))</f>
        <v>0</v>
      </c>
      <c r="L462" s="89">
        <v>446</v>
      </c>
      <c r="M462" s="237" t="e">
        <f t="shared" si="67"/>
        <v>#DIV/0!</v>
      </c>
      <c r="N462" s="142" t="e">
        <f t="shared" si="62"/>
        <v>#DIV/0!</v>
      </c>
      <c r="O462" s="142" t="e">
        <f t="shared" si="63"/>
        <v>#DIV/0!</v>
      </c>
      <c r="P462" s="142" t="e">
        <f t="shared" si="68"/>
        <v>#DIV/0!</v>
      </c>
      <c r="Q462" s="142" t="e">
        <f t="shared" si="69"/>
        <v>#DIV/0!</v>
      </c>
      <c r="R462" s="184">
        <f>IF('prijem -inna mena'!$I$90=TRUE,IF($C$11&gt;0,0.00025*N461,0),IF('prijem -inna mena'!$I$91=TRUE,IF('prijem -inna mena'!$F$91&gt;0,0.00025*N461*-1,0),0))</f>
        <v>0</v>
      </c>
    </row>
    <row r="463" spans="1:18" x14ac:dyDescent="0.2">
      <c r="A463" s="89">
        <v>447</v>
      </c>
      <c r="B463" s="237" t="e">
        <f t="shared" si="64"/>
        <v>#NUM!</v>
      </c>
      <c r="C463" s="142" t="e">
        <f t="shared" si="60"/>
        <v>#NUM!</v>
      </c>
      <c r="D463" s="142" t="e">
        <f t="shared" si="65"/>
        <v>#NUM!</v>
      </c>
      <c r="E463" s="142" t="e">
        <f t="shared" si="66"/>
        <v>#NUM!</v>
      </c>
      <c r="F463" s="142" t="e">
        <f t="shared" si="61"/>
        <v>#NUM!</v>
      </c>
      <c r="G463" s="184">
        <f>IF('prijem -inna mena'!$I$90=TRUE,IF($C$11&gt;0,0.00025*C462,0),IF('prijem -inna mena'!$I$91=TRUE,IF('prijem -inna mena'!$F$91&gt;0,0.00025*C462,0),0))</f>
        <v>0</v>
      </c>
      <c r="L463" s="89">
        <v>447</v>
      </c>
      <c r="M463" s="237" t="e">
        <f t="shared" si="67"/>
        <v>#DIV/0!</v>
      </c>
      <c r="N463" s="142" t="e">
        <f t="shared" si="62"/>
        <v>#DIV/0!</v>
      </c>
      <c r="O463" s="142" t="e">
        <f t="shared" si="63"/>
        <v>#DIV/0!</v>
      </c>
      <c r="P463" s="142" t="e">
        <f t="shared" si="68"/>
        <v>#DIV/0!</v>
      </c>
      <c r="Q463" s="142" t="e">
        <f t="shared" si="69"/>
        <v>#DIV/0!</v>
      </c>
      <c r="R463" s="184">
        <f>IF('prijem -inna mena'!$I$90=TRUE,IF($C$11&gt;0,0.00025*N462,0),IF('prijem -inna mena'!$I$91=TRUE,IF('prijem -inna mena'!$F$91&gt;0,0.00025*N462*-1,0),0))</f>
        <v>0</v>
      </c>
    </row>
    <row r="464" spans="1:18" x14ac:dyDescent="0.2">
      <c r="A464" s="89">
        <v>448</v>
      </c>
      <c r="B464" s="237" t="e">
        <f t="shared" si="64"/>
        <v>#NUM!</v>
      </c>
      <c r="C464" s="142" t="e">
        <f t="shared" si="60"/>
        <v>#NUM!</v>
      </c>
      <c r="D464" s="142" t="e">
        <f t="shared" si="65"/>
        <v>#NUM!</v>
      </c>
      <c r="E464" s="142" t="e">
        <f t="shared" si="66"/>
        <v>#NUM!</v>
      </c>
      <c r="F464" s="142" t="e">
        <f t="shared" si="61"/>
        <v>#NUM!</v>
      </c>
      <c r="G464" s="184">
        <f>IF('prijem -inna mena'!$I$90=TRUE,IF($C$11&gt;0,0.00025*C463,0),IF('prijem -inna mena'!$I$91=TRUE,IF('prijem -inna mena'!$F$91&gt;0,0.00025*C463,0),0))</f>
        <v>0</v>
      </c>
      <c r="L464" s="89">
        <v>448</v>
      </c>
      <c r="M464" s="237" t="e">
        <f t="shared" si="67"/>
        <v>#DIV/0!</v>
      </c>
      <c r="N464" s="142" t="e">
        <f t="shared" si="62"/>
        <v>#DIV/0!</v>
      </c>
      <c r="O464" s="142" t="e">
        <f t="shared" si="63"/>
        <v>#DIV/0!</v>
      </c>
      <c r="P464" s="142" t="e">
        <f t="shared" si="68"/>
        <v>#DIV/0!</v>
      </c>
      <c r="Q464" s="142" t="e">
        <f t="shared" si="69"/>
        <v>#DIV/0!</v>
      </c>
      <c r="R464" s="184">
        <f>IF('prijem -inna mena'!$I$90=TRUE,IF($C$11&gt;0,0.00025*N463,0),IF('prijem -inna mena'!$I$91=TRUE,IF('prijem -inna mena'!$F$91&gt;0,0.00025*N463*-1,0),0))</f>
        <v>0</v>
      </c>
    </row>
    <row r="465" spans="1:18" x14ac:dyDescent="0.2">
      <c r="A465" s="89">
        <v>449</v>
      </c>
      <c r="B465" s="237" t="e">
        <f t="shared" si="64"/>
        <v>#NUM!</v>
      </c>
      <c r="C465" s="142" t="e">
        <f t="shared" ref="C465:C496" si="70">MAX(C464-D465,0)</f>
        <v>#NUM!</v>
      </c>
      <c r="D465" s="142" t="e">
        <f t="shared" si="65"/>
        <v>#NUM!</v>
      </c>
      <c r="E465" s="142" t="e">
        <f t="shared" si="66"/>
        <v>#NUM!</v>
      </c>
      <c r="F465" s="142" t="e">
        <f t="shared" ref="F465:F496" si="71">PMT($C$4/12,$C$5,$C$3)</f>
        <v>#NUM!</v>
      </c>
      <c r="G465" s="184">
        <f>IF('prijem -inna mena'!$I$90=TRUE,IF($C$11&gt;0,0.00025*C464,0),IF('prijem -inna mena'!$I$91=TRUE,IF('prijem -inna mena'!$F$91&gt;0,0.00025*C464,0),0))</f>
        <v>0</v>
      </c>
      <c r="L465" s="89">
        <v>449</v>
      </c>
      <c r="M465" s="237" t="e">
        <f t="shared" si="67"/>
        <v>#DIV/0!</v>
      </c>
      <c r="N465" s="142" t="e">
        <f t="shared" ref="N465:N496" si="72">MAX(N464-O465,0)</f>
        <v>#DIV/0!</v>
      </c>
      <c r="O465" s="142" t="e">
        <f t="shared" ref="O465:O496" si="73">$N$16/$N$5</f>
        <v>#DIV/0!</v>
      </c>
      <c r="P465" s="142" t="e">
        <f t="shared" si="68"/>
        <v>#DIV/0!</v>
      </c>
      <c r="Q465" s="142" t="e">
        <f t="shared" si="69"/>
        <v>#DIV/0!</v>
      </c>
      <c r="R465" s="184">
        <f>IF('prijem -inna mena'!$I$90=TRUE,IF($C$11&gt;0,0.00025*N464,0),IF('prijem -inna mena'!$I$91=TRUE,IF('prijem -inna mena'!$F$91&gt;0,0.00025*N464*-1,0),0))</f>
        <v>0</v>
      </c>
    </row>
    <row r="466" spans="1:18" x14ac:dyDescent="0.2">
      <c r="A466" s="89">
        <v>450</v>
      </c>
      <c r="B466" s="237" t="e">
        <f t="shared" ref="B466:B496" si="74">IF(C465&gt;0.00001,F466-G466,0)</f>
        <v>#NUM!</v>
      </c>
      <c r="C466" s="142" t="e">
        <f t="shared" si="70"/>
        <v>#NUM!</v>
      </c>
      <c r="D466" s="142" t="e">
        <f t="shared" ref="D466:D496" si="75">(F466-E466)*-1</f>
        <v>#NUM!</v>
      </c>
      <c r="E466" s="142" t="e">
        <f t="shared" ref="E466:E496" si="76">IPMT($C$4/12,1,$C$5,C465)</f>
        <v>#NUM!</v>
      </c>
      <c r="F466" s="142" t="e">
        <f t="shared" si="71"/>
        <v>#NUM!</v>
      </c>
      <c r="G466" s="184">
        <f>IF('prijem -inna mena'!$I$90=TRUE,IF($C$11&gt;0,0.00025*C465,0),IF('prijem -inna mena'!$I$91=TRUE,IF('prijem -inna mena'!$F$91&gt;0,0.00025*C465,0),0))</f>
        <v>0</v>
      </c>
      <c r="L466" s="89">
        <v>450</v>
      </c>
      <c r="M466" s="237" t="e">
        <f t="shared" ref="M466:M496" si="77">IF(N465&gt;0.00001,Q466-R466,0)*-1</f>
        <v>#DIV/0!</v>
      </c>
      <c r="N466" s="142" t="e">
        <f t="shared" si="72"/>
        <v>#DIV/0!</v>
      </c>
      <c r="O466" s="142" t="e">
        <f t="shared" si="73"/>
        <v>#DIV/0!</v>
      </c>
      <c r="P466" s="142" t="e">
        <f t="shared" ref="P466:P496" si="78">N465*$N$4/12</f>
        <v>#DIV/0!</v>
      </c>
      <c r="Q466" s="142" t="e">
        <f t="shared" ref="Q466:Q496" si="79">P466+O466</f>
        <v>#DIV/0!</v>
      </c>
      <c r="R466" s="184">
        <f>IF('prijem -inna mena'!$I$90=TRUE,IF($C$11&gt;0,0.00025*N465,0),IF('prijem -inna mena'!$I$91=TRUE,IF('prijem -inna mena'!$F$91&gt;0,0.00025*N465*-1,0),0))</f>
        <v>0</v>
      </c>
    </row>
    <row r="467" spans="1:18" x14ac:dyDescent="0.2">
      <c r="A467" s="89">
        <v>451</v>
      </c>
      <c r="B467" s="237" t="e">
        <f t="shared" si="74"/>
        <v>#NUM!</v>
      </c>
      <c r="C467" s="142" t="e">
        <f t="shared" si="70"/>
        <v>#NUM!</v>
      </c>
      <c r="D467" s="142" t="e">
        <f t="shared" si="75"/>
        <v>#NUM!</v>
      </c>
      <c r="E467" s="142" t="e">
        <f t="shared" si="76"/>
        <v>#NUM!</v>
      </c>
      <c r="F467" s="142" t="e">
        <f t="shared" si="71"/>
        <v>#NUM!</v>
      </c>
      <c r="G467" s="184">
        <f>IF('prijem -inna mena'!$I$90=TRUE,IF($C$11&gt;0,0.00025*C466,0),IF('prijem -inna mena'!$I$91=TRUE,IF('prijem -inna mena'!$F$91&gt;0,0.00025*C466,0),0))</f>
        <v>0</v>
      </c>
      <c r="L467" s="89">
        <v>451</v>
      </c>
      <c r="M467" s="237" t="e">
        <f t="shared" si="77"/>
        <v>#DIV/0!</v>
      </c>
      <c r="N467" s="142" t="e">
        <f t="shared" si="72"/>
        <v>#DIV/0!</v>
      </c>
      <c r="O467" s="142" t="e">
        <f t="shared" si="73"/>
        <v>#DIV/0!</v>
      </c>
      <c r="P467" s="142" t="e">
        <f t="shared" si="78"/>
        <v>#DIV/0!</v>
      </c>
      <c r="Q467" s="142" t="e">
        <f t="shared" si="79"/>
        <v>#DIV/0!</v>
      </c>
      <c r="R467" s="184">
        <f>IF('prijem -inna mena'!$I$90=TRUE,IF($C$11&gt;0,0.00025*N466,0),IF('prijem -inna mena'!$I$91=TRUE,IF('prijem -inna mena'!$F$91&gt;0,0.00025*N466*-1,0),0))</f>
        <v>0</v>
      </c>
    </row>
    <row r="468" spans="1:18" x14ac:dyDescent="0.2">
      <c r="A468" s="89">
        <v>452</v>
      </c>
      <c r="B468" s="237" t="e">
        <f t="shared" si="74"/>
        <v>#NUM!</v>
      </c>
      <c r="C468" s="142" t="e">
        <f t="shared" si="70"/>
        <v>#NUM!</v>
      </c>
      <c r="D468" s="142" t="e">
        <f t="shared" si="75"/>
        <v>#NUM!</v>
      </c>
      <c r="E468" s="142" t="e">
        <f t="shared" si="76"/>
        <v>#NUM!</v>
      </c>
      <c r="F468" s="142" t="e">
        <f t="shared" si="71"/>
        <v>#NUM!</v>
      </c>
      <c r="G468" s="184">
        <f>IF('prijem -inna mena'!$I$90=TRUE,IF($C$11&gt;0,0.00025*C467,0),IF('prijem -inna mena'!$I$91=TRUE,IF('prijem -inna mena'!$F$91&gt;0,0.00025*C467,0),0))</f>
        <v>0</v>
      </c>
      <c r="L468" s="89">
        <v>452</v>
      </c>
      <c r="M468" s="237" t="e">
        <f t="shared" si="77"/>
        <v>#DIV/0!</v>
      </c>
      <c r="N468" s="142" t="e">
        <f t="shared" si="72"/>
        <v>#DIV/0!</v>
      </c>
      <c r="O468" s="142" t="e">
        <f t="shared" si="73"/>
        <v>#DIV/0!</v>
      </c>
      <c r="P468" s="142" t="e">
        <f t="shared" si="78"/>
        <v>#DIV/0!</v>
      </c>
      <c r="Q468" s="142" t="e">
        <f t="shared" si="79"/>
        <v>#DIV/0!</v>
      </c>
      <c r="R468" s="184">
        <f>IF('prijem -inna mena'!$I$90=TRUE,IF($C$11&gt;0,0.00025*N467,0),IF('prijem -inna mena'!$I$91=TRUE,IF('prijem -inna mena'!$F$91&gt;0,0.00025*N467*-1,0),0))</f>
        <v>0</v>
      </c>
    </row>
    <row r="469" spans="1:18" x14ac:dyDescent="0.2">
      <c r="A469" s="89">
        <v>453</v>
      </c>
      <c r="B469" s="237" t="e">
        <f t="shared" si="74"/>
        <v>#NUM!</v>
      </c>
      <c r="C469" s="142" t="e">
        <f t="shared" si="70"/>
        <v>#NUM!</v>
      </c>
      <c r="D469" s="142" t="e">
        <f t="shared" si="75"/>
        <v>#NUM!</v>
      </c>
      <c r="E469" s="142" t="e">
        <f t="shared" si="76"/>
        <v>#NUM!</v>
      </c>
      <c r="F469" s="142" t="e">
        <f t="shared" si="71"/>
        <v>#NUM!</v>
      </c>
      <c r="G469" s="184">
        <f>IF('prijem -inna mena'!$I$90=TRUE,IF($C$11&gt;0,0.00025*C468,0),IF('prijem -inna mena'!$I$91=TRUE,IF('prijem -inna mena'!$F$91&gt;0,0.00025*C468,0),0))</f>
        <v>0</v>
      </c>
      <c r="L469" s="89">
        <v>453</v>
      </c>
      <c r="M469" s="237" t="e">
        <f t="shared" si="77"/>
        <v>#DIV/0!</v>
      </c>
      <c r="N469" s="142" t="e">
        <f t="shared" si="72"/>
        <v>#DIV/0!</v>
      </c>
      <c r="O469" s="142" t="e">
        <f t="shared" si="73"/>
        <v>#DIV/0!</v>
      </c>
      <c r="P469" s="142" t="e">
        <f t="shared" si="78"/>
        <v>#DIV/0!</v>
      </c>
      <c r="Q469" s="142" t="e">
        <f t="shared" si="79"/>
        <v>#DIV/0!</v>
      </c>
      <c r="R469" s="184">
        <f>IF('prijem -inna mena'!$I$90=TRUE,IF($C$11&gt;0,0.00025*N468,0),IF('prijem -inna mena'!$I$91=TRUE,IF('prijem -inna mena'!$F$91&gt;0,0.00025*N468*-1,0),0))</f>
        <v>0</v>
      </c>
    </row>
    <row r="470" spans="1:18" x14ac:dyDescent="0.2">
      <c r="A470" s="89">
        <v>454</v>
      </c>
      <c r="B470" s="237" t="e">
        <f t="shared" si="74"/>
        <v>#NUM!</v>
      </c>
      <c r="C470" s="142" t="e">
        <f t="shared" si="70"/>
        <v>#NUM!</v>
      </c>
      <c r="D470" s="142" t="e">
        <f t="shared" si="75"/>
        <v>#NUM!</v>
      </c>
      <c r="E470" s="142" t="e">
        <f t="shared" si="76"/>
        <v>#NUM!</v>
      </c>
      <c r="F470" s="142" t="e">
        <f t="shared" si="71"/>
        <v>#NUM!</v>
      </c>
      <c r="G470" s="184">
        <f>IF('prijem -inna mena'!$I$90=TRUE,IF($C$11&gt;0,0.00025*C469,0),IF('prijem -inna mena'!$I$91=TRUE,IF('prijem -inna mena'!$F$91&gt;0,0.00025*C469,0),0))</f>
        <v>0</v>
      </c>
      <c r="L470" s="89">
        <v>454</v>
      </c>
      <c r="M470" s="237" t="e">
        <f t="shared" si="77"/>
        <v>#DIV/0!</v>
      </c>
      <c r="N470" s="142" t="e">
        <f t="shared" si="72"/>
        <v>#DIV/0!</v>
      </c>
      <c r="O470" s="142" t="e">
        <f t="shared" si="73"/>
        <v>#DIV/0!</v>
      </c>
      <c r="P470" s="142" t="e">
        <f t="shared" si="78"/>
        <v>#DIV/0!</v>
      </c>
      <c r="Q470" s="142" t="e">
        <f t="shared" si="79"/>
        <v>#DIV/0!</v>
      </c>
      <c r="R470" s="184">
        <f>IF('prijem -inna mena'!$I$90=TRUE,IF($C$11&gt;0,0.00025*N469,0),IF('prijem -inna mena'!$I$91=TRUE,IF('prijem -inna mena'!$F$91&gt;0,0.00025*N469*-1,0),0))</f>
        <v>0</v>
      </c>
    </row>
    <row r="471" spans="1:18" x14ac:dyDescent="0.2">
      <c r="A471" s="89">
        <v>455</v>
      </c>
      <c r="B471" s="237" t="e">
        <f t="shared" si="74"/>
        <v>#NUM!</v>
      </c>
      <c r="C471" s="142" t="e">
        <f t="shared" si="70"/>
        <v>#NUM!</v>
      </c>
      <c r="D471" s="142" t="e">
        <f t="shared" si="75"/>
        <v>#NUM!</v>
      </c>
      <c r="E471" s="142" t="e">
        <f t="shared" si="76"/>
        <v>#NUM!</v>
      </c>
      <c r="F471" s="142" t="e">
        <f t="shared" si="71"/>
        <v>#NUM!</v>
      </c>
      <c r="G471" s="184">
        <f>IF('prijem -inna mena'!$I$90=TRUE,IF($C$11&gt;0,0.00025*C470,0),IF('prijem -inna mena'!$I$91=TRUE,IF('prijem -inna mena'!$F$91&gt;0,0.00025*C470,0),0))</f>
        <v>0</v>
      </c>
      <c r="L471" s="89">
        <v>455</v>
      </c>
      <c r="M471" s="237" t="e">
        <f t="shared" si="77"/>
        <v>#DIV/0!</v>
      </c>
      <c r="N471" s="142" t="e">
        <f t="shared" si="72"/>
        <v>#DIV/0!</v>
      </c>
      <c r="O471" s="142" t="e">
        <f t="shared" si="73"/>
        <v>#DIV/0!</v>
      </c>
      <c r="P471" s="142" t="e">
        <f t="shared" si="78"/>
        <v>#DIV/0!</v>
      </c>
      <c r="Q471" s="142" t="e">
        <f t="shared" si="79"/>
        <v>#DIV/0!</v>
      </c>
      <c r="R471" s="184">
        <f>IF('prijem -inna mena'!$I$90=TRUE,IF($C$11&gt;0,0.00025*N470,0),IF('prijem -inna mena'!$I$91=TRUE,IF('prijem -inna mena'!$F$91&gt;0,0.00025*N470*-1,0),0))</f>
        <v>0</v>
      </c>
    </row>
    <row r="472" spans="1:18" x14ac:dyDescent="0.2">
      <c r="A472" s="89">
        <v>456</v>
      </c>
      <c r="B472" s="237" t="e">
        <f t="shared" si="74"/>
        <v>#NUM!</v>
      </c>
      <c r="C472" s="142" t="e">
        <f t="shared" si="70"/>
        <v>#NUM!</v>
      </c>
      <c r="D472" s="142" t="e">
        <f t="shared" si="75"/>
        <v>#NUM!</v>
      </c>
      <c r="E472" s="142" t="e">
        <f t="shared" si="76"/>
        <v>#NUM!</v>
      </c>
      <c r="F472" s="142" t="e">
        <f t="shared" si="71"/>
        <v>#NUM!</v>
      </c>
      <c r="G472" s="184">
        <f>IF('prijem -inna mena'!$I$90=TRUE,IF($C$11&gt;0,0.00025*C471,0),IF('prijem -inna mena'!$I$91=TRUE,IF('prijem -inna mena'!$F$91&gt;0,0.00025*C471,0),0))</f>
        <v>0</v>
      </c>
      <c r="L472" s="89">
        <v>456</v>
      </c>
      <c r="M472" s="237" t="e">
        <f t="shared" si="77"/>
        <v>#DIV/0!</v>
      </c>
      <c r="N472" s="142" t="e">
        <f t="shared" si="72"/>
        <v>#DIV/0!</v>
      </c>
      <c r="O472" s="142" t="e">
        <f t="shared" si="73"/>
        <v>#DIV/0!</v>
      </c>
      <c r="P472" s="142" t="e">
        <f t="shared" si="78"/>
        <v>#DIV/0!</v>
      </c>
      <c r="Q472" s="142" t="e">
        <f t="shared" si="79"/>
        <v>#DIV/0!</v>
      </c>
      <c r="R472" s="184">
        <f>IF('prijem -inna mena'!$I$90=TRUE,IF($C$11&gt;0,0.00025*N471,0),IF('prijem -inna mena'!$I$91=TRUE,IF('prijem -inna mena'!$F$91&gt;0,0.00025*N471*-1,0),0))</f>
        <v>0</v>
      </c>
    </row>
    <row r="473" spans="1:18" x14ac:dyDescent="0.2">
      <c r="A473" s="89">
        <v>457</v>
      </c>
      <c r="B473" s="237" t="e">
        <f t="shared" si="74"/>
        <v>#NUM!</v>
      </c>
      <c r="C473" s="142" t="e">
        <f t="shared" si="70"/>
        <v>#NUM!</v>
      </c>
      <c r="D473" s="142" t="e">
        <f t="shared" si="75"/>
        <v>#NUM!</v>
      </c>
      <c r="E473" s="142" t="e">
        <f t="shared" si="76"/>
        <v>#NUM!</v>
      </c>
      <c r="F473" s="142" t="e">
        <f t="shared" si="71"/>
        <v>#NUM!</v>
      </c>
      <c r="G473" s="184">
        <f>IF('prijem -inna mena'!$I$90=TRUE,IF($C$11&gt;0,0.00025*C472,0),IF('prijem -inna mena'!$I$91=TRUE,IF('prijem -inna mena'!$F$91&gt;0,0.00025*C472,0),0))</f>
        <v>0</v>
      </c>
      <c r="L473" s="89">
        <v>457</v>
      </c>
      <c r="M473" s="237" t="e">
        <f t="shared" si="77"/>
        <v>#DIV/0!</v>
      </c>
      <c r="N473" s="142" t="e">
        <f t="shared" si="72"/>
        <v>#DIV/0!</v>
      </c>
      <c r="O473" s="142" t="e">
        <f t="shared" si="73"/>
        <v>#DIV/0!</v>
      </c>
      <c r="P473" s="142" t="e">
        <f t="shared" si="78"/>
        <v>#DIV/0!</v>
      </c>
      <c r="Q473" s="142" t="e">
        <f t="shared" si="79"/>
        <v>#DIV/0!</v>
      </c>
      <c r="R473" s="184">
        <f>IF('prijem -inna mena'!$I$90=TRUE,IF($C$11&gt;0,0.00025*N472,0),IF('prijem -inna mena'!$I$91=TRUE,IF('prijem -inna mena'!$F$91&gt;0,0.00025*N472*-1,0),0))</f>
        <v>0</v>
      </c>
    </row>
    <row r="474" spans="1:18" x14ac:dyDescent="0.2">
      <c r="A474" s="89">
        <v>458</v>
      </c>
      <c r="B474" s="237" t="e">
        <f t="shared" si="74"/>
        <v>#NUM!</v>
      </c>
      <c r="C474" s="142" t="e">
        <f t="shared" si="70"/>
        <v>#NUM!</v>
      </c>
      <c r="D474" s="142" t="e">
        <f t="shared" si="75"/>
        <v>#NUM!</v>
      </c>
      <c r="E474" s="142" t="e">
        <f t="shared" si="76"/>
        <v>#NUM!</v>
      </c>
      <c r="F474" s="142" t="e">
        <f t="shared" si="71"/>
        <v>#NUM!</v>
      </c>
      <c r="G474" s="184">
        <f>IF('prijem -inna mena'!$I$90=TRUE,IF($C$11&gt;0,0.00025*C473,0),IF('prijem -inna mena'!$I$91=TRUE,IF('prijem -inna mena'!$F$91&gt;0,0.00025*C473,0),0))</f>
        <v>0</v>
      </c>
      <c r="L474" s="89">
        <v>458</v>
      </c>
      <c r="M474" s="237" t="e">
        <f t="shared" si="77"/>
        <v>#DIV/0!</v>
      </c>
      <c r="N474" s="142" t="e">
        <f t="shared" si="72"/>
        <v>#DIV/0!</v>
      </c>
      <c r="O474" s="142" t="e">
        <f t="shared" si="73"/>
        <v>#DIV/0!</v>
      </c>
      <c r="P474" s="142" t="e">
        <f t="shared" si="78"/>
        <v>#DIV/0!</v>
      </c>
      <c r="Q474" s="142" t="e">
        <f t="shared" si="79"/>
        <v>#DIV/0!</v>
      </c>
      <c r="R474" s="184">
        <f>IF('prijem -inna mena'!$I$90=TRUE,IF($C$11&gt;0,0.00025*N473,0),IF('prijem -inna mena'!$I$91=TRUE,IF('prijem -inna mena'!$F$91&gt;0,0.00025*N473*-1,0),0))</f>
        <v>0</v>
      </c>
    </row>
    <row r="475" spans="1:18" x14ac:dyDescent="0.2">
      <c r="A475" s="89">
        <v>459</v>
      </c>
      <c r="B475" s="237" t="e">
        <f t="shared" si="74"/>
        <v>#NUM!</v>
      </c>
      <c r="C475" s="142" t="e">
        <f t="shared" si="70"/>
        <v>#NUM!</v>
      </c>
      <c r="D475" s="142" t="e">
        <f t="shared" si="75"/>
        <v>#NUM!</v>
      </c>
      <c r="E475" s="142" t="e">
        <f t="shared" si="76"/>
        <v>#NUM!</v>
      </c>
      <c r="F475" s="142" t="e">
        <f t="shared" si="71"/>
        <v>#NUM!</v>
      </c>
      <c r="G475" s="184">
        <f>IF('prijem -inna mena'!$I$90=TRUE,IF($C$11&gt;0,0.00025*C474,0),IF('prijem -inna mena'!$I$91=TRUE,IF('prijem -inna mena'!$F$91&gt;0,0.00025*C474,0),0))</f>
        <v>0</v>
      </c>
      <c r="L475" s="89">
        <v>459</v>
      </c>
      <c r="M475" s="237" t="e">
        <f t="shared" si="77"/>
        <v>#DIV/0!</v>
      </c>
      <c r="N475" s="142" t="e">
        <f t="shared" si="72"/>
        <v>#DIV/0!</v>
      </c>
      <c r="O475" s="142" t="e">
        <f t="shared" si="73"/>
        <v>#DIV/0!</v>
      </c>
      <c r="P475" s="142" t="e">
        <f t="shared" si="78"/>
        <v>#DIV/0!</v>
      </c>
      <c r="Q475" s="142" t="e">
        <f t="shared" si="79"/>
        <v>#DIV/0!</v>
      </c>
      <c r="R475" s="184">
        <f>IF('prijem -inna mena'!$I$90=TRUE,IF($C$11&gt;0,0.00025*N474,0),IF('prijem -inna mena'!$I$91=TRUE,IF('prijem -inna mena'!$F$91&gt;0,0.00025*N474*-1,0),0))</f>
        <v>0</v>
      </c>
    </row>
    <row r="476" spans="1:18" x14ac:dyDescent="0.2">
      <c r="A476" s="89">
        <v>460</v>
      </c>
      <c r="B476" s="237" t="e">
        <f t="shared" si="74"/>
        <v>#NUM!</v>
      </c>
      <c r="C476" s="142" t="e">
        <f t="shared" si="70"/>
        <v>#NUM!</v>
      </c>
      <c r="D476" s="142" t="e">
        <f t="shared" si="75"/>
        <v>#NUM!</v>
      </c>
      <c r="E476" s="142" t="e">
        <f t="shared" si="76"/>
        <v>#NUM!</v>
      </c>
      <c r="F476" s="142" t="e">
        <f t="shared" si="71"/>
        <v>#NUM!</v>
      </c>
      <c r="G476" s="184">
        <f>IF('prijem -inna mena'!$I$90=TRUE,IF($C$11&gt;0,0.00025*C475,0),IF('prijem -inna mena'!$I$91=TRUE,IF('prijem -inna mena'!$F$91&gt;0,0.00025*C475,0),0))</f>
        <v>0</v>
      </c>
      <c r="L476" s="89">
        <v>460</v>
      </c>
      <c r="M476" s="237" t="e">
        <f t="shared" si="77"/>
        <v>#DIV/0!</v>
      </c>
      <c r="N476" s="142" t="e">
        <f t="shared" si="72"/>
        <v>#DIV/0!</v>
      </c>
      <c r="O476" s="142" t="e">
        <f t="shared" si="73"/>
        <v>#DIV/0!</v>
      </c>
      <c r="P476" s="142" t="e">
        <f t="shared" si="78"/>
        <v>#DIV/0!</v>
      </c>
      <c r="Q476" s="142" t="e">
        <f t="shared" si="79"/>
        <v>#DIV/0!</v>
      </c>
      <c r="R476" s="184">
        <f>IF('prijem -inna mena'!$I$90=TRUE,IF($C$11&gt;0,0.00025*N475,0),IF('prijem -inna mena'!$I$91=TRUE,IF('prijem -inna mena'!$F$91&gt;0,0.00025*N475*-1,0),0))</f>
        <v>0</v>
      </c>
    </row>
    <row r="477" spans="1:18" x14ac:dyDescent="0.2">
      <c r="A477" s="89">
        <v>461</v>
      </c>
      <c r="B477" s="237" t="e">
        <f t="shared" si="74"/>
        <v>#NUM!</v>
      </c>
      <c r="C477" s="142" t="e">
        <f t="shared" si="70"/>
        <v>#NUM!</v>
      </c>
      <c r="D477" s="142" t="e">
        <f t="shared" si="75"/>
        <v>#NUM!</v>
      </c>
      <c r="E477" s="142" t="e">
        <f t="shared" si="76"/>
        <v>#NUM!</v>
      </c>
      <c r="F477" s="142" t="e">
        <f t="shared" si="71"/>
        <v>#NUM!</v>
      </c>
      <c r="G477" s="184">
        <f>IF('prijem -inna mena'!$I$90=TRUE,IF($C$11&gt;0,0.00025*C476,0),IF('prijem -inna mena'!$I$91=TRUE,IF('prijem -inna mena'!$F$91&gt;0,0.00025*C476,0),0))</f>
        <v>0</v>
      </c>
      <c r="L477" s="89">
        <v>461</v>
      </c>
      <c r="M477" s="237" t="e">
        <f t="shared" si="77"/>
        <v>#DIV/0!</v>
      </c>
      <c r="N477" s="142" t="e">
        <f t="shared" si="72"/>
        <v>#DIV/0!</v>
      </c>
      <c r="O477" s="142" t="e">
        <f t="shared" si="73"/>
        <v>#DIV/0!</v>
      </c>
      <c r="P477" s="142" t="e">
        <f t="shared" si="78"/>
        <v>#DIV/0!</v>
      </c>
      <c r="Q477" s="142" t="e">
        <f t="shared" si="79"/>
        <v>#DIV/0!</v>
      </c>
      <c r="R477" s="184">
        <f>IF('prijem -inna mena'!$I$90=TRUE,IF($C$11&gt;0,0.00025*N476,0),IF('prijem -inna mena'!$I$91=TRUE,IF('prijem -inna mena'!$F$91&gt;0,0.00025*N476*-1,0),0))</f>
        <v>0</v>
      </c>
    </row>
    <row r="478" spans="1:18" x14ac:dyDescent="0.2">
      <c r="A478" s="89">
        <v>462</v>
      </c>
      <c r="B478" s="237" t="e">
        <f t="shared" si="74"/>
        <v>#NUM!</v>
      </c>
      <c r="C478" s="142" t="e">
        <f t="shared" si="70"/>
        <v>#NUM!</v>
      </c>
      <c r="D478" s="142" t="e">
        <f t="shared" si="75"/>
        <v>#NUM!</v>
      </c>
      <c r="E478" s="142" t="e">
        <f t="shared" si="76"/>
        <v>#NUM!</v>
      </c>
      <c r="F478" s="142" t="e">
        <f t="shared" si="71"/>
        <v>#NUM!</v>
      </c>
      <c r="G478" s="184">
        <f>IF('prijem -inna mena'!$I$90=TRUE,IF($C$11&gt;0,0.00025*C477,0),IF('prijem -inna mena'!$I$91=TRUE,IF('prijem -inna mena'!$F$91&gt;0,0.00025*C477,0),0))</f>
        <v>0</v>
      </c>
      <c r="L478" s="89">
        <v>462</v>
      </c>
      <c r="M478" s="237" t="e">
        <f t="shared" si="77"/>
        <v>#DIV/0!</v>
      </c>
      <c r="N478" s="142" t="e">
        <f t="shared" si="72"/>
        <v>#DIV/0!</v>
      </c>
      <c r="O478" s="142" t="e">
        <f t="shared" si="73"/>
        <v>#DIV/0!</v>
      </c>
      <c r="P478" s="142" t="e">
        <f t="shared" si="78"/>
        <v>#DIV/0!</v>
      </c>
      <c r="Q478" s="142" t="e">
        <f t="shared" si="79"/>
        <v>#DIV/0!</v>
      </c>
      <c r="R478" s="184">
        <f>IF('prijem -inna mena'!$I$90=TRUE,IF($C$11&gt;0,0.00025*N477,0),IF('prijem -inna mena'!$I$91=TRUE,IF('prijem -inna mena'!$F$91&gt;0,0.00025*N477*-1,0),0))</f>
        <v>0</v>
      </c>
    </row>
    <row r="479" spans="1:18" x14ac:dyDescent="0.2">
      <c r="A479" s="89">
        <v>463</v>
      </c>
      <c r="B479" s="237" t="e">
        <f t="shared" si="74"/>
        <v>#NUM!</v>
      </c>
      <c r="C479" s="142" t="e">
        <f t="shared" si="70"/>
        <v>#NUM!</v>
      </c>
      <c r="D479" s="142" t="e">
        <f t="shared" si="75"/>
        <v>#NUM!</v>
      </c>
      <c r="E479" s="142" t="e">
        <f t="shared" si="76"/>
        <v>#NUM!</v>
      </c>
      <c r="F479" s="142" t="e">
        <f t="shared" si="71"/>
        <v>#NUM!</v>
      </c>
      <c r="G479" s="184">
        <f>IF('prijem -inna mena'!$I$90=TRUE,IF($C$11&gt;0,0.00025*C478,0),IF('prijem -inna mena'!$I$91=TRUE,IF('prijem -inna mena'!$F$91&gt;0,0.00025*C478,0),0))</f>
        <v>0</v>
      </c>
      <c r="L479" s="89">
        <v>463</v>
      </c>
      <c r="M479" s="237" t="e">
        <f t="shared" si="77"/>
        <v>#DIV/0!</v>
      </c>
      <c r="N479" s="142" t="e">
        <f t="shared" si="72"/>
        <v>#DIV/0!</v>
      </c>
      <c r="O479" s="142" t="e">
        <f t="shared" si="73"/>
        <v>#DIV/0!</v>
      </c>
      <c r="P479" s="142" t="e">
        <f t="shared" si="78"/>
        <v>#DIV/0!</v>
      </c>
      <c r="Q479" s="142" t="e">
        <f t="shared" si="79"/>
        <v>#DIV/0!</v>
      </c>
      <c r="R479" s="184">
        <f>IF('prijem -inna mena'!$I$90=TRUE,IF($C$11&gt;0,0.00025*N478,0),IF('prijem -inna mena'!$I$91=TRUE,IF('prijem -inna mena'!$F$91&gt;0,0.00025*N478*-1,0),0))</f>
        <v>0</v>
      </c>
    </row>
    <row r="480" spans="1:18" x14ac:dyDescent="0.2">
      <c r="A480" s="89">
        <v>464</v>
      </c>
      <c r="B480" s="237" t="e">
        <f t="shared" si="74"/>
        <v>#NUM!</v>
      </c>
      <c r="C480" s="142" t="e">
        <f t="shared" si="70"/>
        <v>#NUM!</v>
      </c>
      <c r="D480" s="142" t="e">
        <f t="shared" si="75"/>
        <v>#NUM!</v>
      </c>
      <c r="E480" s="142" t="e">
        <f t="shared" si="76"/>
        <v>#NUM!</v>
      </c>
      <c r="F480" s="142" t="e">
        <f t="shared" si="71"/>
        <v>#NUM!</v>
      </c>
      <c r="G480" s="184">
        <f>IF('prijem -inna mena'!$I$90=TRUE,IF($C$11&gt;0,0.00025*C479,0),IF('prijem -inna mena'!$I$91=TRUE,IF('prijem -inna mena'!$F$91&gt;0,0.00025*C479,0),0))</f>
        <v>0</v>
      </c>
      <c r="L480" s="89">
        <v>464</v>
      </c>
      <c r="M480" s="237" t="e">
        <f t="shared" si="77"/>
        <v>#DIV/0!</v>
      </c>
      <c r="N480" s="142" t="e">
        <f t="shared" si="72"/>
        <v>#DIV/0!</v>
      </c>
      <c r="O480" s="142" t="e">
        <f t="shared" si="73"/>
        <v>#DIV/0!</v>
      </c>
      <c r="P480" s="142" t="e">
        <f t="shared" si="78"/>
        <v>#DIV/0!</v>
      </c>
      <c r="Q480" s="142" t="e">
        <f t="shared" si="79"/>
        <v>#DIV/0!</v>
      </c>
      <c r="R480" s="184">
        <f>IF('prijem -inna mena'!$I$90=TRUE,IF($C$11&gt;0,0.00025*N479,0),IF('prijem -inna mena'!$I$91=TRUE,IF('prijem -inna mena'!$F$91&gt;0,0.00025*N479*-1,0),0))</f>
        <v>0</v>
      </c>
    </row>
    <row r="481" spans="1:18" x14ac:dyDescent="0.2">
      <c r="A481" s="89">
        <v>465</v>
      </c>
      <c r="B481" s="237" t="e">
        <f t="shared" si="74"/>
        <v>#NUM!</v>
      </c>
      <c r="C481" s="142" t="e">
        <f t="shared" si="70"/>
        <v>#NUM!</v>
      </c>
      <c r="D481" s="142" t="e">
        <f t="shared" si="75"/>
        <v>#NUM!</v>
      </c>
      <c r="E481" s="142" t="e">
        <f t="shared" si="76"/>
        <v>#NUM!</v>
      </c>
      <c r="F481" s="142" t="e">
        <f t="shared" si="71"/>
        <v>#NUM!</v>
      </c>
      <c r="G481" s="184">
        <f>IF('prijem -inna mena'!$I$90=TRUE,IF($C$11&gt;0,0.00025*C480,0),IF('prijem -inna mena'!$I$91=TRUE,IF('prijem -inna mena'!$F$91&gt;0,0.00025*C480,0),0))</f>
        <v>0</v>
      </c>
      <c r="L481" s="89">
        <v>465</v>
      </c>
      <c r="M481" s="237" t="e">
        <f t="shared" si="77"/>
        <v>#DIV/0!</v>
      </c>
      <c r="N481" s="142" t="e">
        <f t="shared" si="72"/>
        <v>#DIV/0!</v>
      </c>
      <c r="O481" s="142" t="e">
        <f t="shared" si="73"/>
        <v>#DIV/0!</v>
      </c>
      <c r="P481" s="142" t="e">
        <f t="shared" si="78"/>
        <v>#DIV/0!</v>
      </c>
      <c r="Q481" s="142" t="e">
        <f t="shared" si="79"/>
        <v>#DIV/0!</v>
      </c>
      <c r="R481" s="184">
        <f>IF('prijem -inna mena'!$I$90=TRUE,IF($C$11&gt;0,0.00025*N480,0),IF('prijem -inna mena'!$I$91=TRUE,IF('prijem -inna mena'!$F$91&gt;0,0.00025*N480*-1,0),0))</f>
        <v>0</v>
      </c>
    </row>
    <row r="482" spans="1:18" x14ac:dyDescent="0.2">
      <c r="A482" s="89">
        <v>466</v>
      </c>
      <c r="B482" s="237" t="e">
        <f t="shared" si="74"/>
        <v>#NUM!</v>
      </c>
      <c r="C482" s="142" t="e">
        <f t="shared" si="70"/>
        <v>#NUM!</v>
      </c>
      <c r="D482" s="142" t="e">
        <f t="shared" si="75"/>
        <v>#NUM!</v>
      </c>
      <c r="E482" s="142" t="e">
        <f t="shared" si="76"/>
        <v>#NUM!</v>
      </c>
      <c r="F482" s="142" t="e">
        <f t="shared" si="71"/>
        <v>#NUM!</v>
      </c>
      <c r="G482" s="184">
        <f>IF('prijem -inna mena'!$I$90=TRUE,IF($C$11&gt;0,0.00025*C481,0),IF('prijem -inna mena'!$I$91=TRUE,IF('prijem -inna mena'!$F$91&gt;0,0.00025*C481,0),0))</f>
        <v>0</v>
      </c>
      <c r="L482" s="89">
        <v>466</v>
      </c>
      <c r="M482" s="237" t="e">
        <f t="shared" si="77"/>
        <v>#DIV/0!</v>
      </c>
      <c r="N482" s="142" t="e">
        <f t="shared" si="72"/>
        <v>#DIV/0!</v>
      </c>
      <c r="O482" s="142" t="e">
        <f t="shared" si="73"/>
        <v>#DIV/0!</v>
      </c>
      <c r="P482" s="142" t="e">
        <f t="shared" si="78"/>
        <v>#DIV/0!</v>
      </c>
      <c r="Q482" s="142" t="e">
        <f t="shared" si="79"/>
        <v>#DIV/0!</v>
      </c>
      <c r="R482" s="184">
        <f>IF('prijem -inna mena'!$I$90=TRUE,IF($C$11&gt;0,0.00025*N481,0),IF('prijem -inna mena'!$I$91=TRUE,IF('prijem -inna mena'!$F$91&gt;0,0.00025*N481*-1,0),0))</f>
        <v>0</v>
      </c>
    </row>
    <row r="483" spans="1:18" x14ac:dyDescent="0.2">
      <c r="A483" s="89">
        <v>467</v>
      </c>
      <c r="B483" s="237" t="e">
        <f t="shared" si="74"/>
        <v>#NUM!</v>
      </c>
      <c r="C483" s="142" t="e">
        <f t="shared" si="70"/>
        <v>#NUM!</v>
      </c>
      <c r="D483" s="142" t="e">
        <f t="shared" si="75"/>
        <v>#NUM!</v>
      </c>
      <c r="E483" s="142" t="e">
        <f t="shared" si="76"/>
        <v>#NUM!</v>
      </c>
      <c r="F483" s="142" t="e">
        <f t="shared" si="71"/>
        <v>#NUM!</v>
      </c>
      <c r="G483" s="184">
        <f>IF('prijem -inna mena'!$I$90=TRUE,IF($C$11&gt;0,0.00025*C482,0),IF('prijem -inna mena'!$I$91=TRUE,IF('prijem -inna mena'!$F$91&gt;0,0.00025*C482,0),0))</f>
        <v>0</v>
      </c>
      <c r="L483" s="89">
        <v>467</v>
      </c>
      <c r="M483" s="237" t="e">
        <f t="shared" si="77"/>
        <v>#DIV/0!</v>
      </c>
      <c r="N483" s="142" t="e">
        <f t="shared" si="72"/>
        <v>#DIV/0!</v>
      </c>
      <c r="O483" s="142" t="e">
        <f t="shared" si="73"/>
        <v>#DIV/0!</v>
      </c>
      <c r="P483" s="142" t="e">
        <f t="shared" si="78"/>
        <v>#DIV/0!</v>
      </c>
      <c r="Q483" s="142" t="e">
        <f t="shared" si="79"/>
        <v>#DIV/0!</v>
      </c>
      <c r="R483" s="184">
        <f>IF('prijem -inna mena'!$I$90=TRUE,IF($C$11&gt;0,0.00025*N482,0),IF('prijem -inna mena'!$I$91=TRUE,IF('prijem -inna mena'!$F$91&gt;0,0.00025*N482*-1,0),0))</f>
        <v>0</v>
      </c>
    </row>
    <row r="484" spans="1:18" x14ac:dyDescent="0.2">
      <c r="A484" s="89">
        <v>468</v>
      </c>
      <c r="B484" s="237" t="e">
        <f t="shared" si="74"/>
        <v>#NUM!</v>
      </c>
      <c r="C484" s="142" t="e">
        <f t="shared" si="70"/>
        <v>#NUM!</v>
      </c>
      <c r="D484" s="142" t="e">
        <f t="shared" si="75"/>
        <v>#NUM!</v>
      </c>
      <c r="E484" s="142" t="e">
        <f t="shared" si="76"/>
        <v>#NUM!</v>
      </c>
      <c r="F484" s="142" t="e">
        <f t="shared" si="71"/>
        <v>#NUM!</v>
      </c>
      <c r="G484" s="184">
        <f>IF('prijem -inna mena'!$I$90=TRUE,IF($C$11&gt;0,0.00025*C483,0),IF('prijem -inna mena'!$I$91=TRUE,IF('prijem -inna mena'!$F$91&gt;0,0.00025*C483,0),0))</f>
        <v>0</v>
      </c>
      <c r="L484" s="89">
        <v>468</v>
      </c>
      <c r="M484" s="237" t="e">
        <f t="shared" si="77"/>
        <v>#DIV/0!</v>
      </c>
      <c r="N484" s="142" t="e">
        <f t="shared" si="72"/>
        <v>#DIV/0!</v>
      </c>
      <c r="O484" s="142" t="e">
        <f t="shared" si="73"/>
        <v>#DIV/0!</v>
      </c>
      <c r="P484" s="142" t="e">
        <f t="shared" si="78"/>
        <v>#DIV/0!</v>
      </c>
      <c r="Q484" s="142" t="e">
        <f t="shared" si="79"/>
        <v>#DIV/0!</v>
      </c>
      <c r="R484" s="184">
        <f>IF('prijem -inna mena'!$I$90=TRUE,IF($C$11&gt;0,0.00025*N483,0),IF('prijem -inna mena'!$I$91=TRUE,IF('prijem -inna mena'!$F$91&gt;0,0.00025*N483*-1,0),0))</f>
        <v>0</v>
      </c>
    </row>
    <row r="485" spans="1:18" x14ac:dyDescent="0.2">
      <c r="A485" s="89">
        <v>469</v>
      </c>
      <c r="B485" s="237" t="e">
        <f t="shared" si="74"/>
        <v>#NUM!</v>
      </c>
      <c r="C485" s="142" t="e">
        <f t="shared" si="70"/>
        <v>#NUM!</v>
      </c>
      <c r="D485" s="142" t="e">
        <f t="shared" si="75"/>
        <v>#NUM!</v>
      </c>
      <c r="E485" s="142" t="e">
        <f t="shared" si="76"/>
        <v>#NUM!</v>
      </c>
      <c r="F485" s="142" t="e">
        <f t="shared" si="71"/>
        <v>#NUM!</v>
      </c>
      <c r="G485" s="184">
        <f>IF('prijem -inna mena'!$I$90=TRUE,IF($C$11&gt;0,0.00025*C484,0),IF('prijem -inna mena'!$I$91=TRUE,IF('prijem -inna mena'!$F$91&gt;0,0.00025*C484,0),0))</f>
        <v>0</v>
      </c>
      <c r="L485" s="89">
        <v>469</v>
      </c>
      <c r="M485" s="237" t="e">
        <f t="shared" si="77"/>
        <v>#DIV/0!</v>
      </c>
      <c r="N485" s="142" t="e">
        <f t="shared" si="72"/>
        <v>#DIV/0!</v>
      </c>
      <c r="O485" s="142" t="e">
        <f t="shared" si="73"/>
        <v>#DIV/0!</v>
      </c>
      <c r="P485" s="142" t="e">
        <f t="shared" si="78"/>
        <v>#DIV/0!</v>
      </c>
      <c r="Q485" s="142" t="e">
        <f t="shared" si="79"/>
        <v>#DIV/0!</v>
      </c>
      <c r="R485" s="184">
        <f>IF('prijem -inna mena'!$I$90=TRUE,IF($C$11&gt;0,0.00025*N484,0),IF('prijem -inna mena'!$I$91=TRUE,IF('prijem -inna mena'!$F$91&gt;0,0.00025*N484*-1,0),0))</f>
        <v>0</v>
      </c>
    </row>
    <row r="486" spans="1:18" x14ac:dyDescent="0.2">
      <c r="A486" s="89">
        <v>470</v>
      </c>
      <c r="B486" s="237" t="e">
        <f t="shared" si="74"/>
        <v>#NUM!</v>
      </c>
      <c r="C486" s="142" t="e">
        <f t="shared" si="70"/>
        <v>#NUM!</v>
      </c>
      <c r="D486" s="142" t="e">
        <f t="shared" si="75"/>
        <v>#NUM!</v>
      </c>
      <c r="E486" s="142" t="e">
        <f t="shared" si="76"/>
        <v>#NUM!</v>
      </c>
      <c r="F486" s="142" t="e">
        <f t="shared" si="71"/>
        <v>#NUM!</v>
      </c>
      <c r="G486" s="184">
        <f>IF('prijem -inna mena'!$I$90=TRUE,IF($C$11&gt;0,0.00025*C485,0),IF('prijem -inna mena'!$I$91=TRUE,IF('prijem -inna mena'!$F$91&gt;0,0.00025*C485,0),0))</f>
        <v>0</v>
      </c>
      <c r="L486" s="89">
        <v>470</v>
      </c>
      <c r="M486" s="237" t="e">
        <f t="shared" si="77"/>
        <v>#DIV/0!</v>
      </c>
      <c r="N486" s="142" t="e">
        <f t="shared" si="72"/>
        <v>#DIV/0!</v>
      </c>
      <c r="O486" s="142" t="e">
        <f t="shared" si="73"/>
        <v>#DIV/0!</v>
      </c>
      <c r="P486" s="142" t="e">
        <f t="shared" si="78"/>
        <v>#DIV/0!</v>
      </c>
      <c r="Q486" s="142" t="e">
        <f t="shared" si="79"/>
        <v>#DIV/0!</v>
      </c>
      <c r="R486" s="184">
        <f>IF('prijem -inna mena'!$I$90=TRUE,IF($C$11&gt;0,0.00025*N485,0),IF('prijem -inna mena'!$I$91=TRUE,IF('prijem -inna mena'!$F$91&gt;0,0.00025*N485*-1,0),0))</f>
        <v>0</v>
      </c>
    </row>
    <row r="487" spans="1:18" x14ac:dyDescent="0.2">
      <c r="A487" s="89">
        <v>471</v>
      </c>
      <c r="B487" s="237" t="e">
        <f t="shared" si="74"/>
        <v>#NUM!</v>
      </c>
      <c r="C487" s="142" t="e">
        <f t="shared" si="70"/>
        <v>#NUM!</v>
      </c>
      <c r="D487" s="142" t="e">
        <f t="shared" si="75"/>
        <v>#NUM!</v>
      </c>
      <c r="E487" s="142" t="e">
        <f t="shared" si="76"/>
        <v>#NUM!</v>
      </c>
      <c r="F487" s="142" t="e">
        <f t="shared" si="71"/>
        <v>#NUM!</v>
      </c>
      <c r="G487" s="184">
        <f>IF('prijem -inna mena'!$I$90=TRUE,IF($C$11&gt;0,0.00025*C486,0),IF('prijem -inna mena'!$I$91=TRUE,IF('prijem -inna mena'!$F$91&gt;0,0.00025*C486,0),0))</f>
        <v>0</v>
      </c>
      <c r="L487" s="89">
        <v>471</v>
      </c>
      <c r="M487" s="237" t="e">
        <f t="shared" si="77"/>
        <v>#DIV/0!</v>
      </c>
      <c r="N487" s="142" t="e">
        <f t="shared" si="72"/>
        <v>#DIV/0!</v>
      </c>
      <c r="O487" s="142" t="e">
        <f t="shared" si="73"/>
        <v>#DIV/0!</v>
      </c>
      <c r="P487" s="142" t="e">
        <f t="shared" si="78"/>
        <v>#DIV/0!</v>
      </c>
      <c r="Q487" s="142" t="e">
        <f t="shared" si="79"/>
        <v>#DIV/0!</v>
      </c>
      <c r="R487" s="184">
        <f>IF('prijem -inna mena'!$I$90=TRUE,IF($C$11&gt;0,0.00025*N486,0),IF('prijem -inna mena'!$I$91=TRUE,IF('prijem -inna mena'!$F$91&gt;0,0.00025*N486*-1,0),0))</f>
        <v>0</v>
      </c>
    </row>
    <row r="488" spans="1:18" x14ac:dyDescent="0.2">
      <c r="A488" s="89">
        <v>472</v>
      </c>
      <c r="B488" s="237" t="e">
        <f t="shared" si="74"/>
        <v>#NUM!</v>
      </c>
      <c r="C488" s="142" t="e">
        <f t="shared" si="70"/>
        <v>#NUM!</v>
      </c>
      <c r="D488" s="142" t="e">
        <f t="shared" si="75"/>
        <v>#NUM!</v>
      </c>
      <c r="E488" s="142" t="e">
        <f t="shared" si="76"/>
        <v>#NUM!</v>
      </c>
      <c r="F488" s="142" t="e">
        <f t="shared" si="71"/>
        <v>#NUM!</v>
      </c>
      <c r="G488" s="184">
        <f>IF('prijem -inna mena'!$I$90=TRUE,IF($C$11&gt;0,0.00025*C487,0),IF('prijem -inna mena'!$I$91=TRUE,IF('prijem -inna mena'!$F$91&gt;0,0.00025*C487,0),0))</f>
        <v>0</v>
      </c>
      <c r="L488" s="89">
        <v>472</v>
      </c>
      <c r="M488" s="237" t="e">
        <f t="shared" si="77"/>
        <v>#DIV/0!</v>
      </c>
      <c r="N488" s="142" t="e">
        <f t="shared" si="72"/>
        <v>#DIV/0!</v>
      </c>
      <c r="O488" s="142" t="e">
        <f t="shared" si="73"/>
        <v>#DIV/0!</v>
      </c>
      <c r="P488" s="142" t="e">
        <f t="shared" si="78"/>
        <v>#DIV/0!</v>
      </c>
      <c r="Q488" s="142" t="e">
        <f t="shared" si="79"/>
        <v>#DIV/0!</v>
      </c>
      <c r="R488" s="184">
        <f>IF('prijem -inna mena'!$I$90=TRUE,IF($C$11&gt;0,0.00025*N487,0),IF('prijem -inna mena'!$I$91=TRUE,IF('prijem -inna mena'!$F$91&gt;0,0.00025*N487*-1,0),0))</f>
        <v>0</v>
      </c>
    </row>
    <row r="489" spans="1:18" x14ac:dyDescent="0.2">
      <c r="A489" s="89">
        <v>473</v>
      </c>
      <c r="B489" s="237" t="e">
        <f t="shared" si="74"/>
        <v>#NUM!</v>
      </c>
      <c r="C489" s="142" t="e">
        <f t="shared" si="70"/>
        <v>#NUM!</v>
      </c>
      <c r="D489" s="142" t="e">
        <f t="shared" si="75"/>
        <v>#NUM!</v>
      </c>
      <c r="E489" s="142" t="e">
        <f t="shared" si="76"/>
        <v>#NUM!</v>
      </c>
      <c r="F489" s="142" t="e">
        <f t="shared" si="71"/>
        <v>#NUM!</v>
      </c>
      <c r="G489" s="184">
        <f>IF('prijem -inna mena'!$I$90=TRUE,IF($C$11&gt;0,0.00025*C488,0),IF('prijem -inna mena'!$I$91=TRUE,IF('prijem -inna mena'!$F$91&gt;0,0.00025*C488,0),0))</f>
        <v>0</v>
      </c>
      <c r="L489" s="89">
        <v>473</v>
      </c>
      <c r="M489" s="237" t="e">
        <f t="shared" si="77"/>
        <v>#DIV/0!</v>
      </c>
      <c r="N489" s="142" t="e">
        <f t="shared" si="72"/>
        <v>#DIV/0!</v>
      </c>
      <c r="O489" s="142" t="e">
        <f t="shared" si="73"/>
        <v>#DIV/0!</v>
      </c>
      <c r="P489" s="142" t="e">
        <f t="shared" si="78"/>
        <v>#DIV/0!</v>
      </c>
      <c r="Q489" s="142" t="e">
        <f t="shared" si="79"/>
        <v>#DIV/0!</v>
      </c>
      <c r="R489" s="184">
        <f>IF('prijem -inna mena'!$I$90=TRUE,IF($C$11&gt;0,0.00025*N488,0),IF('prijem -inna mena'!$I$91=TRUE,IF('prijem -inna mena'!$F$91&gt;0,0.00025*N488*-1,0),0))</f>
        <v>0</v>
      </c>
    </row>
    <row r="490" spans="1:18" x14ac:dyDescent="0.2">
      <c r="A490" s="89">
        <v>474</v>
      </c>
      <c r="B490" s="237" t="e">
        <f t="shared" si="74"/>
        <v>#NUM!</v>
      </c>
      <c r="C490" s="142" t="e">
        <f t="shared" si="70"/>
        <v>#NUM!</v>
      </c>
      <c r="D490" s="142" t="e">
        <f t="shared" si="75"/>
        <v>#NUM!</v>
      </c>
      <c r="E490" s="142" t="e">
        <f t="shared" si="76"/>
        <v>#NUM!</v>
      </c>
      <c r="F490" s="142" t="e">
        <f t="shared" si="71"/>
        <v>#NUM!</v>
      </c>
      <c r="G490" s="184">
        <f>IF('prijem -inna mena'!$I$90=TRUE,IF($C$11&gt;0,0.00025*C489,0),IF('prijem -inna mena'!$I$91=TRUE,IF('prijem -inna mena'!$F$91&gt;0,0.00025*C489,0),0))</f>
        <v>0</v>
      </c>
      <c r="L490" s="89">
        <v>474</v>
      </c>
      <c r="M490" s="237" t="e">
        <f t="shared" si="77"/>
        <v>#DIV/0!</v>
      </c>
      <c r="N490" s="142" t="e">
        <f t="shared" si="72"/>
        <v>#DIV/0!</v>
      </c>
      <c r="O490" s="142" t="e">
        <f t="shared" si="73"/>
        <v>#DIV/0!</v>
      </c>
      <c r="P490" s="142" t="e">
        <f t="shared" si="78"/>
        <v>#DIV/0!</v>
      </c>
      <c r="Q490" s="142" t="e">
        <f t="shared" si="79"/>
        <v>#DIV/0!</v>
      </c>
      <c r="R490" s="184">
        <f>IF('prijem -inna mena'!$I$90=TRUE,IF($C$11&gt;0,0.00025*N489,0),IF('prijem -inna mena'!$I$91=TRUE,IF('prijem -inna mena'!$F$91&gt;0,0.00025*N489*-1,0),0))</f>
        <v>0</v>
      </c>
    </row>
    <row r="491" spans="1:18" x14ac:dyDescent="0.2">
      <c r="A491" s="89">
        <v>475</v>
      </c>
      <c r="B491" s="237" t="e">
        <f t="shared" si="74"/>
        <v>#NUM!</v>
      </c>
      <c r="C491" s="142" t="e">
        <f t="shared" si="70"/>
        <v>#NUM!</v>
      </c>
      <c r="D491" s="142" t="e">
        <f t="shared" si="75"/>
        <v>#NUM!</v>
      </c>
      <c r="E491" s="142" t="e">
        <f t="shared" si="76"/>
        <v>#NUM!</v>
      </c>
      <c r="F491" s="142" t="e">
        <f t="shared" si="71"/>
        <v>#NUM!</v>
      </c>
      <c r="G491" s="184">
        <f>IF('prijem -inna mena'!$I$90=TRUE,IF($C$11&gt;0,0.00025*C490,0),IF('prijem -inna mena'!$I$91=TRUE,IF('prijem -inna mena'!$F$91&gt;0,0.00025*C490,0),0))</f>
        <v>0</v>
      </c>
      <c r="L491" s="89">
        <v>475</v>
      </c>
      <c r="M491" s="237" t="e">
        <f t="shared" si="77"/>
        <v>#DIV/0!</v>
      </c>
      <c r="N491" s="142" t="e">
        <f t="shared" si="72"/>
        <v>#DIV/0!</v>
      </c>
      <c r="O491" s="142" t="e">
        <f t="shared" si="73"/>
        <v>#DIV/0!</v>
      </c>
      <c r="P491" s="142" t="e">
        <f t="shared" si="78"/>
        <v>#DIV/0!</v>
      </c>
      <c r="Q491" s="142" t="e">
        <f t="shared" si="79"/>
        <v>#DIV/0!</v>
      </c>
      <c r="R491" s="184">
        <f>IF('prijem -inna mena'!$I$90=TRUE,IF($C$11&gt;0,0.00025*N490,0),IF('prijem -inna mena'!$I$91=TRUE,IF('prijem -inna mena'!$F$91&gt;0,0.00025*N490*-1,0),0))</f>
        <v>0</v>
      </c>
    </row>
    <row r="492" spans="1:18" x14ac:dyDescent="0.2">
      <c r="A492" s="89">
        <v>476</v>
      </c>
      <c r="B492" s="237" t="e">
        <f t="shared" si="74"/>
        <v>#NUM!</v>
      </c>
      <c r="C492" s="142" t="e">
        <f t="shared" si="70"/>
        <v>#NUM!</v>
      </c>
      <c r="D492" s="142" t="e">
        <f t="shared" si="75"/>
        <v>#NUM!</v>
      </c>
      <c r="E492" s="142" t="e">
        <f t="shared" si="76"/>
        <v>#NUM!</v>
      </c>
      <c r="F492" s="142" t="e">
        <f t="shared" si="71"/>
        <v>#NUM!</v>
      </c>
      <c r="G492" s="184">
        <f>IF('prijem -inna mena'!$I$90=TRUE,IF($C$11&gt;0,0.00025*C491,0),IF('prijem -inna mena'!$I$91=TRUE,IF('prijem -inna mena'!$F$91&gt;0,0.00025*C491,0),0))</f>
        <v>0</v>
      </c>
      <c r="L492" s="89">
        <v>476</v>
      </c>
      <c r="M492" s="237" t="e">
        <f t="shared" si="77"/>
        <v>#DIV/0!</v>
      </c>
      <c r="N492" s="142" t="e">
        <f t="shared" si="72"/>
        <v>#DIV/0!</v>
      </c>
      <c r="O492" s="142" t="e">
        <f t="shared" si="73"/>
        <v>#DIV/0!</v>
      </c>
      <c r="P492" s="142" t="e">
        <f t="shared" si="78"/>
        <v>#DIV/0!</v>
      </c>
      <c r="Q492" s="142" t="e">
        <f t="shared" si="79"/>
        <v>#DIV/0!</v>
      </c>
      <c r="R492" s="184">
        <f>IF('prijem -inna mena'!$I$90=TRUE,IF($C$11&gt;0,0.00025*N491,0),IF('prijem -inna mena'!$I$91=TRUE,IF('prijem -inna mena'!$F$91&gt;0,0.00025*N491*-1,0),0))</f>
        <v>0</v>
      </c>
    </row>
    <row r="493" spans="1:18" x14ac:dyDescent="0.2">
      <c r="A493" s="89">
        <v>477</v>
      </c>
      <c r="B493" s="237" t="e">
        <f t="shared" si="74"/>
        <v>#NUM!</v>
      </c>
      <c r="C493" s="142" t="e">
        <f t="shared" si="70"/>
        <v>#NUM!</v>
      </c>
      <c r="D493" s="142" t="e">
        <f t="shared" si="75"/>
        <v>#NUM!</v>
      </c>
      <c r="E493" s="142" t="e">
        <f t="shared" si="76"/>
        <v>#NUM!</v>
      </c>
      <c r="F493" s="142" t="e">
        <f t="shared" si="71"/>
        <v>#NUM!</v>
      </c>
      <c r="G493" s="184">
        <f>IF('prijem -inna mena'!$I$90=TRUE,IF($C$11&gt;0,0.00025*C492,0),IF('prijem -inna mena'!$I$91=TRUE,IF('prijem -inna mena'!$F$91&gt;0,0.00025*C492,0),0))</f>
        <v>0</v>
      </c>
      <c r="L493" s="89">
        <v>477</v>
      </c>
      <c r="M493" s="237" t="e">
        <f t="shared" si="77"/>
        <v>#DIV/0!</v>
      </c>
      <c r="N493" s="142" t="e">
        <f t="shared" si="72"/>
        <v>#DIV/0!</v>
      </c>
      <c r="O493" s="142" t="e">
        <f t="shared" si="73"/>
        <v>#DIV/0!</v>
      </c>
      <c r="P493" s="142" t="e">
        <f t="shared" si="78"/>
        <v>#DIV/0!</v>
      </c>
      <c r="Q493" s="142" t="e">
        <f t="shared" si="79"/>
        <v>#DIV/0!</v>
      </c>
      <c r="R493" s="184">
        <f>IF('prijem -inna mena'!$I$90=TRUE,IF($C$11&gt;0,0.00025*N492,0),IF('prijem -inna mena'!$I$91=TRUE,IF('prijem -inna mena'!$F$91&gt;0,0.00025*N492*-1,0),0))</f>
        <v>0</v>
      </c>
    </row>
    <row r="494" spans="1:18" x14ac:dyDescent="0.2">
      <c r="A494" s="89">
        <v>478</v>
      </c>
      <c r="B494" s="237" t="e">
        <f t="shared" si="74"/>
        <v>#NUM!</v>
      </c>
      <c r="C494" s="142" t="e">
        <f t="shared" si="70"/>
        <v>#NUM!</v>
      </c>
      <c r="D494" s="142" t="e">
        <f t="shared" si="75"/>
        <v>#NUM!</v>
      </c>
      <c r="E494" s="142" t="e">
        <f t="shared" si="76"/>
        <v>#NUM!</v>
      </c>
      <c r="F494" s="142" t="e">
        <f t="shared" si="71"/>
        <v>#NUM!</v>
      </c>
      <c r="G494" s="184">
        <f>IF('prijem -inna mena'!$I$90=TRUE,IF($C$11&gt;0,0.00025*C493,0),IF('prijem -inna mena'!$I$91=TRUE,IF('prijem -inna mena'!$F$91&gt;0,0.00025*C493,0),0))</f>
        <v>0</v>
      </c>
      <c r="L494" s="89">
        <v>478</v>
      </c>
      <c r="M494" s="237" t="e">
        <f t="shared" si="77"/>
        <v>#DIV/0!</v>
      </c>
      <c r="N494" s="142" t="e">
        <f t="shared" si="72"/>
        <v>#DIV/0!</v>
      </c>
      <c r="O494" s="142" t="e">
        <f t="shared" si="73"/>
        <v>#DIV/0!</v>
      </c>
      <c r="P494" s="142" t="e">
        <f t="shared" si="78"/>
        <v>#DIV/0!</v>
      </c>
      <c r="Q494" s="142" t="e">
        <f t="shared" si="79"/>
        <v>#DIV/0!</v>
      </c>
      <c r="R494" s="184">
        <f>IF('prijem -inna mena'!$I$90=TRUE,IF($C$11&gt;0,0.00025*N493,0),IF('prijem -inna mena'!$I$91=TRUE,IF('prijem -inna mena'!$F$91&gt;0,0.00025*N493*-1,0),0))</f>
        <v>0</v>
      </c>
    </row>
    <row r="495" spans="1:18" x14ac:dyDescent="0.2">
      <c r="A495" s="89">
        <v>479</v>
      </c>
      <c r="B495" s="237" t="e">
        <f t="shared" si="74"/>
        <v>#NUM!</v>
      </c>
      <c r="C495" s="142" t="e">
        <f t="shared" si="70"/>
        <v>#NUM!</v>
      </c>
      <c r="D495" s="142" t="e">
        <f t="shared" si="75"/>
        <v>#NUM!</v>
      </c>
      <c r="E495" s="142" t="e">
        <f t="shared" si="76"/>
        <v>#NUM!</v>
      </c>
      <c r="F495" s="142" t="e">
        <f t="shared" si="71"/>
        <v>#NUM!</v>
      </c>
      <c r="G495" s="184">
        <f>IF('prijem -inna mena'!$I$90=TRUE,IF($C$11&gt;0,0.00025*C494,0),IF('prijem -inna mena'!$I$91=TRUE,IF('prijem -inna mena'!$F$91&gt;0,0.00025*C494,0),0))</f>
        <v>0</v>
      </c>
      <c r="L495" s="89">
        <v>479</v>
      </c>
      <c r="M495" s="237" t="e">
        <f t="shared" si="77"/>
        <v>#DIV/0!</v>
      </c>
      <c r="N495" s="142" t="e">
        <f t="shared" si="72"/>
        <v>#DIV/0!</v>
      </c>
      <c r="O495" s="142" t="e">
        <f t="shared" si="73"/>
        <v>#DIV/0!</v>
      </c>
      <c r="P495" s="142" t="e">
        <f t="shared" si="78"/>
        <v>#DIV/0!</v>
      </c>
      <c r="Q495" s="142" t="e">
        <f t="shared" si="79"/>
        <v>#DIV/0!</v>
      </c>
      <c r="R495" s="184">
        <f>IF('prijem -inna mena'!$I$90=TRUE,IF($C$11&gt;0,0.00025*N494,0),IF('prijem -inna mena'!$I$91=TRUE,IF('prijem -inna mena'!$F$91&gt;0,0.00025*N494*-1,0),0))</f>
        <v>0</v>
      </c>
    </row>
    <row r="496" spans="1:18" x14ac:dyDescent="0.2">
      <c r="A496" s="89">
        <v>480</v>
      </c>
      <c r="B496" s="237" t="e">
        <f t="shared" si="74"/>
        <v>#NUM!</v>
      </c>
      <c r="C496" s="142" t="e">
        <f t="shared" si="70"/>
        <v>#NUM!</v>
      </c>
      <c r="D496" s="142" t="e">
        <f t="shared" si="75"/>
        <v>#NUM!</v>
      </c>
      <c r="E496" s="142" t="e">
        <f t="shared" si="76"/>
        <v>#NUM!</v>
      </c>
      <c r="F496" s="142" t="e">
        <f t="shared" si="71"/>
        <v>#NUM!</v>
      </c>
      <c r="G496" s="184">
        <f>IF('prijem -inna mena'!$I$90=TRUE,IF($C$11&gt;0,0.00025*C495,0),IF('prijem -inna mena'!$I$91=TRUE,IF('prijem -inna mena'!$F$91&gt;0,0.00025*C495,0),0))</f>
        <v>0</v>
      </c>
      <c r="L496" s="89">
        <v>480</v>
      </c>
      <c r="M496" s="237" t="e">
        <f t="shared" si="77"/>
        <v>#DIV/0!</v>
      </c>
      <c r="N496" s="142" t="e">
        <f t="shared" si="72"/>
        <v>#DIV/0!</v>
      </c>
      <c r="O496" s="142" t="e">
        <f t="shared" si="73"/>
        <v>#DIV/0!</v>
      </c>
      <c r="P496" s="142" t="e">
        <f t="shared" si="78"/>
        <v>#DIV/0!</v>
      </c>
      <c r="Q496" s="142" t="e">
        <f t="shared" si="79"/>
        <v>#DIV/0!</v>
      </c>
      <c r="R496" s="184">
        <f>IF('prijem -inna mena'!$I$90=TRUE,IF($C$11&gt;0,0.00025*N495,0),IF('prijem -inna mena'!$I$91=TRUE,IF('prijem -inna mena'!$F$91&gt;0,0.00025*N495*-1,0),0))</f>
        <v>0</v>
      </c>
    </row>
    <row r="497" spans="1:12" x14ac:dyDescent="0.2">
      <c r="A497" s="89">
        <v>481</v>
      </c>
      <c r="L497" s="89">
        <v>481</v>
      </c>
    </row>
  </sheetData>
  <pageMargins left="0.7" right="0.7" top="0.78740157499999996" bottom="0.78740157499999996" header="0.3" footer="0.3"/>
  <pageSetup paperSize="9" orientation="portrait" horizontalDpi="300" verticalDpi="300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R183"/>
  <sheetViews>
    <sheetView showGridLines="0" topLeftCell="A115" zoomScaleNormal="100" workbookViewId="0">
      <selection activeCell="F126" sqref="F126"/>
    </sheetView>
  </sheetViews>
  <sheetFormatPr defaultColWidth="0" defaultRowHeight="12.75" x14ac:dyDescent="0.2"/>
  <cols>
    <col min="1" max="1" width="6" customWidth="1"/>
    <col min="2" max="2" width="1.42578125" customWidth="1"/>
    <col min="3" max="3" width="2.7109375" customWidth="1"/>
    <col min="4" max="4" width="16.5703125" style="1" customWidth="1"/>
    <col min="5" max="5" width="41.42578125" style="1" customWidth="1"/>
    <col min="6" max="6" width="23.85546875" customWidth="1"/>
    <col min="7" max="7" width="2.7109375" customWidth="1"/>
    <col min="8" max="8" width="1.42578125" customWidth="1"/>
    <col min="9" max="9" width="9.140625" customWidth="1"/>
    <col min="10" max="10" width="2.42578125" customWidth="1"/>
    <col min="11" max="11" width="44.85546875" hidden="1" customWidth="1"/>
  </cols>
  <sheetData>
    <row r="1" spans="2:12" ht="55.5" customHeight="1" thickBot="1" x14ac:dyDescent="0.25">
      <c r="C1" s="380" t="s">
        <v>0</v>
      </c>
      <c r="D1" s="380"/>
      <c r="E1" s="380"/>
      <c r="F1" s="380"/>
      <c r="G1" s="380"/>
    </row>
    <row r="2" spans="2:12" x14ac:dyDescent="0.2">
      <c r="B2" s="5"/>
      <c r="C2" s="13"/>
      <c r="D2" s="14"/>
      <c r="E2" s="14"/>
      <c r="F2" s="13"/>
      <c r="G2" s="13"/>
      <c r="H2" s="11"/>
      <c r="I2" s="454"/>
    </row>
    <row r="3" spans="2:12" ht="17.25" customHeight="1" x14ac:dyDescent="0.2">
      <c r="B3" s="6"/>
      <c r="C3" s="271"/>
      <c r="D3" s="304" t="s">
        <v>199</v>
      </c>
      <c r="E3" s="273"/>
      <c r="F3" s="276"/>
      <c r="G3" s="271"/>
      <c r="H3" s="12"/>
      <c r="I3" s="455"/>
    </row>
    <row r="4" spans="2:12" x14ac:dyDescent="0.2">
      <c r="B4" s="6"/>
      <c r="C4" s="267"/>
      <c r="D4" s="268"/>
      <c r="E4" s="274"/>
      <c r="F4" s="275" t="str">
        <f>IF(ISBLANK(F3),"DÁTUM PODANIA!","OK")</f>
        <v>DÁTUM PODANIA!</v>
      </c>
      <c r="G4" s="267"/>
      <c r="H4" s="12"/>
      <c r="I4" s="278"/>
    </row>
    <row r="5" spans="2:12" x14ac:dyDescent="0.2">
      <c r="B5" s="6"/>
      <c r="C5" s="267"/>
      <c r="D5" s="268" t="s">
        <v>22</v>
      </c>
      <c r="E5" s="274"/>
      <c r="F5" s="270"/>
      <c r="G5" s="267"/>
      <c r="H5" s="12"/>
    </row>
    <row r="6" spans="2:12" ht="13.5" thickBot="1" x14ac:dyDescent="0.25">
      <c r="B6" s="6"/>
      <c r="C6" s="15"/>
      <c r="D6" s="202" t="s">
        <v>126</v>
      </c>
      <c r="E6" s="16"/>
      <c r="F6" s="15"/>
      <c r="G6" s="15"/>
      <c r="H6" s="12"/>
    </row>
    <row r="7" spans="2:12" ht="13.5" thickBot="1" x14ac:dyDescent="0.25">
      <c r="B7" s="6"/>
      <c r="C7" s="21"/>
      <c r="D7" s="22"/>
      <c r="E7" s="22"/>
      <c r="F7" s="26"/>
      <c r="G7" s="27"/>
      <c r="H7" s="12"/>
    </row>
    <row r="8" spans="2:12" ht="15.75" hidden="1" thickBot="1" x14ac:dyDescent="0.25">
      <c r="B8" s="6"/>
      <c r="C8" s="23"/>
      <c r="D8" s="449" t="s">
        <v>178</v>
      </c>
      <c r="E8" s="450"/>
      <c r="F8" s="328">
        <f>MAX(F9+F12+F15-F10-F13-F16,0)</f>
        <v>0</v>
      </c>
      <c r="G8" s="30"/>
      <c r="H8" s="12"/>
      <c r="I8" s="287" t="s">
        <v>171</v>
      </c>
      <c r="L8" s="4"/>
    </row>
    <row r="9" spans="2:12" ht="15" x14ac:dyDescent="0.2">
      <c r="B9" s="6"/>
      <c r="C9" s="23"/>
      <c r="D9" s="321" t="s">
        <v>184</v>
      </c>
      <c r="E9" s="322"/>
      <c r="F9" s="221">
        <v>0</v>
      </c>
      <c r="G9" s="30"/>
      <c r="H9" s="12"/>
      <c r="I9" s="89">
        <f>IF(F18=3,MIN(F20,F22,F24),IF(F18=2,MIN(F20,F22),F20))</f>
        <v>0</v>
      </c>
      <c r="L9" s="4"/>
    </row>
    <row r="10" spans="2:12" ht="15" x14ac:dyDescent="0.2">
      <c r="B10" s="6"/>
      <c r="C10" s="23"/>
      <c r="D10" s="350" t="s">
        <v>200</v>
      </c>
      <c r="E10" s="351"/>
      <c r="F10" s="352">
        <v>0</v>
      </c>
      <c r="G10" s="30"/>
      <c r="H10" s="12"/>
      <c r="I10" s="89"/>
      <c r="L10" s="4"/>
    </row>
    <row r="11" spans="2:12" ht="15.75" thickBot="1" x14ac:dyDescent="0.25">
      <c r="B11" s="6"/>
      <c r="C11" s="23"/>
      <c r="D11" s="323" t="s">
        <v>187</v>
      </c>
      <c r="E11" s="324"/>
      <c r="F11" s="325">
        <v>0</v>
      </c>
      <c r="G11" s="30"/>
      <c r="H11" s="12"/>
      <c r="L11" s="4"/>
    </row>
    <row r="12" spans="2:12" ht="15" x14ac:dyDescent="0.2">
      <c r="B12" s="6"/>
      <c r="C12" s="23"/>
      <c r="D12" s="321" t="s">
        <v>185</v>
      </c>
      <c r="E12" s="322"/>
      <c r="F12" s="221">
        <v>0</v>
      </c>
      <c r="G12" s="30"/>
      <c r="H12" s="12"/>
      <c r="L12" s="4"/>
    </row>
    <row r="13" spans="2:12" ht="15" x14ac:dyDescent="0.2">
      <c r="B13" s="6"/>
      <c r="C13" s="23"/>
      <c r="D13" s="350" t="s">
        <v>200</v>
      </c>
      <c r="E13" s="351"/>
      <c r="F13" s="352">
        <v>0</v>
      </c>
      <c r="G13" s="30"/>
      <c r="H13" s="12"/>
      <c r="L13" s="4"/>
    </row>
    <row r="14" spans="2:12" ht="15.75" thickBot="1" x14ac:dyDescent="0.25">
      <c r="B14" s="6"/>
      <c r="C14" s="23"/>
      <c r="D14" s="323" t="s">
        <v>188</v>
      </c>
      <c r="E14" s="324"/>
      <c r="F14" s="325">
        <v>0</v>
      </c>
      <c r="G14" s="30"/>
      <c r="H14" s="12"/>
      <c r="L14" s="4"/>
    </row>
    <row r="15" spans="2:12" ht="15" x14ac:dyDescent="0.2">
      <c r="B15" s="6"/>
      <c r="C15" s="23"/>
      <c r="D15" s="321" t="s">
        <v>186</v>
      </c>
      <c r="E15" s="322"/>
      <c r="F15" s="221">
        <v>0</v>
      </c>
      <c r="G15" s="30"/>
      <c r="H15" s="12"/>
      <c r="L15" s="4"/>
    </row>
    <row r="16" spans="2:12" ht="15" x14ac:dyDescent="0.2">
      <c r="B16" s="6"/>
      <c r="C16" s="23"/>
      <c r="D16" s="350" t="s">
        <v>200</v>
      </c>
      <c r="E16" s="353"/>
      <c r="F16" s="352">
        <v>0</v>
      </c>
      <c r="G16" s="30"/>
      <c r="H16" s="12"/>
      <c r="L16" s="4"/>
    </row>
    <row r="17" spans="2:12" ht="15.75" thickBot="1" x14ac:dyDescent="0.25">
      <c r="B17" s="6"/>
      <c r="C17" s="23"/>
      <c r="D17" s="323" t="s">
        <v>189</v>
      </c>
      <c r="E17" s="327"/>
      <c r="F17" s="325">
        <v>0</v>
      </c>
      <c r="G17" s="30"/>
      <c r="H17" s="12"/>
      <c r="L17" s="4"/>
    </row>
    <row r="18" spans="2:12" ht="15" x14ac:dyDescent="0.2">
      <c r="B18" s="6"/>
      <c r="C18" s="23"/>
      <c r="D18" s="445" t="s">
        <v>23</v>
      </c>
      <c r="E18" s="445"/>
      <c r="F18" s="326"/>
      <c r="G18" s="30"/>
      <c r="H18" s="12"/>
      <c r="I18" s="287"/>
    </row>
    <row r="19" spans="2:12" ht="15" x14ac:dyDescent="0.2">
      <c r="B19" s="6"/>
      <c r="C19" s="23"/>
      <c r="D19" s="432" t="s">
        <v>117</v>
      </c>
      <c r="E19" s="432"/>
      <c r="F19" s="173"/>
      <c r="G19" s="30"/>
      <c r="H19" s="12"/>
      <c r="I19" s="89">
        <f>IF(F20&lt;41,8,IF(F20+F84/12&lt;65,8,MAX(8-0.25*(F20-40),3)))</f>
        <v>8</v>
      </c>
    </row>
    <row r="20" spans="2:12" ht="15" hidden="1" x14ac:dyDescent="0.2">
      <c r="B20" s="6"/>
      <c r="C20" s="23"/>
      <c r="D20" s="447" t="s">
        <v>128</v>
      </c>
      <c r="E20" s="447"/>
      <c r="F20" s="152">
        <f>IF(F19="",0,IF(AND(DAY(F3)=DAY(F19),MONTH(F3)=MONTH(F19)),YEAR(F3)-YEAR(F19),FLOOR(YEARFRAC(F19,F3,1),1)))</f>
        <v>0</v>
      </c>
      <c r="G20" s="30"/>
      <c r="H20" s="12"/>
      <c r="I20" s="143"/>
    </row>
    <row r="21" spans="2:12" ht="15" x14ac:dyDescent="0.2">
      <c r="B21" s="6"/>
      <c r="C21" s="23"/>
      <c r="D21" s="432" t="s">
        <v>118</v>
      </c>
      <c r="E21" s="448"/>
      <c r="F21" s="173"/>
      <c r="G21" s="30"/>
      <c r="H21" s="12"/>
      <c r="I21" s="89">
        <f>IF(F22&lt;41,8,IF(F22+F84/12&lt;65,8,MAX(8-0.25*(F22-40),3)))</f>
        <v>8</v>
      </c>
    </row>
    <row r="22" spans="2:12" ht="15" hidden="1" x14ac:dyDescent="0.2">
      <c r="B22" s="6"/>
      <c r="C22" s="23"/>
      <c r="D22" s="447" t="s">
        <v>130</v>
      </c>
      <c r="E22" s="447"/>
      <c r="F22" s="152">
        <f>IF(F21="",0,IF(AND(DAY(F3)=DAY(F21),MONTH(F3)=MONTH(F21)),YEAR(F3)-YEAR(F21),FLOOR(YEARFRAC(F21,F3,1),1)))</f>
        <v>0</v>
      </c>
      <c r="G22" s="30"/>
      <c r="H22" s="12"/>
      <c r="I22" s="143"/>
    </row>
    <row r="23" spans="2:12" ht="15" x14ac:dyDescent="0.2">
      <c r="B23" s="6"/>
      <c r="C23" s="23"/>
      <c r="D23" s="432" t="s">
        <v>121</v>
      </c>
      <c r="E23" s="448"/>
      <c r="F23" s="173"/>
      <c r="G23" s="30"/>
      <c r="H23" s="12"/>
      <c r="I23" s="89">
        <f>IF(F24&lt;41,8,IF(F24+F84/12&lt;65,8,MAX(8-0.25*(F24-40),3)))</f>
        <v>8</v>
      </c>
    </row>
    <row r="24" spans="2:12" ht="15" hidden="1" x14ac:dyDescent="0.2">
      <c r="B24" s="6"/>
      <c r="C24" s="23"/>
      <c r="D24" s="447" t="s">
        <v>131</v>
      </c>
      <c r="E24" s="447"/>
      <c r="F24" s="152">
        <f>IF(F23="",0,IF(AND(DAY(F3)=DAY(F23),MONTH(F3)=MONTH(F23)),YEAR(F3)-YEAR(F23),FLOOR(YEARFRAC(F23,F3,1),1)))</f>
        <v>0</v>
      </c>
      <c r="G24" s="30"/>
      <c r="H24" s="12"/>
    </row>
    <row r="25" spans="2:12" ht="15" x14ac:dyDescent="0.2">
      <c r="B25" s="6"/>
      <c r="C25" s="23"/>
      <c r="D25" s="432" t="s">
        <v>24</v>
      </c>
      <c r="E25" s="432"/>
      <c r="F25" s="152"/>
      <c r="G25" s="30"/>
      <c r="H25" s="12"/>
      <c r="L25" s="1"/>
    </row>
    <row r="26" spans="2:12" ht="15" hidden="1" x14ac:dyDescent="0.2">
      <c r="B26" s="6"/>
      <c r="C26" s="23"/>
      <c r="D26" s="446" t="s">
        <v>4</v>
      </c>
      <c r="E26" s="446"/>
      <c r="F26" s="153">
        <f>F18+F25</f>
        <v>0</v>
      </c>
      <c r="G26" s="30"/>
      <c r="H26" s="12"/>
      <c r="J26" s="35"/>
      <c r="L26" s="1"/>
    </row>
    <row r="27" spans="2:12" ht="15" x14ac:dyDescent="0.2">
      <c r="B27" s="6"/>
      <c r="C27" s="23"/>
      <c r="D27" s="432" t="s">
        <v>47</v>
      </c>
      <c r="E27" s="432"/>
      <c r="F27" s="152"/>
      <c r="G27" s="30"/>
      <c r="H27" s="12"/>
    </row>
    <row r="28" spans="2:12" ht="15" hidden="1" x14ac:dyDescent="0.2">
      <c r="B28" s="6"/>
      <c r="C28" s="23"/>
      <c r="D28" s="433" t="s">
        <v>180</v>
      </c>
      <c r="E28" s="434"/>
      <c r="F28" s="346">
        <f>IF($F$26=0,0,MAX($F$26*((185*($F$26^(-0.4)))^(1-0.4))*((((F9+F12+F15)*F66/(F9+F12+F15+F38+F41+F44))/$F$26)^(0.4)),0))</f>
        <v>0</v>
      </c>
      <c r="G28" s="30"/>
      <c r="H28" s="12"/>
    </row>
    <row r="29" spans="2:12" x14ac:dyDescent="0.2">
      <c r="B29" s="6"/>
      <c r="C29" s="23"/>
      <c r="D29" s="156"/>
      <c r="E29" s="156"/>
      <c r="F29" s="157"/>
      <c r="G29" s="30"/>
      <c r="H29" s="12"/>
    </row>
    <row r="30" spans="2:12" ht="15" x14ac:dyDescent="0.2">
      <c r="B30" s="6"/>
      <c r="C30" s="23"/>
      <c r="D30" s="430" t="s">
        <v>25</v>
      </c>
      <c r="E30" s="431"/>
      <c r="F30" s="229"/>
      <c r="G30" s="30"/>
      <c r="H30" s="12"/>
    </row>
    <row r="31" spans="2:12" ht="15" x14ac:dyDescent="0.2">
      <c r="B31" s="6"/>
      <c r="C31" s="23"/>
      <c r="D31" s="430" t="s">
        <v>26</v>
      </c>
      <c r="E31" s="431"/>
      <c r="F31" s="229"/>
      <c r="G31" s="30"/>
      <c r="H31" s="12"/>
    </row>
    <row r="32" spans="2:12" ht="15" x14ac:dyDescent="0.2">
      <c r="B32" s="6"/>
      <c r="C32" s="23"/>
      <c r="D32" s="430" t="s">
        <v>27</v>
      </c>
      <c r="E32" s="431"/>
      <c r="F32" s="229"/>
      <c r="G32" s="30"/>
      <c r="H32" s="12"/>
    </row>
    <row r="33" spans="2:12" ht="15" x14ac:dyDescent="0.2">
      <c r="B33" s="6"/>
      <c r="C33" s="23"/>
      <c r="D33" s="430" t="s">
        <v>28</v>
      </c>
      <c r="E33" s="431"/>
      <c r="F33" s="229"/>
      <c r="G33" s="30"/>
      <c r="H33" s="12"/>
    </row>
    <row r="34" spans="2:12" ht="13.5" thickBot="1" x14ac:dyDescent="0.25">
      <c r="B34" s="6"/>
      <c r="C34" s="24"/>
      <c r="D34" s="25"/>
      <c r="E34" s="25"/>
      <c r="F34" s="28"/>
      <c r="G34" s="29"/>
      <c r="H34" s="12"/>
    </row>
    <row r="35" spans="2:12" ht="13.5" thickBot="1" x14ac:dyDescent="0.25">
      <c r="B35" s="6"/>
      <c r="C35" s="158"/>
      <c r="D35" s="203" t="s">
        <v>127</v>
      </c>
      <c r="E35" s="159"/>
      <c r="F35" s="158"/>
      <c r="G35" s="158"/>
      <c r="H35" s="12"/>
    </row>
    <row r="36" spans="2:12" ht="13.5" thickBot="1" x14ac:dyDescent="0.25">
      <c r="B36" s="6"/>
      <c r="C36" s="21"/>
      <c r="D36" s="22"/>
      <c r="E36" s="22"/>
      <c r="F36" s="26"/>
      <c r="G36" s="27"/>
      <c r="H36" s="12"/>
    </row>
    <row r="37" spans="2:12" ht="16.5" hidden="1" customHeight="1" thickBot="1" x14ac:dyDescent="0.25">
      <c r="B37" s="6"/>
      <c r="C37" s="23"/>
      <c r="D37" s="204" t="s">
        <v>177</v>
      </c>
      <c r="E37" s="243"/>
      <c r="F37" s="206">
        <f>MAX(F38+F41+F44-F39-F42-F45,0)</f>
        <v>0</v>
      </c>
      <c r="G37" s="30"/>
      <c r="H37" s="12"/>
      <c r="I37" s="287" t="s">
        <v>172</v>
      </c>
      <c r="L37" s="4"/>
    </row>
    <row r="38" spans="2:12" ht="15" x14ac:dyDescent="0.2">
      <c r="B38" s="6"/>
      <c r="C38" s="23"/>
      <c r="D38" s="329" t="s">
        <v>184</v>
      </c>
      <c r="E38" s="330"/>
      <c r="F38" s="209">
        <v>0</v>
      </c>
      <c r="G38" s="30"/>
      <c r="H38" s="12"/>
      <c r="I38" s="89">
        <f>IF(F47=3,MIN(F49,F51,F53),IF(F47=2,MIN(F49,F51),F49))</f>
        <v>0</v>
      </c>
      <c r="L38" s="4"/>
    </row>
    <row r="39" spans="2:12" ht="15" x14ac:dyDescent="0.2">
      <c r="B39" s="6"/>
      <c r="C39" s="23"/>
      <c r="D39" s="354" t="s">
        <v>200</v>
      </c>
      <c r="E39" s="355"/>
      <c r="F39" s="356">
        <v>0</v>
      </c>
      <c r="G39" s="30"/>
      <c r="H39" s="12"/>
      <c r="I39" s="89"/>
      <c r="L39" s="4"/>
    </row>
    <row r="40" spans="2:12" ht="15.75" thickBot="1" x14ac:dyDescent="0.25">
      <c r="B40" s="6"/>
      <c r="C40" s="23"/>
      <c r="D40" s="331" t="s">
        <v>187</v>
      </c>
      <c r="E40" s="332"/>
      <c r="F40" s="333">
        <v>0</v>
      </c>
      <c r="G40" s="30"/>
      <c r="H40" s="12"/>
      <c r="L40" s="4"/>
    </row>
    <row r="41" spans="2:12" ht="15" x14ac:dyDescent="0.2">
      <c r="B41" s="6"/>
      <c r="C41" s="23"/>
      <c r="D41" s="329" t="s">
        <v>185</v>
      </c>
      <c r="E41" s="330"/>
      <c r="F41" s="209">
        <v>0</v>
      </c>
      <c r="G41" s="30"/>
      <c r="H41" s="12"/>
      <c r="L41" s="4"/>
    </row>
    <row r="42" spans="2:12" ht="15" x14ac:dyDescent="0.2">
      <c r="B42" s="6"/>
      <c r="C42" s="23"/>
      <c r="D42" s="354" t="s">
        <v>200</v>
      </c>
      <c r="E42" s="355"/>
      <c r="F42" s="356">
        <v>0</v>
      </c>
      <c r="G42" s="30"/>
      <c r="H42" s="12"/>
      <c r="L42" s="4"/>
    </row>
    <row r="43" spans="2:12" ht="15.75" thickBot="1" x14ac:dyDescent="0.25">
      <c r="B43" s="6"/>
      <c r="C43" s="23"/>
      <c r="D43" s="331" t="s">
        <v>188</v>
      </c>
      <c r="E43" s="332"/>
      <c r="F43" s="333"/>
      <c r="G43" s="30"/>
      <c r="H43" s="12"/>
      <c r="L43" s="4"/>
    </row>
    <row r="44" spans="2:12" ht="15" x14ac:dyDescent="0.2">
      <c r="B44" s="6"/>
      <c r="C44" s="23"/>
      <c r="D44" s="329" t="s">
        <v>186</v>
      </c>
      <c r="E44" s="330"/>
      <c r="F44" s="209">
        <v>0</v>
      </c>
      <c r="G44" s="30"/>
      <c r="H44" s="12"/>
      <c r="L44" s="4"/>
    </row>
    <row r="45" spans="2:12" ht="15" x14ac:dyDescent="0.2">
      <c r="B45" s="6"/>
      <c r="C45" s="23"/>
      <c r="D45" s="354" t="s">
        <v>200</v>
      </c>
      <c r="E45" s="355"/>
      <c r="F45" s="356">
        <v>0</v>
      </c>
      <c r="G45" s="30"/>
      <c r="H45" s="12"/>
      <c r="L45" s="4"/>
    </row>
    <row r="46" spans="2:12" ht="15.75" thickBot="1" x14ac:dyDescent="0.25">
      <c r="B46" s="6"/>
      <c r="C46" s="23"/>
      <c r="D46" s="331" t="s">
        <v>189</v>
      </c>
      <c r="E46" s="332"/>
      <c r="F46" s="333"/>
      <c r="G46" s="30"/>
      <c r="H46" s="12"/>
      <c r="L46" s="4"/>
    </row>
    <row r="47" spans="2:12" ht="15" x14ac:dyDescent="0.2">
      <c r="B47" s="6"/>
      <c r="C47" s="23"/>
      <c r="D47" s="439" t="s">
        <v>23</v>
      </c>
      <c r="E47" s="439"/>
      <c r="F47" s="334"/>
      <c r="G47" s="30"/>
      <c r="H47" s="12"/>
      <c r="I47" s="287"/>
    </row>
    <row r="48" spans="2:12" ht="15" x14ac:dyDescent="0.2">
      <c r="B48" s="6"/>
      <c r="C48" s="23"/>
      <c r="D48" s="435" t="s">
        <v>117</v>
      </c>
      <c r="E48" s="436"/>
      <c r="F48" s="228"/>
      <c r="G48" s="30"/>
      <c r="H48" s="12"/>
      <c r="I48" s="89">
        <f>IF(F49&lt;41,8,IF(F49+F84/12&lt;65,8,MAX(8-0.25*(F49-40),3)))</f>
        <v>8</v>
      </c>
    </row>
    <row r="49" spans="2:12" ht="15" hidden="1" x14ac:dyDescent="0.2">
      <c r="B49" s="6"/>
      <c r="C49" s="23"/>
      <c r="D49" s="441" t="s">
        <v>122</v>
      </c>
      <c r="E49" s="442"/>
      <c r="F49" s="161">
        <f>IF(F48="",0,IF(AND(DAY(F3)=DAY(F48),MONTH(F3)=MONTH(F48)),YEAR(F3)-YEAR(F48),FLOOR(YEARFRAC(F48,F3,1),1)))</f>
        <v>0</v>
      </c>
      <c r="G49" s="30"/>
      <c r="H49" s="12"/>
      <c r="I49" s="143"/>
    </row>
    <row r="50" spans="2:12" ht="15" x14ac:dyDescent="0.2">
      <c r="B50" s="6"/>
      <c r="C50" s="23"/>
      <c r="D50" s="435" t="s">
        <v>118</v>
      </c>
      <c r="E50" s="436"/>
      <c r="F50" s="228"/>
      <c r="G50" s="30"/>
      <c r="H50" s="12"/>
      <c r="I50" s="89">
        <f>IF(F51&lt;41,8,IF(F51+F84/12&lt;65,8,MAX(8-0.25*(F51-40),3)))</f>
        <v>8</v>
      </c>
    </row>
    <row r="51" spans="2:12" ht="15" hidden="1" x14ac:dyDescent="0.2">
      <c r="B51" s="6"/>
      <c r="C51" s="23"/>
      <c r="D51" s="441" t="s">
        <v>130</v>
      </c>
      <c r="E51" s="442"/>
      <c r="F51" s="161">
        <f>IF(F50="",0,IF(AND(DAY(F3)=DAY(F50),MONTH(F3)=MONTH(F50)),YEAR(F3)-YEAR(F50),FLOOR(YEARFRAC(F50,F3,1),1)))</f>
        <v>0</v>
      </c>
      <c r="G51" s="30"/>
      <c r="H51" s="12"/>
      <c r="I51" s="143"/>
    </row>
    <row r="52" spans="2:12" ht="15" x14ac:dyDescent="0.2">
      <c r="B52" s="6"/>
      <c r="C52" s="23"/>
      <c r="D52" s="435" t="s">
        <v>121</v>
      </c>
      <c r="E52" s="436"/>
      <c r="F52" s="228"/>
      <c r="G52" s="30"/>
      <c r="H52" s="12"/>
      <c r="I52" s="89">
        <f>IF(F53&lt;41,8,IF(F53+F84/12&lt;65,8,MAX(8-0.25*(F53-40),3)))</f>
        <v>8</v>
      </c>
    </row>
    <row r="53" spans="2:12" ht="15" hidden="1" x14ac:dyDescent="0.2">
      <c r="B53" s="6"/>
      <c r="C53" s="23"/>
      <c r="D53" s="441" t="s">
        <v>131</v>
      </c>
      <c r="E53" s="442"/>
      <c r="F53" s="161">
        <f>IF(F52="",0,IF(AND(DAY(F3)=DAY(F52),MONTH(F3)=MONTH(F52)),YEAR(F3)-YEAR(F52),FLOOR(YEARFRAC(F52,F3,1),1)))</f>
        <v>0</v>
      </c>
      <c r="G53" s="30"/>
      <c r="H53" s="12"/>
    </row>
    <row r="54" spans="2:12" ht="15" x14ac:dyDescent="0.2">
      <c r="B54" s="6"/>
      <c r="C54" s="23"/>
      <c r="D54" s="435" t="s">
        <v>24</v>
      </c>
      <c r="E54" s="435"/>
      <c r="F54" s="161">
        <v>0</v>
      </c>
      <c r="G54" s="30"/>
      <c r="H54" s="12"/>
      <c r="L54" s="1"/>
    </row>
    <row r="55" spans="2:12" ht="15" hidden="1" x14ac:dyDescent="0.2">
      <c r="B55" s="6"/>
      <c r="C55" s="23"/>
      <c r="D55" s="440" t="s">
        <v>4</v>
      </c>
      <c r="E55" s="440"/>
      <c r="F55" s="162">
        <f>F47+F54</f>
        <v>0</v>
      </c>
      <c r="G55" s="30"/>
      <c r="H55" s="12"/>
      <c r="J55" s="35"/>
      <c r="L55" s="1"/>
    </row>
    <row r="56" spans="2:12" ht="15" x14ac:dyDescent="0.2">
      <c r="B56" s="6"/>
      <c r="C56" s="23"/>
      <c r="D56" s="435" t="s">
        <v>47</v>
      </c>
      <c r="E56" s="435"/>
      <c r="F56" s="161">
        <v>0</v>
      </c>
      <c r="G56" s="30"/>
      <c r="H56" s="12"/>
    </row>
    <row r="57" spans="2:12" ht="15" hidden="1" x14ac:dyDescent="0.2">
      <c r="B57" s="6"/>
      <c r="C57" s="23"/>
      <c r="D57" s="451" t="s">
        <v>181</v>
      </c>
      <c r="E57" s="452"/>
      <c r="F57" s="345">
        <f>IF($F$55=0,0,MAX($F$55*((185*($F$55^(-0.4)))^(1-0.4))*((((F38+F41+F44)*F66/(F9+F12+F15+F38+F41+F44))/$F$55)^(0.4)),0))</f>
        <v>0</v>
      </c>
      <c r="G57" s="30"/>
      <c r="H57" s="12"/>
    </row>
    <row r="58" spans="2:12" x14ac:dyDescent="0.2">
      <c r="B58" s="6"/>
      <c r="C58" s="23"/>
      <c r="D58" s="156"/>
      <c r="E58" s="156"/>
      <c r="F58" s="157"/>
      <c r="G58" s="30"/>
      <c r="H58" s="12"/>
    </row>
    <row r="59" spans="2:12" ht="15" x14ac:dyDescent="0.2">
      <c r="B59" s="6"/>
      <c r="C59" s="23"/>
      <c r="D59" s="437" t="s">
        <v>25</v>
      </c>
      <c r="E59" s="438"/>
      <c r="F59" s="230"/>
      <c r="G59" s="30"/>
      <c r="H59" s="12"/>
    </row>
    <row r="60" spans="2:12" ht="15" x14ac:dyDescent="0.2">
      <c r="B60" s="6"/>
      <c r="C60" s="23"/>
      <c r="D60" s="437" t="s">
        <v>26</v>
      </c>
      <c r="E60" s="438"/>
      <c r="F60" s="230"/>
      <c r="G60" s="30"/>
      <c r="H60" s="12"/>
    </row>
    <row r="61" spans="2:12" ht="15" x14ac:dyDescent="0.2">
      <c r="B61" s="6"/>
      <c r="C61" s="23"/>
      <c r="D61" s="437" t="s">
        <v>27</v>
      </c>
      <c r="E61" s="438"/>
      <c r="F61" s="230"/>
      <c r="G61" s="30"/>
      <c r="H61" s="12"/>
    </row>
    <row r="62" spans="2:12" ht="15" x14ac:dyDescent="0.2">
      <c r="B62" s="6"/>
      <c r="C62" s="23"/>
      <c r="D62" s="437" t="s">
        <v>28</v>
      </c>
      <c r="E62" s="438"/>
      <c r="F62" s="230"/>
      <c r="G62" s="30"/>
      <c r="H62" s="12"/>
    </row>
    <row r="63" spans="2:12" ht="13.5" thickBot="1" x14ac:dyDescent="0.25">
      <c r="B63" s="6"/>
      <c r="C63" s="24"/>
      <c r="D63" s="25"/>
      <c r="E63" s="25"/>
      <c r="F63" s="28"/>
      <c r="G63" s="29"/>
      <c r="H63" s="12"/>
    </row>
    <row r="64" spans="2:12" ht="13.5" hidden="1" thickBot="1" x14ac:dyDescent="0.25">
      <c r="B64" s="6"/>
      <c r="C64" s="296"/>
      <c r="D64" s="296"/>
      <c r="E64" s="296"/>
      <c r="F64" s="296"/>
      <c r="G64" s="296"/>
      <c r="H64" s="12"/>
    </row>
    <row r="65" spans="2:8" hidden="1" x14ac:dyDescent="0.2">
      <c r="B65" s="6"/>
      <c r="C65" s="21"/>
      <c r="D65" s="22"/>
      <c r="E65" s="22"/>
      <c r="F65" s="26"/>
      <c r="G65" s="27"/>
      <c r="H65" s="12"/>
    </row>
    <row r="66" spans="2:8" hidden="1" x14ac:dyDescent="0.2">
      <c r="B66" s="6"/>
      <c r="C66" s="23"/>
      <c r="D66" s="443" t="s">
        <v>196</v>
      </c>
      <c r="E66" s="444"/>
      <c r="F66" s="347">
        <f>F8+F37</f>
        <v>0</v>
      </c>
      <c r="G66" s="30"/>
      <c r="H66" s="12"/>
    </row>
    <row r="67" spans="2:8" hidden="1" x14ac:dyDescent="0.2">
      <c r="B67" s="6"/>
      <c r="C67" s="23"/>
      <c r="D67" s="443" t="s">
        <v>4</v>
      </c>
      <c r="E67" s="444"/>
      <c r="F67" s="348">
        <f>F26+F55</f>
        <v>0</v>
      </c>
      <c r="G67" s="30"/>
      <c r="H67" s="12"/>
    </row>
    <row r="68" spans="2:8" hidden="1" x14ac:dyDescent="0.2">
      <c r="B68" s="6"/>
      <c r="C68" s="23"/>
      <c r="D68" s="443" t="s">
        <v>179</v>
      </c>
      <c r="E68" s="444"/>
      <c r="F68" s="348">
        <f>F27+F56</f>
        <v>0</v>
      </c>
      <c r="G68" s="30"/>
      <c r="H68" s="12"/>
    </row>
    <row r="69" spans="2:8" hidden="1" x14ac:dyDescent="0.2">
      <c r="B69" s="6"/>
      <c r="C69" s="23"/>
      <c r="D69" s="443" t="s">
        <v>154</v>
      </c>
      <c r="E69" s="444"/>
      <c r="F69" s="348">
        <f>IF(($F$33+$F$62)=0,0,IF(($F$33+$F$62)&gt;30,($F$33+$F$62),30))</f>
        <v>0</v>
      </c>
      <c r="G69" s="30"/>
      <c r="H69" s="12"/>
    </row>
    <row r="70" spans="2:8" hidden="1" x14ac:dyDescent="0.2">
      <c r="B70" s="6"/>
      <c r="C70" s="23"/>
      <c r="D70" s="443" t="s">
        <v>152</v>
      </c>
      <c r="E70" s="444"/>
      <c r="F70" s="347">
        <f>IF($F$67=0,0,(284.13+MAX(($F$67-$F$68-1)*198.22+($F$68)*129.74-F10-F13-F16-F39-F42-F45,0)+$F$69))</f>
        <v>0</v>
      </c>
      <c r="G70" s="30"/>
      <c r="H70" s="12"/>
    </row>
    <row r="71" spans="2:8" hidden="1" x14ac:dyDescent="0.2">
      <c r="B71" s="6"/>
      <c r="C71" s="23"/>
      <c r="D71" s="443" t="s">
        <v>190</v>
      </c>
      <c r="E71" s="444"/>
      <c r="F71" s="347">
        <f>IF($F$67=0,0,($F$70+F11+F14+F17+F40+F43+F46))</f>
        <v>0</v>
      </c>
      <c r="G71" s="30"/>
      <c r="H71" s="12"/>
    </row>
    <row r="72" spans="2:8" hidden="1" x14ac:dyDescent="0.2">
      <c r="B72" s="6"/>
      <c r="C72" s="23"/>
      <c r="D72" s="443" t="s">
        <v>182</v>
      </c>
      <c r="E72" s="444"/>
      <c r="F72" s="347">
        <f>IF($F$67=0,0,MAX($F$67*((185*($F$67^(-0.4)))^(1-0.4))*(($F$66/$F$67)^(0.4)),0))</f>
        <v>0</v>
      </c>
      <c r="G72" s="30"/>
      <c r="H72" s="12"/>
    </row>
    <row r="73" spans="2:8" hidden="1" x14ac:dyDescent="0.2">
      <c r="B73" s="6"/>
      <c r="C73" s="23"/>
      <c r="D73" s="443" t="s">
        <v>183</v>
      </c>
      <c r="E73" s="444"/>
      <c r="F73" s="347">
        <f>MAX(F28+F57,F72)</f>
        <v>0</v>
      </c>
      <c r="G73" s="30"/>
      <c r="H73" s="12"/>
    </row>
    <row r="74" spans="2:8" hidden="1" x14ac:dyDescent="0.2">
      <c r="B74" s="6"/>
      <c r="C74" s="23"/>
      <c r="D74" s="467" t="s">
        <v>1</v>
      </c>
      <c r="E74" s="468"/>
      <c r="F74" s="297">
        <f>MAX(0.95*(F66-MAX($F$71,$F$73)),0)</f>
        <v>0</v>
      </c>
      <c r="G74" s="30"/>
      <c r="H74" s="12"/>
    </row>
    <row r="75" spans="2:8" hidden="1" x14ac:dyDescent="0.2">
      <c r="B75" s="6"/>
      <c r="C75" s="23"/>
      <c r="D75" s="443" t="s">
        <v>25</v>
      </c>
      <c r="E75" s="444"/>
      <c r="F75" s="347">
        <f>F30+F59</f>
        <v>0</v>
      </c>
      <c r="G75" s="30"/>
      <c r="H75" s="12"/>
    </row>
    <row r="76" spans="2:8" hidden="1" x14ac:dyDescent="0.2">
      <c r="B76" s="6"/>
      <c r="C76" s="23"/>
      <c r="D76" s="443" t="s">
        <v>26</v>
      </c>
      <c r="E76" s="444"/>
      <c r="F76" s="347">
        <f>F31+F60</f>
        <v>0</v>
      </c>
      <c r="G76" s="30"/>
      <c r="H76" s="12"/>
    </row>
    <row r="77" spans="2:8" hidden="1" x14ac:dyDescent="0.2">
      <c r="B77" s="6"/>
      <c r="C77" s="23"/>
      <c r="D77" s="443" t="s">
        <v>27</v>
      </c>
      <c r="E77" s="444"/>
      <c r="F77" s="347">
        <f>F32+F61</f>
        <v>0</v>
      </c>
      <c r="G77" s="30"/>
      <c r="H77" s="12"/>
    </row>
    <row r="78" spans="2:8" hidden="1" x14ac:dyDescent="0.2">
      <c r="B78" s="6"/>
      <c r="C78" s="23"/>
      <c r="D78" s="467" t="s">
        <v>2</v>
      </c>
      <c r="E78" s="468"/>
      <c r="F78" s="297">
        <f>MAX((MIN($F$74,0.75*F66)-$F$75-0.03*$F$76-0.03*$F$77),0)</f>
        <v>0</v>
      </c>
      <c r="G78" s="30"/>
      <c r="H78" s="12"/>
    </row>
    <row r="79" spans="2:8" ht="13.5" hidden="1" thickBot="1" x14ac:dyDescent="0.25">
      <c r="B79" s="6"/>
      <c r="C79" s="24"/>
      <c r="D79" s="25"/>
      <c r="E79" s="25"/>
      <c r="F79" s="28"/>
      <c r="G79" s="29"/>
      <c r="H79" s="12"/>
    </row>
    <row r="80" spans="2:8" ht="13.5" thickBot="1" x14ac:dyDescent="0.25">
      <c r="B80" s="6"/>
      <c r="C80" s="294"/>
      <c r="D80" s="295"/>
      <c r="E80" s="295"/>
      <c r="F80" s="294"/>
      <c r="G80" s="294"/>
      <c r="H80" s="12"/>
    </row>
    <row r="81" spans="2:8" x14ac:dyDescent="0.2">
      <c r="B81" s="6"/>
      <c r="C81" s="21"/>
      <c r="D81" s="22"/>
      <c r="E81" s="22"/>
      <c r="F81" s="26"/>
      <c r="G81" s="27"/>
      <c r="H81" s="12"/>
    </row>
    <row r="82" spans="2:8" ht="15" x14ac:dyDescent="0.2">
      <c r="B82" s="6"/>
      <c r="C82" s="23"/>
      <c r="D82" s="383" t="s">
        <v>29</v>
      </c>
      <c r="E82" s="384"/>
      <c r="F82" s="32">
        <v>0</v>
      </c>
      <c r="G82" s="30"/>
      <c r="H82" s="12"/>
    </row>
    <row r="83" spans="2:8" ht="15" x14ac:dyDescent="0.2">
      <c r="B83" s="6"/>
      <c r="C83" s="23"/>
      <c r="D83" s="383" t="s">
        <v>30</v>
      </c>
      <c r="E83" s="384"/>
      <c r="F83" s="36">
        <f>F82+F120</f>
        <v>0</v>
      </c>
      <c r="G83" s="30"/>
      <c r="H83" s="12"/>
    </row>
    <row r="84" spans="2:8" ht="15.75" thickBot="1" x14ac:dyDescent="0.25">
      <c r="B84" s="6"/>
      <c r="C84" s="23"/>
      <c r="D84" s="394" t="s">
        <v>31</v>
      </c>
      <c r="E84" s="395"/>
      <c r="F84" s="335">
        <v>0</v>
      </c>
      <c r="G84" s="30"/>
      <c r="H84" s="12"/>
    </row>
    <row r="85" spans="2:8" ht="15" x14ac:dyDescent="0.2">
      <c r="B85" s="6"/>
      <c r="C85" s="23"/>
      <c r="D85" s="399" t="s">
        <v>81</v>
      </c>
      <c r="E85" s="402"/>
      <c r="F85" s="313"/>
      <c r="G85" s="30"/>
      <c r="H85" s="12"/>
    </row>
    <row r="86" spans="2:8" ht="15" x14ac:dyDescent="0.2">
      <c r="B86" s="6"/>
      <c r="C86" s="23"/>
      <c r="D86" s="401" t="s">
        <v>82</v>
      </c>
      <c r="E86" s="389"/>
      <c r="F86" s="310"/>
      <c r="G86" s="30"/>
      <c r="H86" s="12"/>
    </row>
    <row r="87" spans="2:8" ht="15" x14ac:dyDescent="0.2">
      <c r="B87" s="6"/>
      <c r="C87" s="23"/>
      <c r="D87" s="406" t="s">
        <v>98</v>
      </c>
      <c r="E87" s="407"/>
      <c r="F87" s="337"/>
      <c r="G87" s="30"/>
      <c r="H87" s="12"/>
    </row>
    <row r="88" spans="2:8" ht="15" x14ac:dyDescent="0.2">
      <c r="B88" s="6"/>
      <c r="C88" s="23"/>
      <c r="D88" s="406" t="s">
        <v>138</v>
      </c>
      <c r="E88" s="407"/>
      <c r="F88" s="337"/>
      <c r="G88" s="30"/>
      <c r="H88" s="12"/>
    </row>
    <row r="89" spans="2:8" ht="15.75" thickBot="1" x14ac:dyDescent="0.25">
      <c r="B89" s="6"/>
      <c r="C89" s="23"/>
      <c r="D89" s="410" t="s">
        <v>106</v>
      </c>
      <c r="E89" s="411"/>
      <c r="F89" s="338">
        <f>(F88/12)*F84</f>
        <v>0</v>
      </c>
      <c r="G89" s="30"/>
      <c r="H89" s="12"/>
    </row>
    <row r="90" spans="2:8" ht="15" hidden="1" x14ac:dyDescent="0.2">
      <c r="B90" s="6"/>
      <c r="C90" s="23"/>
      <c r="D90" s="465" t="s">
        <v>32</v>
      </c>
      <c r="E90" s="466"/>
      <c r="F90" s="336">
        <v>0.8</v>
      </c>
      <c r="G90" s="30"/>
      <c r="H90" s="12"/>
    </row>
    <row r="91" spans="2:8" ht="15.75" hidden="1" thickBot="1" x14ac:dyDescent="0.25">
      <c r="B91" s="6"/>
      <c r="C91" s="23"/>
      <c r="D91" s="463" t="s">
        <v>79</v>
      </c>
      <c r="E91" s="464"/>
      <c r="F91" s="339">
        <f>IF(F90=80%,100%,IF(F90=70%,"80%",IF(C132=2,"75%","90%")))</f>
        <v>1</v>
      </c>
      <c r="G91" s="30"/>
      <c r="H91" s="12"/>
    </row>
    <row r="92" spans="2:8" ht="15" x14ac:dyDescent="0.2">
      <c r="B92" s="6"/>
      <c r="C92" s="23"/>
      <c r="D92" s="399" t="s">
        <v>83</v>
      </c>
      <c r="E92" s="402"/>
      <c r="F92" s="314"/>
      <c r="G92" s="30"/>
      <c r="H92" s="12"/>
    </row>
    <row r="93" spans="2:8" ht="15" x14ac:dyDescent="0.2">
      <c r="B93" s="6"/>
      <c r="C93" s="23"/>
      <c r="D93" s="401" t="s">
        <v>84</v>
      </c>
      <c r="E93" s="389"/>
      <c r="F93" s="341"/>
      <c r="G93" s="30"/>
      <c r="H93" s="12"/>
    </row>
    <row r="94" spans="2:8" ht="15" x14ac:dyDescent="0.2">
      <c r="B94" s="6"/>
      <c r="C94" s="23"/>
      <c r="D94" s="406" t="s">
        <v>99</v>
      </c>
      <c r="E94" s="407"/>
      <c r="F94" s="337"/>
      <c r="G94" s="30"/>
      <c r="H94" s="12"/>
    </row>
    <row r="95" spans="2:8" ht="15" x14ac:dyDescent="0.2">
      <c r="B95" s="6"/>
      <c r="C95" s="23"/>
      <c r="D95" s="406" t="s">
        <v>137</v>
      </c>
      <c r="E95" s="407"/>
      <c r="F95" s="337"/>
      <c r="G95" s="30"/>
      <c r="H95" s="12"/>
    </row>
    <row r="96" spans="2:8" ht="15.75" thickBot="1" x14ac:dyDescent="0.25">
      <c r="B96" s="6"/>
      <c r="C96" s="23"/>
      <c r="D96" s="410" t="s">
        <v>107</v>
      </c>
      <c r="E96" s="411"/>
      <c r="F96" s="338">
        <f>(F95/12)*F84</f>
        <v>0</v>
      </c>
      <c r="G96" s="30"/>
      <c r="H96" s="12"/>
    </row>
    <row r="97" spans="1:10" ht="15" hidden="1" x14ac:dyDescent="0.2">
      <c r="B97" s="6"/>
      <c r="C97" s="23"/>
      <c r="D97" s="456" t="s">
        <v>80</v>
      </c>
      <c r="E97" s="457"/>
      <c r="F97" s="340">
        <v>0.65</v>
      </c>
      <c r="G97" s="30"/>
      <c r="H97" s="12"/>
    </row>
    <row r="98" spans="1:10" ht="15.75" hidden="1" thickBot="1" x14ac:dyDescent="0.25">
      <c r="B98" s="6"/>
      <c r="C98" s="23"/>
      <c r="D98" s="458" t="s">
        <v>79</v>
      </c>
      <c r="E98" s="459"/>
      <c r="F98" s="342" t="str">
        <f>IF(F97=80%,100%,IF(F97=70%,"80%",IF(C132=2,"75%","90%")))</f>
        <v>90%</v>
      </c>
      <c r="G98" s="30"/>
      <c r="H98" s="12"/>
    </row>
    <row r="99" spans="1:10" ht="15" x14ac:dyDescent="0.2">
      <c r="B99" s="6"/>
      <c r="C99" s="23"/>
      <c r="D99" s="399" t="s">
        <v>85</v>
      </c>
      <c r="E99" s="402"/>
      <c r="F99" s="314"/>
      <c r="G99" s="30"/>
      <c r="H99" s="12"/>
    </row>
    <row r="100" spans="1:10" ht="15" x14ac:dyDescent="0.2">
      <c r="B100" s="6"/>
      <c r="C100" s="23"/>
      <c r="D100" s="406" t="s">
        <v>86</v>
      </c>
      <c r="E100" s="460"/>
      <c r="F100" s="343"/>
      <c r="G100" s="30"/>
      <c r="H100" s="12"/>
    </row>
    <row r="101" spans="1:10" ht="15" x14ac:dyDescent="0.2">
      <c r="B101" s="6"/>
      <c r="C101" s="23"/>
      <c r="D101" s="406" t="s">
        <v>100</v>
      </c>
      <c r="E101" s="407"/>
      <c r="F101" s="337"/>
      <c r="G101" s="30"/>
      <c r="H101" s="12"/>
    </row>
    <row r="102" spans="1:10" ht="15" x14ac:dyDescent="0.2">
      <c r="B102" s="6"/>
      <c r="C102" s="23"/>
      <c r="D102" s="406" t="s">
        <v>139</v>
      </c>
      <c r="E102" s="407"/>
      <c r="F102" s="337"/>
      <c r="G102" s="30"/>
      <c r="H102" s="12"/>
    </row>
    <row r="103" spans="1:10" ht="15.75" thickBot="1" x14ac:dyDescent="0.25">
      <c r="B103" s="6"/>
      <c r="C103" s="23"/>
      <c r="D103" s="410" t="s">
        <v>110</v>
      </c>
      <c r="E103" s="411"/>
      <c r="F103" s="338">
        <f>(F102/12)*F84</f>
        <v>0</v>
      </c>
      <c r="G103" s="30"/>
      <c r="H103" s="12"/>
    </row>
    <row r="104" spans="1:10" ht="15" hidden="1" x14ac:dyDescent="0.2">
      <c r="B104" s="6"/>
      <c r="C104" s="23"/>
      <c r="D104" s="465" t="s">
        <v>80</v>
      </c>
      <c r="E104" s="466"/>
      <c r="F104" s="336">
        <v>0.65</v>
      </c>
      <c r="G104" s="30"/>
      <c r="H104" s="12"/>
    </row>
    <row r="105" spans="1:10" ht="15" hidden="1" x14ac:dyDescent="0.2">
      <c r="B105" s="6"/>
      <c r="C105" s="23"/>
      <c r="D105" s="390" t="s">
        <v>79</v>
      </c>
      <c r="E105" s="429"/>
      <c r="F105" s="318" t="str">
        <f>IF(F104=80%,100%,IF(F104=70%,"80%",IF(C132=2,"75%","90%")))</f>
        <v>90%</v>
      </c>
      <c r="G105" s="30"/>
      <c r="H105" s="12"/>
    </row>
    <row r="106" spans="1:10" ht="15" x14ac:dyDescent="0.2">
      <c r="B106" s="6"/>
      <c r="C106" s="23"/>
      <c r="D106" s="387" t="s">
        <v>33</v>
      </c>
      <c r="E106" s="389"/>
      <c r="F106" s="62">
        <f>IFERROR(IF(ISBLANK($F$86)=TRUE,IF(ISBLANK($F$90)=TRUE,0,(F83/(F85+F92+F99))),((F85-F86+F92-F93+F99-F100+F83)/(F85+F92+F99))),0)</f>
        <v>0</v>
      </c>
      <c r="G106" s="30"/>
      <c r="H106" s="12"/>
    </row>
    <row r="107" spans="1:10" ht="15" x14ac:dyDescent="0.2">
      <c r="B107" s="6"/>
      <c r="C107" s="23"/>
      <c r="D107" s="394" t="s">
        <v>34</v>
      </c>
      <c r="E107" s="395"/>
      <c r="F107" s="34">
        <v>0</v>
      </c>
      <c r="G107" s="30"/>
      <c r="H107" s="12"/>
    </row>
    <row r="108" spans="1:10" ht="15" x14ac:dyDescent="0.2">
      <c r="B108" s="6"/>
      <c r="C108" s="23"/>
      <c r="D108" s="396" t="s">
        <v>90</v>
      </c>
      <c r="E108" s="397"/>
      <c r="F108" s="34">
        <v>2</v>
      </c>
      <c r="G108" s="30"/>
      <c r="H108" s="12"/>
    </row>
    <row r="109" spans="1:10" ht="15" x14ac:dyDescent="0.2">
      <c r="B109" s="6"/>
      <c r="C109" s="23"/>
      <c r="D109" s="387" t="s">
        <v>20</v>
      </c>
      <c r="E109" s="389"/>
      <c r="F109" s="34"/>
      <c r="G109" s="30"/>
      <c r="H109" s="12"/>
    </row>
    <row r="110" spans="1:10" ht="13.5" thickBot="1" x14ac:dyDescent="0.25">
      <c r="B110" s="6"/>
      <c r="C110" s="24"/>
      <c r="D110" s="43"/>
      <c r="E110" s="43"/>
      <c r="F110" s="44"/>
      <c r="G110" s="29"/>
      <c r="H110" s="12"/>
    </row>
    <row r="111" spans="1:10" ht="13.5" thickBot="1" x14ac:dyDescent="0.25">
      <c r="B111" s="7"/>
      <c r="C111" s="8"/>
      <c r="D111" s="9"/>
      <c r="E111" s="9"/>
      <c r="F111" s="8"/>
      <c r="G111" s="8"/>
      <c r="H111" s="10"/>
    </row>
    <row r="112" spans="1:10" ht="13.5" thickBot="1" x14ac:dyDescent="0.25">
      <c r="A112" s="2"/>
      <c r="B112" s="2"/>
      <c r="C112" s="2"/>
      <c r="D112" s="3"/>
      <c r="E112" s="3"/>
      <c r="F112" s="2"/>
      <c r="G112" s="2"/>
      <c r="H112" s="2"/>
      <c r="I112" s="2"/>
      <c r="J112" s="2"/>
    </row>
    <row r="113" spans="1:10" ht="13.5" thickBot="1" x14ac:dyDescent="0.25">
      <c r="A113" s="2"/>
      <c r="B113" s="55"/>
      <c r="C113" s="47"/>
      <c r="D113" s="46"/>
      <c r="E113" s="46"/>
      <c r="F113" s="47"/>
      <c r="G113" s="47"/>
      <c r="H113" s="48"/>
      <c r="I113" s="2"/>
      <c r="J113" s="2"/>
    </row>
    <row r="114" spans="1:10" x14ac:dyDescent="0.2">
      <c r="A114" s="2"/>
      <c r="B114" s="54"/>
      <c r="C114" s="21"/>
      <c r="D114" s="22"/>
      <c r="E114" s="22"/>
      <c r="F114" s="26"/>
      <c r="G114" s="27"/>
      <c r="H114" s="49"/>
      <c r="I114" s="2"/>
      <c r="J114" s="2"/>
    </row>
    <row r="115" spans="1:10" ht="31.5" customHeight="1" x14ac:dyDescent="0.25">
      <c r="A115" s="2"/>
      <c r="B115" s="54"/>
      <c r="C115" s="23"/>
      <c r="D115" s="376" t="s">
        <v>35</v>
      </c>
      <c r="E115" s="391"/>
      <c r="F115" s="71">
        <f>IFERROR(IF(MIN(I9,I38)&lt;60,(IF(ISBLANK($F$84)=TRUE,0,MIN(MAX($F$78/((E132/12)/(1-(1+(E132/12))^(-MIN($F$84,360)))),0),F66/(1/$F$84+F107/12))/E135)),(IF($F$84&gt;60,IF(ISBLANK($F$84)=TRUE,0,MIN(MAX($F$78/((E132/12)/(1-(1+(E132/12))^(-60))),0),F66/(1/$F$84+F107/12))/E135),IF(ISBLANK($F$84)=TRUE,0,MIN(MAX($F$78/((E132/12)/(1-(1+(E132/12))^(-$F$84))),0),F66/(1/$F$84+F107/12))/E135)))),0)</f>
        <v>0</v>
      </c>
      <c r="G115" s="30"/>
      <c r="H115" s="49"/>
      <c r="I115" s="2"/>
      <c r="J115" s="2"/>
    </row>
    <row r="116" spans="1:10" ht="28.5" customHeight="1" x14ac:dyDescent="0.25">
      <c r="A116" s="2"/>
      <c r="B116" s="54"/>
      <c r="C116" s="23"/>
      <c r="D116" s="376" t="s">
        <v>36</v>
      </c>
      <c r="E116" s="391"/>
      <c r="F116" s="71">
        <f>IFERROR(MIN(IF(F66&lt;750,IF(ISBLANK($F$84)=TRUE,"",MIN(0.9*$F$86+0.9*F93+0.9*F100, $F$115)),IF(ISBLANK($F$84)=TRUE,"",MIN($F$91*$F$86+F93*F98+F100*F105, $F$115))),MIN($F$91*$F$86+F93*F98+F100*F105, $F$115)),"")</f>
        <v>0</v>
      </c>
      <c r="G116" s="30"/>
      <c r="H116" s="49"/>
      <c r="I116" s="2"/>
      <c r="J116" s="2"/>
    </row>
    <row r="117" spans="1:10" x14ac:dyDescent="0.2">
      <c r="A117" s="2"/>
      <c r="B117" s="54"/>
      <c r="C117" s="23"/>
      <c r="D117" s="31"/>
      <c r="E117" s="31"/>
      <c r="F117" s="72"/>
      <c r="G117" s="30"/>
      <c r="H117" s="49"/>
      <c r="I117" s="2"/>
      <c r="J117" s="2"/>
    </row>
    <row r="118" spans="1:10" ht="15.75" x14ac:dyDescent="0.25">
      <c r="A118" s="2"/>
      <c r="B118" s="54"/>
      <c r="C118" s="23"/>
      <c r="D118" s="370" t="s">
        <v>37</v>
      </c>
      <c r="E118" s="371"/>
      <c r="F118" s="71">
        <f>IF(ISERR(ROUND(IF(ISBLANK($F$84)=TRUE,"",(IF(ISBLANK($F$107)=TRUE,"",$F$83*(($F$107/12)/(1-(1+($F$107/12))^(-$F$84)))))),2)),0,ROUND(IF(ISBLANK($F$84)=TRUE,"",(IF(ISBLANK($F$107)=TRUE,"",$F$83*(($F$107/12)/(1-(1+($F$107/12))^(-$F$84)))))),2))</f>
        <v>0</v>
      </c>
      <c r="G118" s="30"/>
      <c r="H118" s="49"/>
      <c r="I118" s="2"/>
      <c r="J118" s="2"/>
    </row>
    <row r="119" spans="1:10" ht="15.75" hidden="1" x14ac:dyDescent="0.25">
      <c r="A119" s="2"/>
      <c r="B119" s="284"/>
      <c r="C119" s="23"/>
      <c r="D119" s="379" t="s">
        <v>197</v>
      </c>
      <c r="E119" s="469"/>
      <c r="F119" s="283">
        <f>IF(ISERR(ROUND(IF(ISBLANK($F$83)=TRUE,"",(IF(ISBLANK($F$107)=TRUE,"",$F$83*((MIN($F$107+0.02,0.06)/12)/(1-(1+(MIN($F$107+0.02,0.06)/12))^(-360)))))),2)),0,ROUND(IF(ISBLANK($F$83)=TRUE,"",(IF(ISBLANK($F$107)=TRUE,"",$F$83*((MIN($F$107+0.02,0.06)/12)/(1-(1+(MIN($F$107+0.02,0.06)/12))^(-360)))))),2))</f>
        <v>0</v>
      </c>
      <c r="G119" s="30"/>
      <c r="H119" s="285"/>
      <c r="I119" s="2"/>
      <c r="J119" s="2"/>
    </row>
    <row r="120" spans="1:10" ht="15.75" x14ac:dyDescent="0.25">
      <c r="A120" s="2"/>
      <c r="B120" s="54"/>
      <c r="C120" s="23"/>
      <c r="D120" s="461" t="s">
        <v>91</v>
      </c>
      <c r="E120" s="462"/>
      <c r="F120" s="111">
        <f>ROUND(IF(I120,F145,0),2)</f>
        <v>0</v>
      </c>
      <c r="G120" s="30"/>
      <c r="H120" s="49"/>
      <c r="I120" s="65" t="b">
        <v>0</v>
      </c>
      <c r="J120" s="2"/>
    </row>
    <row r="121" spans="1:10" ht="15.75" x14ac:dyDescent="0.25">
      <c r="A121" s="2"/>
      <c r="B121" s="54"/>
      <c r="C121" s="23"/>
      <c r="D121" s="461" t="s">
        <v>92</v>
      </c>
      <c r="E121" s="462"/>
      <c r="F121" s="111">
        <f>ROUND(IF(I121,F146,0),2)</f>
        <v>0</v>
      </c>
      <c r="G121" s="30"/>
      <c r="H121" s="49"/>
      <c r="I121" s="65"/>
      <c r="J121" s="2"/>
    </row>
    <row r="122" spans="1:10" ht="15.75" hidden="1" x14ac:dyDescent="0.25">
      <c r="A122" s="2"/>
      <c r="B122" s="54"/>
      <c r="C122" s="23"/>
      <c r="D122" s="374" t="s">
        <v>40</v>
      </c>
      <c r="E122" s="453"/>
      <c r="F122" s="359">
        <f>IF(ISERR(IF(ISBLANK($F$84)=TRUE,"",IF(ISBLANK($F$107)=TRUE,"",$F$83/$F$84+$F$83*$F$107/12))),0,IF(ISBLANK($F$84)=TRUE,"",IF(ISBLANK($F$107)=TRUE,"",$F$83/$F$84+$F$83*$F$107/12)))</f>
        <v>0</v>
      </c>
      <c r="G122" s="30"/>
      <c r="H122" s="49"/>
      <c r="I122" s="2"/>
      <c r="J122" s="2"/>
    </row>
    <row r="123" spans="1:10" ht="15.75" hidden="1" x14ac:dyDescent="0.25">
      <c r="A123" s="2"/>
      <c r="B123" s="284"/>
      <c r="C123" s="23"/>
      <c r="D123" s="379" t="s">
        <v>198</v>
      </c>
      <c r="E123" s="469"/>
      <c r="F123" s="286">
        <f>IF(ISERR(IF(ISBLANK($F$83)=TRUE,"",IF(ISBLANK($F$107)=TRUE,"",$F$83/360+$F$83*MIN($F$107+0.02,0.06)/12))),0,IF(ISBLANK($F$83)=TRUE,"",IF(ISBLANK($F$107)=TRUE,"",$F$83/360+$F$83*MIN($F$107+0.02,0.06)/12)))</f>
        <v>0</v>
      </c>
      <c r="G123" s="30"/>
      <c r="H123" s="285"/>
      <c r="I123" s="2"/>
      <c r="J123" s="2"/>
    </row>
    <row r="124" spans="1:10" ht="15.75" x14ac:dyDescent="0.25">
      <c r="A124" s="2"/>
      <c r="B124" s="54"/>
      <c r="C124" s="23"/>
      <c r="D124" s="370" t="s">
        <v>111</v>
      </c>
      <c r="E124" s="371"/>
      <c r="F124" s="74">
        <f>IFERROR('RPMN - prijem - EUR-vice-domac'!C13,0)</f>
        <v>0</v>
      </c>
      <c r="G124" s="30"/>
      <c r="H124" s="49"/>
      <c r="I124" s="2"/>
      <c r="J124" s="2"/>
    </row>
    <row r="125" spans="1:10" ht="15.75" hidden="1" x14ac:dyDescent="0.25">
      <c r="A125" s="2"/>
      <c r="B125" s="54"/>
      <c r="C125" s="23"/>
      <c r="D125" s="374" t="s">
        <v>112</v>
      </c>
      <c r="E125" s="453"/>
      <c r="F125" s="359">
        <f>IFERROR('RPMN - prijem - EUR-vice-domac'!N13,0)</f>
        <v>0</v>
      </c>
      <c r="G125" s="30"/>
      <c r="H125" s="49"/>
      <c r="I125" s="2"/>
      <c r="J125" s="2"/>
    </row>
    <row r="126" spans="1:10" ht="15.75" x14ac:dyDescent="0.25">
      <c r="A126" s="2"/>
      <c r="B126" s="54"/>
      <c r="C126" s="23"/>
      <c r="D126" s="370" t="s">
        <v>93</v>
      </c>
      <c r="E126" s="371"/>
      <c r="F126" s="169">
        <f>IFERROR('RPMN - prijem - EUR-vice-domac'!C12,0)</f>
        <v>0</v>
      </c>
      <c r="G126" s="30"/>
      <c r="H126" s="49"/>
      <c r="I126" s="2"/>
      <c r="J126" s="2"/>
    </row>
    <row r="127" spans="1:10" ht="15.75" hidden="1" x14ac:dyDescent="0.25">
      <c r="A127" s="2"/>
      <c r="B127" s="54"/>
      <c r="C127" s="23"/>
      <c r="D127" s="374" t="s">
        <v>94</v>
      </c>
      <c r="E127" s="453"/>
      <c r="F127" s="169">
        <f>IFERROR('RPMN - prijem - EUR-vice-domac'!N12,0)</f>
        <v>0</v>
      </c>
      <c r="G127" s="30"/>
      <c r="H127" s="49"/>
      <c r="I127" s="2"/>
      <c r="J127" s="2"/>
    </row>
    <row r="128" spans="1:10" ht="13.5" thickBot="1" x14ac:dyDescent="0.25">
      <c r="A128" s="2"/>
      <c r="B128" s="54"/>
      <c r="C128" s="24"/>
      <c r="D128" s="25"/>
      <c r="E128" s="25"/>
      <c r="F128" s="28"/>
      <c r="G128" s="29"/>
      <c r="H128" s="49"/>
      <c r="I128" s="2"/>
      <c r="J128" s="2"/>
    </row>
    <row r="129" spans="1:18" ht="13.5" thickBot="1" x14ac:dyDescent="0.25">
      <c r="A129" s="2"/>
      <c r="B129" s="53"/>
      <c r="C129" s="51"/>
      <c r="D129" s="52"/>
      <c r="E129" s="52"/>
      <c r="F129" s="51"/>
      <c r="G129" s="51"/>
      <c r="H129" s="50"/>
      <c r="I129" s="2"/>
      <c r="J129" s="2"/>
    </row>
    <row r="130" spans="1:18" ht="13.5" thickBot="1" x14ac:dyDescent="0.25">
      <c r="A130" s="2"/>
      <c r="B130" s="2"/>
      <c r="C130" s="2"/>
      <c r="D130" s="3"/>
      <c r="E130" s="3"/>
      <c r="F130" s="2"/>
      <c r="G130" s="2"/>
      <c r="H130" s="2"/>
      <c r="I130" s="2"/>
      <c r="J130" s="2"/>
    </row>
    <row r="131" spans="1:18" ht="15.75" hidden="1" x14ac:dyDescent="0.2">
      <c r="E131" s="3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8"/>
    </row>
    <row r="132" spans="1:18" ht="16.5" hidden="1" thickBot="1" x14ac:dyDescent="0.25">
      <c r="B132" s="56"/>
      <c r="C132" s="70">
        <v>3</v>
      </c>
      <c r="D132" s="58" t="s">
        <v>76</v>
      </c>
      <c r="E132" s="66">
        <f>MAX(F107,MIN(F107+0.02,0.06))</f>
        <v>0.02</v>
      </c>
      <c r="F132" s="59"/>
      <c r="G132" s="59"/>
      <c r="H132" s="59"/>
      <c r="I132" s="59"/>
      <c r="J132" s="37"/>
      <c r="K132" s="39"/>
      <c r="L132" s="39"/>
      <c r="M132" s="39"/>
      <c r="N132" s="39"/>
      <c r="O132" s="39"/>
      <c r="P132" s="39"/>
      <c r="Q132" s="39"/>
      <c r="R132" s="40"/>
    </row>
    <row r="133" spans="1:18" ht="13.5" hidden="1" thickTop="1" x14ac:dyDescent="0.2">
      <c r="B133" s="56"/>
      <c r="C133" s="57"/>
      <c r="D133" s="58" t="s">
        <v>77</v>
      </c>
      <c r="E133" s="69"/>
      <c r="F133" s="57"/>
      <c r="G133" s="57"/>
      <c r="H133" s="57"/>
      <c r="I133" s="61"/>
    </row>
    <row r="134" spans="1:18" hidden="1" x14ac:dyDescent="0.2">
      <c r="B134" s="56"/>
      <c r="C134" s="57"/>
      <c r="D134" s="58" t="s">
        <v>78</v>
      </c>
      <c r="E134" s="69"/>
      <c r="F134" s="57"/>
      <c r="G134" s="57"/>
      <c r="H134" s="57"/>
      <c r="I134" s="61"/>
    </row>
    <row r="135" spans="1:18" hidden="1" x14ac:dyDescent="0.2">
      <c r="B135" s="56"/>
      <c r="C135" s="70">
        <v>1</v>
      </c>
      <c r="D135" s="60" t="s">
        <v>95</v>
      </c>
      <c r="E135" s="67">
        <f>IF(C135=1,1,1.2)</f>
        <v>1</v>
      </c>
      <c r="F135" s="57"/>
      <c r="G135" s="57"/>
      <c r="H135" s="57"/>
      <c r="I135" s="61"/>
    </row>
    <row r="136" spans="1:18" hidden="1" x14ac:dyDescent="0.2">
      <c r="B136" s="56"/>
      <c r="C136" s="57"/>
      <c r="D136" s="60" t="s">
        <v>96</v>
      </c>
      <c r="E136" s="69"/>
      <c r="F136" s="57"/>
      <c r="G136" s="57"/>
      <c r="H136" s="57"/>
      <c r="I136" s="61"/>
    </row>
    <row r="137" spans="1:18" hidden="1" x14ac:dyDescent="0.2">
      <c r="B137" s="56"/>
      <c r="C137" s="57"/>
      <c r="D137" s="60"/>
      <c r="E137" s="60"/>
      <c r="F137" s="57"/>
      <c r="G137" s="57"/>
      <c r="H137" s="57"/>
      <c r="I137" s="61"/>
    </row>
    <row r="138" spans="1:18" hidden="1" x14ac:dyDescent="0.2">
      <c r="B138" s="56"/>
      <c r="C138" s="180">
        <v>1</v>
      </c>
      <c r="D138" s="181" t="s">
        <v>103</v>
      </c>
      <c r="E138" s="181">
        <f>IF(F86=0,0,IF(ISBLANK(F86)=TRUE,0,100))</f>
        <v>0</v>
      </c>
      <c r="F138" s="57"/>
      <c r="G138" s="57"/>
      <c r="H138" s="57"/>
      <c r="I138" s="61"/>
    </row>
    <row r="139" spans="1:18" hidden="1" x14ac:dyDescent="0.2">
      <c r="B139" s="56"/>
      <c r="C139" s="180">
        <v>2</v>
      </c>
      <c r="D139" s="181" t="s">
        <v>104</v>
      </c>
      <c r="E139" s="181">
        <f>IF(F93=0,0,IF(ISBLANK(F93)=TRUE,0,100))</f>
        <v>0</v>
      </c>
      <c r="F139" s="57"/>
      <c r="G139" s="57"/>
      <c r="H139" s="57"/>
      <c r="I139" s="61"/>
    </row>
    <row r="140" spans="1:18" hidden="1" x14ac:dyDescent="0.2">
      <c r="B140" s="56"/>
      <c r="C140" s="180">
        <v>3</v>
      </c>
      <c r="D140" s="181" t="s">
        <v>105</v>
      </c>
      <c r="E140" s="181">
        <f>IF(F100=0,0,IF(ISBLANK(F100)=TRUE,0,100))</f>
        <v>0</v>
      </c>
      <c r="F140" s="57"/>
      <c r="G140" s="57"/>
      <c r="H140" s="57"/>
      <c r="I140" s="61"/>
    </row>
    <row r="141" spans="1:18" hidden="1" x14ac:dyDescent="0.2">
      <c r="B141" s="56"/>
      <c r="C141" s="57"/>
      <c r="D141" s="60"/>
      <c r="E141" s="60"/>
      <c r="F141" s="57"/>
      <c r="G141" s="57"/>
      <c r="H141" s="57"/>
      <c r="I141" s="61"/>
    </row>
    <row r="142" spans="1:18" hidden="1" x14ac:dyDescent="0.2">
      <c r="B142" s="56"/>
      <c r="C142" s="57"/>
      <c r="D142" s="60"/>
      <c r="E142" s="60"/>
      <c r="F142" s="57"/>
      <c r="G142" s="57"/>
      <c r="H142" s="57"/>
      <c r="I142" s="61"/>
    </row>
    <row r="143" spans="1:18" hidden="1" x14ac:dyDescent="0.2">
      <c r="D143" s="42"/>
    </row>
    <row r="144" spans="1:18" hidden="1" x14ac:dyDescent="0.2">
      <c r="D144" s="42" t="s">
        <v>60</v>
      </c>
      <c r="E144" s="77" t="s">
        <v>61</v>
      </c>
      <c r="F144" s="63">
        <f>MAX((F83-F85*F90)*0.045,0)</f>
        <v>0</v>
      </c>
    </row>
    <row r="145" spans="4:6" hidden="1" x14ac:dyDescent="0.2">
      <c r="D145" s="42"/>
      <c r="E145" s="77" t="s">
        <v>62</v>
      </c>
      <c r="F145" s="63">
        <f>(0.015/0.985)*F82</f>
        <v>0</v>
      </c>
    </row>
    <row r="146" spans="4:6" hidden="1" x14ac:dyDescent="0.2">
      <c r="D146" s="42"/>
      <c r="E146" s="77" t="s">
        <v>63</v>
      </c>
      <c r="F146" s="63">
        <f>F82*0.015</f>
        <v>0</v>
      </c>
    </row>
    <row r="147" spans="4:6" hidden="1" x14ac:dyDescent="0.2">
      <c r="D147" s="42"/>
      <c r="E147" s="77"/>
    </row>
    <row r="148" spans="4:6" hidden="1" x14ac:dyDescent="0.2">
      <c r="D148" s="42" t="s">
        <v>64</v>
      </c>
      <c r="E148" s="77" t="s">
        <v>65</v>
      </c>
      <c r="F148" s="63">
        <f>MAX(0.045/0.955*(vyska_uveru_z-zabezpecenie_z*ltv_high_z),0)</f>
        <v>0</v>
      </c>
    </row>
    <row r="149" spans="4:6" hidden="1" x14ac:dyDescent="0.2">
      <c r="D149" s="42" t="s">
        <v>66</v>
      </c>
      <c r="E149" s="77" t="s">
        <v>63</v>
      </c>
      <c r="F149" s="63">
        <f>F83*0.015</f>
        <v>0</v>
      </c>
    </row>
    <row r="150" spans="4:6" hidden="1" x14ac:dyDescent="0.2">
      <c r="D150" s="42"/>
      <c r="F150" s="63"/>
    </row>
    <row r="151" spans="4:6" hidden="1" x14ac:dyDescent="0.2">
      <c r="D151" s="42" t="s">
        <v>67</v>
      </c>
      <c r="E151" s="77" t="s">
        <v>68</v>
      </c>
      <c r="F151" s="63">
        <f>0.015/0.985*vyska_uveru_z</f>
        <v>0</v>
      </c>
    </row>
    <row r="152" spans="4:6" hidden="1" x14ac:dyDescent="0.2">
      <c r="D152" s="42" t="s">
        <v>69</v>
      </c>
      <c r="E152" s="77" t="s">
        <v>70</v>
      </c>
      <c r="F152" s="63">
        <f>(0.015/0.94)*vyska_uveru_z-(0.015*0.045/0.94)*ltv_high_z*zabezpecenie_z</f>
        <v>0</v>
      </c>
    </row>
    <row r="153" spans="4:6" hidden="1" x14ac:dyDescent="0.2">
      <c r="D153" s="42"/>
      <c r="E153" s="77" t="s">
        <v>71</v>
      </c>
      <c r="F153" s="77" t="b">
        <f>F151&lt;(ltv_high_z*zabezpecenie-vyska_uveru_z)</f>
        <v>0</v>
      </c>
    </row>
    <row r="154" spans="4:6" hidden="1" x14ac:dyDescent="0.2">
      <c r="D154" s="42"/>
      <c r="E154" s="77" t="s">
        <v>72</v>
      </c>
      <c r="F154">
        <f>IF(F153,F151,F152)</f>
        <v>0</v>
      </c>
    </row>
    <row r="155" spans="4:6" hidden="1" x14ac:dyDescent="0.2">
      <c r="D155" s="42"/>
      <c r="E155" s="77" t="s">
        <v>65</v>
      </c>
      <c r="F155">
        <f>MAX(((vyska_uveru_z+F154-0.045*ltv_high_z*zabezpecenie_z)/(1-0.045)-ltv_high_z*zabezpecenie_z)*0.045,0)</f>
        <v>0</v>
      </c>
    </row>
    <row r="156" spans="4:6" hidden="1" x14ac:dyDescent="0.2">
      <c r="D156" s="42"/>
      <c r="E156" s="77"/>
    </row>
    <row r="157" spans="4:6" hidden="1" x14ac:dyDescent="0.2">
      <c r="D157" s="42" t="s">
        <v>73</v>
      </c>
      <c r="E157" s="77" t="s">
        <v>65</v>
      </c>
      <c r="F157">
        <f>MAX(0.045/0.955*(vyska_uveru_z-zabezpecenie_z*ltv_high_z),0)</f>
        <v>0</v>
      </c>
    </row>
    <row r="158" spans="4:6" hidden="1" x14ac:dyDescent="0.2">
      <c r="D158" s="42" t="s">
        <v>74</v>
      </c>
      <c r="E158" s="77"/>
    </row>
    <row r="159" spans="4:6" hidden="1" x14ac:dyDescent="0.2">
      <c r="D159" s="42"/>
      <c r="E159" s="77"/>
    </row>
    <row r="160" spans="4:6" hidden="1" x14ac:dyDescent="0.2">
      <c r="D160" s="42"/>
      <c r="F160" s="170">
        <v>0</v>
      </c>
    </row>
    <row r="161" spans="4:6" hidden="1" x14ac:dyDescent="0.2">
      <c r="D161" s="42"/>
      <c r="F161" s="170">
        <v>0.1</v>
      </c>
    </row>
    <row r="162" spans="4:6" hidden="1" x14ac:dyDescent="0.2">
      <c r="F162" s="170">
        <v>0.2</v>
      </c>
    </row>
    <row r="163" spans="4:6" ht="13.5" hidden="1" thickBot="1" x14ac:dyDescent="0.25">
      <c r="F163" s="170">
        <v>0.3</v>
      </c>
    </row>
    <row r="164" spans="4:6" ht="16.5" thickBot="1" x14ac:dyDescent="0.25">
      <c r="E164" s="255" t="s">
        <v>156</v>
      </c>
      <c r="F164" s="264"/>
    </row>
    <row r="165" spans="4:6" ht="15.75" x14ac:dyDescent="0.25">
      <c r="E165" s="253" t="s">
        <v>157</v>
      </c>
      <c r="F165" s="265">
        <f>$F$31+$F$60</f>
        <v>0</v>
      </c>
    </row>
    <row r="166" spans="4:6" ht="15" x14ac:dyDescent="0.2">
      <c r="E166" s="262" t="s">
        <v>158</v>
      </c>
      <c r="F166" s="254"/>
    </row>
    <row r="167" spans="4:6" ht="15.75" thickBot="1" x14ac:dyDescent="0.25">
      <c r="E167" s="263" t="s">
        <v>159</v>
      </c>
      <c r="F167" s="256">
        <f>$F$165-$F$166</f>
        <v>0</v>
      </c>
    </row>
    <row r="168" spans="4:6" ht="15.75" x14ac:dyDescent="0.25">
      <c r="E168" s="253" t="s">
        <v>160</v>
      </c>
      <c r="F168" s="265">
        <f>$F$32+$F$61</f>
        <v>0</v>
      </c>
    </row>
    <row r="169" spans="4:6" ht="15" x14ac:dyDescent="0.2">
      <c r="E169" s="262" t="s">
        <v>161</v>
      </c>
      <c r="F169" s="254"/>
    </row>
    <row r="170" spans="4:6" ht="15.75" thickBot="1" x14ac:dyDescent="0.25">
      <c r="E170" s="263" t="s">
        <v>162</v>
      </c>
      <c r="F170" s="256">
        <f>$F$168-$F$169</f>
        <v>0</v>
      </c>
    </row>
    <row r="171" spans="4:6" ht="16.5" thickBot="1" x14ac:dyDescent="0.3">
      <c r="E171" s="257" t="s">
        <v>163</v>
      </c>
      <c r="F171" s="266">
        <f>MIN($F$83,$F$115)</f>
        <v>0</v>
      </c>
    </row>
    <row r="172" spans="4:6" ht="16.5" thickBot="1" x14ac:dyDescent="0.25">
      <c r="E172" s="258" t="s">
        <v>155</v>
      </c>
      <c r="F172" s="282" t="e">
        <f>($F$164+$F$166+$F$169+$F$171+0.2*($F$167+$F$170))/(12*F66)</f>
        <v>#DIV/0!</v>
      </c>
    </row>
    <row r="173" spans="4:6" ht="16.5" thickBot="1" x14ac:dyDescent="0.25">
      <c r="E173" s="292" t="s">
        <v>176</v>
      </c>
      <c r="F173" s="293" t="e">
        <f>((F9-F10)*I19+(F12-F13)*I21+(F15-F16)*I23+(F38-F39)*I48+(F41-F42)*I50+(F44-F45)*I52)/F66</f>
        <v>#DIV/0!</v>
      </c>
    </row>
    <row r="174" spans="4:6" ht="16.5" thickBot="1" x14ac:dyDescent="0.25">
      <c r="E174" s="260" t="s">
        <v>164</v>
      </c>
      <c r="F174" s="261" t="e">
        <f>IF(F172&gt;F173,"Překročen limit DTI","OK")</f>
        <v>#DIV/0!</v>
      </c>
    </row>
    <row r="175" spans="4:6" ht="16.5" thickBot="1" x14ac:dyDescent="0.25">
      <c r="E175" s="258" t="s">
        <v>166</v>
      </c>
      <c r="F175" s="291" t="e">
        <f>($F$75+0.03*$F$76+0.03*$F$77+MAX($F$118,$F$119))/($F$66-$F$70)</f>
        <v>#DIV/0!</v>
      </c>
    </row>
    <row r="176" spans="4:6" ht="16.5" thickBot="1" x14ac:dyDescent="0.25">
      <c r="E176" s="260" t="s">
        <v>167</v>
      </c>
      <c r="F176" s="261" t="e">
        <f>IF(F175&gt;=0.6,"Překročen limit DSTI","OK")</f>
        <v>#DIV/0!</v>
      </c>
    </row>
    <row r="177" spans="3:7" ht="16.5" hidden="1" thickBot="1" x14ac:dyDescent="0.25">
      <c r="E177" s="360" t="s">
        <v>168</v>
      </c>
      <c r="F177" s="361" t="e">
        <f>($F$75+0.03*$F$76+0.03*$F$77+MAX($F$122,$F$123))/($F$66-$F$70)</f>
        <v>#DIV/0!</v>
      </c>
    </row>
    <row r="178" spans="3:7" ht="16.5" hidden="1" thickBot="1" x14ac:dyDescent="0.25">
      <c r="E178" s="366" t="s">
        <v>169</v>
      </c>
      <c r="F178" s="367" t="e">
        <f>IF(F177&gt;=0.6,"Překročen limit DSTI","OK")</f>
        <v>#DIV/0!</v>
      </c>
    </row>
    <row r="179" spans="3:7" ht="16.5" thickBot="1" x14ac:dyDescent="0.25">
      <c r="E179" s="258" t="s">
        <v>174</v>
      </c>
      <c r="F179" s="259" t="str">
        <f>IF(F84&lt;=360,"OK",IF(AND($F$106&lt;=0.8,$F$172&lt;=8,$F$176&lt;=0.6),"OK","UPRAV SPLATNOST"))</f>
        <v>OK</v>
      </c>
    </row>
    <row r="180" spans="3:7" ht="16.5" hidden="1" thickBot="1" x14ac:dyDescent="0.25">
      <c r="E180" s="364" t="s">
        <v>175</v>
      </c>
      <c r="F180" s="368" t="str">
        <f>IF(F84&lt;=360,"OK",IF(AND($F$106&lt;=0.8,$F$172&lt;=8,$F$178&lt;=0.6),"OK","UPRAV SPLATNOST"))</f>
        <v>OK</v>
      </c>
    </row>
    <row r="182" spans="3:7" hidden="1" x14ac:dyDescent="0.2">
      <c r="C182" s="290"/>
      <c r="D182" s="290"/>
      <c r="E182" s="290"/>
      <c r="F182" s="290"/>
      <c r="G182" s="290"/>
    </row>
    <row r="183" spans="3:7" x14ac:dyDescent="0.2">
      <c r="D183" s="42" t="s">
        <v>201</v>
      </c>
    </row>
  </sheetData>
  <sheetProtection algorithmName="SHA-512" hashValue="tfuzkz5vfK5lOZTJDW21ZlJX3QG2ezTm27pqsrw+UXM6kG9/kSxH3OBrUNdaisQoamTqKVzrO66pDagmuDlCIg==" saltValue="BGHp3KUrtvXFK+in+ZzyGQ==" spinCount="100000" sheet="1" objects="1" scenarios="1"/>
  <mergeCells count="86">
    <mergeCell ref="D106:E106"/>
    <mergeCell ref="D107:E107"/>
    <mergeCell ref="D104:E104"/>
    <mergeCell ref="D105:E105"/>
    <mergeCell ref="D103:E103"/>
    <mergeCell ref="D119:E119"/>
    <mergeCell ref="D123:E123"/>
    <mergeCell ref="D109:E109"/>
    <mergeCell ref="D115:E115"/>
    <mergeCell ref="D116:E116"/>
    <mergeCell ref="D61:E61"/>
    <mergeCell ref="D62:E62"/>
    <mergeCell ref="D101:E101"/>
    <mergeCell ref="D69:E69"/>
    <mergeCell ref="D74:E74"/>
    <mergeCell ref="D75:E75"/>
    <mergeCell ref="D84:E84"/>
    <mergeCell ref="D82:E82"/>
    <mergeCell ref="D83:E83"/>
    <mergeCell ref="D76:E76"/>
    <mergeCell ref="D77:E77"/>
    <mergeCell ref="D78:E78"/>
    <mergeCell ref="D73:E73"/>
    <mergeCell ref="D66:E66"/>
    <mergeCell ref="D67:E67"/>
    <mergeCell ref="D68:E68"/>
    <mergeCell ref="D102:E102"/>
    <mergeCell ref="D85:E85"/>
    <mergeCell ref="D86:E86"/>
    <mergeCell ref="D91:E91"/>
    <mergeCell ref="D90:E90"/>
    <mergeCell ref="D87:E87"/>
    <mergeCell ref="D88:E88"/>
    <mergeCell ref="D94:E94"/>
    <mergeCell ref="D95:E95"/>
    <mergeCell ref="D89:E89"/>
    <mergeCell ref="D96:E96"/>
    <mergeCell ref="D125:E125"/>
    <mergeCell ref="D126:E126"/>
    <mergeCell ref="D127:E127"/>
    <mergeCell ref="I2:I3"/>
    <mergeCell ref="D92:E92"/>
    <mergeCell ref="D93:E93"/>
    <mergeCell ref="D97:E97"/>
    <mergeCell ref="D98:E98"/>
    <mergeCell ref="D99:E99"/>
    <mergeCell ref="D100:E100"/>
    <mergeCell ref="D118:E118"/>
    <mergeCell ref="D120:E120"/>
    <mergeCell ref="D121:E121"/>
    <mergeCell ref="D122:E122"/>
    <mergeCell ref="D124:E124"/>
    <mergeCell ref="D108:E108"/>
    <mergeCell ref="D70:E70"/>
    <mergeCell ref="D72:E72"/>
    <mergeCell ref="D71:E71"/>
    <mergeCell ref="C1:G1"/>
    <mergeCell ref="D18:E18"/>
    <mergeCell ref="D25:E25"/>
    <mergeCell ref="D26:E26"/>
    <mergeCell ref="D19:E19"/>
    <mergeCell ref="D20:E20"/>
    <mergeCell ref="D21:E21"/>
    <mergeCell ref="D23:E23"/>
    <mergeCell ref="D22:E22"/>
    <mergeCell ref="D24:E24"/>
    <mergeCell ref="D8:E8"/>
    <mergeCell ref="D57:E57"/>
    <mergeCell ref="D60:E60"/>
    <mergeCell ref="D59:E59"/>
    <mergeCell ref="D32:E32"/>
    <mergeCell ref="D33:E33"/>
    <mergeCell ref="D47:E47"/>
    <mergeCell ref="D54:E54"/>
    <mergeCell ref="D55:E55"/>
    <mergeCell ref="D56:E56"/>
    <mergeCell ref="D52:E52"/>
    <mergeCell ref="D49:E49"/>
    <mergeCell ref="D51:E51"/>
    <mergeCell ref="D53:E53"/>
    <mergeCell ref="D50:E50"/>
    <mergeCell ref="D31:E31"/>
    <mergeCell ref="D27:E27"/>
    <mergeCell ref="D28:E28"/>
    <mergeCell ref="D30:E30"/>
    <mergeCell ref="D48:E48"/>
  </mergeCells>
  <conditionalFormatting sqref="F118:F119 F122:F125">
    <cfRule type="expression" dxfId="12" priority="22" stopIfTrue="1">
      <formula>ISBLANK($F$84)=TRUE</formula>
    </cfRule>
    <cfRule type="expression" dxfId="11" priority="23" stopIfTrue="1">
      <formula>ISBLANK($F$107)=TRUE</formula>
    </cfRule>
  </conditionalFormatting>
  <conditionalFormatting sqref="F167 F170">
    <cfRule type="cellIs" dxfId="10" priority="14" operator="lessThan">
      <formula>0</formula>
    </cfRule>
  </conditionalFormatting>
  <conditionalFormatting sqref="F174">
    <cfRule type="containsText" dxfId="9" priority="12" operator="containsText" text="Překročen limit DTI">
      <formula>NOT(ISERROR(SEARCH("Překročen limit DTI",F174)))</formula>
    </cfRule>
  </conditionalFormatting>
  <conditionalFormatting sqref="F176">
    <cfRule type="containsText" dxfId="8" priority="6" operator="containsText" text="Překročen limit DSTI">
      <formula>NOT(ISERROR(SEARCH("Překročen limit DSTI",F176)))</formula>
    </cfRule>
    <cfRule type="containsText" dxfId="7" priority="9" operator="containsText" text="Překročen limit DTI">
      <formula>NOT(ISERROR(SEARCH("Překročen limit DTI",F176)))</formula>
    </cfRule>
  </conditionalFormatting>
  <conditionalFormatting sqref="F178">
    <cfRule type="containsText" dxfId="6" priority="5" operator="containsText" text="Překročen limit DSTI">
      <formula>NOT(ISERROR(SEARCH("Překročen limit DSTI",F178)))</formula>
    </cfRule>
  </conditionalFormatting>
  <conditionalFormatting sqref="F178:F180">
    <cfRule type="containsText" dxfId="5" priority="2" operator="containsText" text="Překročen limit DTI">
      <formula>NOT(ISERROR(SEARCH("Překročen limit DTI",F178)))</formula>
    </cfRule>
  </conditionalFormatting>
  <conditionalFormatting sqref="F179:F180">
    <cfRule type="containsText" dxfId="4" priority="1" operator="containsText" text="UPRAV SPLATNOST">
      <formula>NOT(ISERROR(SEARCH("UPRAV SPLATNOST",F179)))</formula>
    </cfRule>
  </conditionalFormatting>
  <dataValidations count="2">
    <dataValidation allowBlank="1" showInputMessage="1" showErrorMessage="1" promptTitle="Poznámka pri schvalovaní" prompt="Pi úverovej analýze vložiť dátum podania žiadosti podľa dátumu v UF" sqref="F3:F4" xr:uid="{00000000-0002-0000-0500-000000000000}"/>
    <dataValidation allowBlank="1" showErrorMessage="1" sqref="F5" xr:uid="{00000000-0002-0000-0500-000001000000}"/>
  </dataValidations>
  <pageMargins left="0.7" right="0.7" top="0.75" bottom="0.75" header="0.3" footer="0.3"/>
  <pageSetup paperSize="9" scale="84" fitToHeight="0" orientation="portrait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4</xdr:col>
                    <xdr:colOff>2162175</xdr:colOff>
                    <xdr:row>183</xdr:row>
                    <xdr:rowOff>0</xdr:rowOff>
                  </from>
                  <to>
                    <xdr:col>4</xdr:col>
                    <xdr:colOff>2162175</xdr:colOff>
                    <xdr:row>184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5</xdr:col>
                    <xdr:colOff>0</xdr:colOff>
                    <xdr:row>107</xdr:row>
                    <xdr:rowOff>0</xdr:rowOff>
                  </from>
                  <to>
                    <xdr:col>5</xdr:col>
                    <xdr:colOff>0</xdr:colOff>
                    <xdr:row>108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4</xdr:col>
                    <xdr:colOff>2162175</xdr:colOff>
                    <xdr:row>183</xdr:row>
                    <xdr:rowOff>0</xdr:rowOff>
                  </from>
                  <to>
                    <xdr:col>4</xdr:col>
                    <xdr:colOff>2162175</xdr:colOff>
                    <xdr:row>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4</xdr:col>
                    <xdr:colOff>2162175</xdr:colOff>
                    <xdr:row>183</xdr:row>
                    <xdr:rowOff>0</xdr:rowOff>
                  </from>
                  <to>
                    <xdr:col>4</xdr:col>
                    <xdr:colOff>2162175</xdr:colOff>
                    <xdr:row>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4</xdr:col>
                    <xdr:colOff>2162175</xdr:colOff>
                    <xdr:row>183</xdr:row>
                    <xdr:rowOff>0</xdr:rowOff>
                  </from>
                  <to>
                    <xdr:col>4</xdr:col>
                    <xdr:colOff>2162175</xdr:colOff>
                    <xdr:row>184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Drop Down 6">
              <controlPr defaultSize="0" autoLine="0" autoPict="0">
                <anchor moveWithCells="1">
                  <from>
                    <xdr:col>5</xdr:col>
                    <xdr:colOff>0</xdr:colOff>
                    <xdr:row>108</xdr:row>
                    <xdr:rowOff>0</xdr:rowOff>
                  </from>
                  <to>
                    <xdr:col>5</xdr:col>
                    <xdr:colOff>0</xdr:colOff>
                    <xdr:row>109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Drop Down 7">
              <controlPr defaultSize="0" autoLine="0" autoPict="0">
                <anchor moveWithCells="1">
                  <from>
                    <xdr:col>5</xdr:col>
                    <xdr:colOff>0</xdr:colOff>
                    <xdr:row>107</xdr:row>
                    <xdr:rowOff>0</xdr:rowOff>
                  </from>
                  <to>
                    <xdr:col>5</xdr:col>
                    <xdr:colOff>0</xdr:colOff>
                    <xdr:row>108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4</xdr:col>
                    <xdr:colOff>2162175</xdr:colOff>
                    <xdr:row>183</xdr:row>
                    <xdr:rowOff>0</xdr:rowOff>
                  </from>
                  <to>
                    <xdr:col>4</xdr:col>
                    <xdr:colOff>2162175</xdr:colOff>
                    <xdr:row>184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4</xdr:col>
                    <xdr:colOff>2162175</xdr:colOff>
                    <xdr:row>183</xdr:row>
                    <xdr:rowOff>0</xdr:rowOff>
                  </from>
                  <to>
                    <xdr:col>4</xdr:col>
                    <xdr:colOff>2162175</xdr:colOff>
                    <xdr:row>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Drop Down 10">
              <controlPr defaultSize="0" autoLine="0" autoPict="0">
                <anchor moveWithCells="1">
                  <from>
                    <xdr:col>5</xdr:col>
                    <xdr:colOff>0</xdr:colOff>
                    <xdr:row>107</xdr:row>
                    <xdr:rowOff>0</xdr:rowOff>
                  </from>
                  <to>
                    <xdr:col>5</xdr:col>
                    <xdr:colOff>0</xdr:colOff>
                    <xdr:row>108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4</xdr:col>
                    <xdr:colOff>2219325</xdr:colOff>
                    <xdr:row>183</xdr:row>
                    <xdr:rowOff>0</xdr:rowOff>
                  </from>
                  <to>
                    <xdr:col>4</xdr:col>
                    <xdr:colOff>2219325</xdr:colOff>
                    <xdr:row>184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4</xdr:col>
                    <xdr:colOff>2219325</xdr:colOff>
                    <xdr:row>183</xdr:row>
                    <xdr:rowOff>0</xdr:rowOff>
                  </from>
                  <to>
                    <xdr:col>4</xdr:col>
                    <xdr:colOff>2219325</xdr:colOff>
                    <xdr:row>184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Drop Down 13">
              <controlPr defaultSize="0" autoLine="0" autoPict="0">
                <anchor moveWithCells="1">
                  <from>
                    <xdr:col>4</xdr:col>
                    <xdr:colOff>2514600</xdr:colOff>
                    <xdr:row>107</xdr:row>
                    <xdr:rowOff>0</xdr:rowOff>
                  </from>
                  <to>
                    <xdr:col>4</xdr:col>
                    <xdr:colOff>2514600</xdr:colOff>
                    <xdr:row>108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4</xdr:col>
                    <xdr:colOff>2286000</xdr:colOff>
                    <xdr:row>119</xdr:row>
                    <xdr:rowOff>0</xdr:rowOff>
                  </from>
                  <to>
                    <xdr:col>4</xdr:col>
                    <xdr:colOff>2286000</xdr:colOff>
                    <xdr:row>120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4</xdr:col>
                    <xdr:colOff>2276475</xdr:colOff>
                    <xdr:row>119</xdr:row>
                    <xdr:rowOff>180975</xdr:rowOff>
                  </from>
                  <to>
                    <xdr:col>4</xdr:col>
                    <xdr:colOff>2276475</xdr:colOff>
                    <xdr:row>123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19" name="Drop Down 20">
              <controlPr defaultSize="0" autoLine="0" autoPict="0">
                <anchor moveWithCells="1">
                  <from>
                    <xdr:col>5</xdr:col>
                    <xdr:colOff>0</xdr:colOff>
                    <xdr:row>107</xdr:row>
                    <xdr:rowOff>9525</xdr:rowOff>
                  </from>
                  <to>
                    <xdr:col>6</xdr:col>
                    <xdr:colOff>0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0" name="Check Box 21">
              <controlPr defaultSize="0" autoFill="0" autoLine="0" autoPict="0">
                <anchor moveWithCells="1">
                  <from>
                    <xdr:col>4</xdr:col>
                    <xdr:colOff>2466975</xdr:colOff>
                    <xdr:row>120</xdr:row>
                    <xdr:rowOff>19050</xdr:rowOff>
                  </from>
                  <to>
                    <xdr:col>4</xdr:col>
                    <xdr:colOff>2724150</xdr:colOff>
                    <xdr:row>120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1" name="Check Box 22">
              <controlPr defaultSize="0" autoFill="0" autoLine="0" autoPict="0">
                <anchor moveWithCells="1">
                  <from>
                    <xdr:col>4</xdr:col>
                    <xdr:colOff>2466975</xdr:colOff>
                    <xdr:row>119</xdr:row>
                    <xdr:rowOff>0</xdr:rowOff>
                  </from>
                  <to>
                    <xdr:col>4</xdr:col>
                    <xdr:colOff>2647950</xdr:colOff>
                    <xdr:row>119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2:S497"/>
  <sheetViews>
    <sheetView workbookViewId="0">
      <selection activeCell="C12" sqref="C12"/>
    </sheetView>
  </sheetViews>
  <sheetFormatPr defaultColWidth="9.140625" defaultRowHeight="12.75" x14ac:dyDescent="0.2"/>
  <cols>
    <col min="1" max="1" width="9.140625" style="89"/>
    <col min="2" max="2" width="17.85546875" style="89" bestFit="1" customWidth="1"/>
    <col min="3" max="3" width="16.5703125" style="89" bestFit="1" customWidth="1"/>
    <col min="4" max="4" width="13.85546875" style="89" customWidth="1"/>
    <col min="5" max="6" width="12.85546875" style="89" bestFit="1" customWidth="1"/>
    <col min="7" max="7" width="13.28515625" style="89" customWidth="1"/>
    <col min="8" max="8" width="11" style="89" bestFit="1" customWidth="1"/>
    <col min="9" max="12" width="9.140625" style="89"/>
    <col min="13" max="14" width="16" style="89" bestFit="1" customWidth="1"/>
    <col min="15" max="15" width="12.28515625" style="89" bestFit="1" customWidth="1"/>
    <col min="16" max="16" width="12.85546875" style="89" bestFit="1" customWidth="1"/>
    <col min="17" max="17" width="13.42578125" style="89" bestFit="1" customWidth="1"/>
    <col min="18" max="18" width="11.28515625" style="89" bestFit="1" customWidth="1"/>
    <col min="19" max="19" width="11" style="89" bestFit="1" customWidth="1"/>
    <col min="20" max="16384" width="9.140625" style="89"/>
  </cols>
  <sheetData>
    <row r="2" spans="1:19" x14ac:dyDescent="0.2">
      <c r="A2" s="138" t="s">
        <v>17</v>
      </c>
      <c r="L2" s="138" t="s">
        <v>18</v>
      </c>
    </row>
    <row r="3" spans="1:19" x14ac:dyDescent="0.2">
      <c r="B3" s="89" t="s">
        <v>5</v>
      </c>
      <c r="C3" s="139">
        <f>'prijem - EUR-viac-domacnosti'!F83</f>
        <v>0</v>
      </c>
      <c r="M3" s="89" t="s">
        <v>5</v>
      </c>
      <c r="N3" s="139">
        <f>'prijem - EUR-viac-domacnosti'!F83</f>
        <v>0</v>
      </c>
    </row>
    <row r="4" spans="1:19" x14ac:dyDescent="0.2">
      <c r="B4" s="89" t="s">
        <v>6</v>
      </c>
      <c r="C4" s="140">
        <f>'prijem - EUR-viac-domacnosti'!F107</f>
        <v>0</v>
      </c>
      <c r="M4" s="89" t="s">
        <v>6</v>
      </c>
      <c r="N4" s="140">
        <f>'prijem - EUR-viac-domacnosti'!F107</f>
        <v>0</v>
      </c>
    </row>
    <row r="5" spans="1:19" x14ac:dyDescent="0.2">
      <c r="B5" s="89" t="s">
        <v>7</v>
      </c>
      <c r="C5" s="89">
        <f>'prijem - EUR-viac-domacnosti'!F84</f>
        <v>0</v>
      </c>
      <c r="M5" s="89" t="s">
        <v>7</v>
      </c>
      <c r="N5" s="89">
        <f>'prijem - EUR-viac-domacnosti'!F84</f>
        <v>0</v>
      </c>
    </row>
    <row r="6" spans="1:19" x14ac:dyDescent="0.2">
      <c r="B6" s="235" t="s">
        <v>101</v>
      </c>
      <c r="C6" s="110">
        <f>'prijem - EUR-viac-domacnosti'!F87+'prijem - EUR-viac-domacnosti'!F94+'prijem - EUR-viac-domacnosti'!F101</f>
        <v>0</v>
      </c>
      <c r="M6" s="235" t="s">
        <v>101</v>
      </c>
      <c r="N6" s="110">
        <f>'prijem - EUR-viac-domacnosti'!F87+'prijem - EUR-viac-domacnosti'!F94+'prijem - EUR-viac-domacnosti'!F101</f>
        <v>0</v>
      </c>
    </row>
    <row r="7" spans="1:19" x14ac:dyDescent="0.2">
      <c r="B7" s="235" t="s">
        <v>108</v>
      </c>
      <c r="C7" s="110">
        <f>'prijem - EUR-viac-domacnosti'!F88+'prijem - EUR-viac-domacnosti'!F95+'prijem - EUR-viac-domacnosti'!F102</f>
        <v>0</v>
      </c>
      <c r="M7" s="235" t="s">
        <v>108</v>
      </c>
      <c r="N7" s="110">
        <f>'prijem - EUR-viac-domacnosti'!F88+'prijem - EUR-viac-domacnosti'!F95+'prijem - EUR-viac-domacnosti'!F102</f>
        <v>0</v>
      </c>
    </row>
    <row r="8" spans="1:19" x14ac:dyDescent="0.2">
      <c r="B8" s="235" t="s">
        <v>109</v>
      </c>
      <c r="C8" s="110">
        <f>'prijem - EUR-viac-domacnosti'!F89+'prijem - EUR-viac-domacnosti'!F96+'prijem - EUR-viac-domacnosti'!F103</f>
        <v>0</v>
      </c>
      <c r="M8" s="235" t="s">
        <v>109</v>
      </c>
      <c r="N8" s="110">
        <f>'prijem - EUR-viac-domacnosti'!F89+'prijem - EUR-viac-domacnosti'!F96+'prijem - EUR-viac-domacnosti'!F103</f>
        <v>0</v>
      </c>
    </row>
    <row r="9" spans="1:19" x14ac:dyDescent="0.2">
      <c r="B9" s="235" t="s">
        <v>102</v>
      </c>
      <c r="C9" s="110">
        <f>'prijem - EUR-viac-domacnosti'!E138+'prijem - EUR-viac-domacnosti'!E139+'prijem - EUR-viac-domacnosti'!E140</f>
        <v>0</v>
      </c>
      <c r="M9" s="235" t="s">
        <v>102</v>
      </c>
      <c r="N9" s="110">
        <f>'prijem - EUR-viac-domacnosti'!E138+'prijem - EUR-viac-domacnosti'!E139+'prijem - EUR-viac-domacnosti'!E140</f>
        <v>0</v>
      </c>
    </row>
    <row r="10" spans="1:19" x14ac:dyDescent="0.2">
      <c r="B10" s="89" t="s">
        <v>8</v>
      </c>
      <c r="C10" s="141" t="e">
        <v>#REF!</v>
      </c>
      <c r="M10" s="89" t="s">
        <v>8</v>
      </c>
      <c r="N10" s="141" t="e">
        <v>#REF!</v>
      </c>
    </row>
    <row r="11" spans="1:19" x14ac:dyDescent="0.2">
      <c r="B11" s="89" t="s">
        <v>9</v>
      </c>
      <c r="C11" s="141">
        <f>'prijem - EUR-viac-domacnosti'!F120</f>
        <v>0</v>
      </c>
      <c r="M11" s="89" t="s">
        <v>9</v>
      </c>
      <c r="N11" s="141">
        <f>'prijem - EUR-viac-domacnosti'!F120</f>
        <v>0</v>
      </c>
    </row>
    <row r="12" spans="1:19" x14ac:dyDescent="0.2">
      <c r="B12" s="138" t="s">
        <v>97</v>
      </c>
      <c r="C12" s="140" t="e">
        <f>(1+IRR(B16:B496,1%))^12-1</f>
        <v>#VALUE!</v>
      </c>
      <c r="M12" s="138" t="s">
        <v>97</v>
      </c>
      <c r="N12" s="140" t="e">
        <f>(1+IRR(M16:M496,1%))^12-1</f>
        <v>#VALUE!</v>
      </c>
    </row>
    <row r="13" spans="1:19" x14ac:dyDescent="0.2">
      <c r="B13" s="138" t="s">
        <v>19</v>
      </c>
      <c r="C13" s="238" t="e">
        <f>(SUM(B17:B496)*-1)+C6+C8+C9+H17</f>
        <v>#NUM!</v>
      </c>
      <c r="M13" s="138" t="s">
        <v>19</v>
      </c>
      <c r="N13" s="238" t="e">
        <f>(SUM(M17:M496)*-1)+N6+N8+N9+S17</f>
        <v>#DIV/0!</v>
      </c>
    </row>
    <row r="14" spans="1:19" x14ac:dyDescent="0.2">
      <c r="D14" s="142"/>
    </row>
    <row r="15" spans="1:19" x14ac:dyDescent="0.2">
      <c r="B15" s="89" t="s">
        <v>11</v>
      </c>
      <c r="C15" s="143" t="s">
        <v>13</v>
      </c>
      <c r="M15" s="89" t="s">
        <v>11</v>
      </c>
      <c r="N15" s="143" t="s">
        <v>13</v>
      </c>
    </row>
    <row r="16" spans="1:19" x14ac:dyDescent="0.2">
      <c r="A16" s="89" t="s">
        <v>10</v>
      </c>
      <c r="B16" s="186">
        <f>C3-C6-C7-C9-C11-H17</f>
        <v>0</v>
      </c>
      <c r="C16" s="171">
        <f>C3</f>
        <v>0</v>
      </c>
      <c r="D16" s="143" t="s">
        <v>12</v>
      </c>
      <c r="E16" s="143" t="s">
        <v>14</v>
      </c>
      <c r="F16" s="143" t="s">
        <v>15</v>
      </c>
      <c r="G16" s="182" t="s">
        <v>141</v>
      </c>
      <c r="H16" s="232" t="s">
        <v>140</v>
      </c>
      <c r="L16" s="89" t="s">
        <v>10</v>
      </c>
      <c r="M16" s="186">
        <f>N3-N6-N7-N9-S17</f>
        <v>0</v>
      </c>
      <c r="N16" s="171">
        <f>N3</f>
        <v>0</v>
      </c>
      <c r="O16" s="143" t="s">
        <v>12</v>
      </c>
      <c r="P16" s="143" t="s">
        <v>14</v>
      </c>
      <c r="Q16" s="143" t="s">
        <v>15</v>
      </c>
      <c r="R16" s="182" t="s">
        <v>141</v>
      </c>
      <c r="S16" s="232" t="s">
        <v>140</v>
      </c>
    </row>
    <row r="17" spans="1:19" x14ac:dyDescent="0.2">
      <c r="A17" s="89">
        <v>1</v>
      </c>
      <c r="B17" s="186">
        <f>IF(C16&gt;0.00001,F17-G17,0)</f>
        <v>0</v>
      </c>
      <c r="C17" s="171" t="e">
        <f>MAX(C16-D17,0)</f>
        <v>#NUM!</v>
      </c>
      <c r="D17" s="171" t="e">
        <f>(F17-E17)*-1</f>
        <v>#NUM!</v>
      </c>
      <c r="E17" s="171" t="e">
        <f>IPMT($C$4/12,1,$C$5,C16)</f>
        <v>#NUM!</v>
      </c>
      <c r="F17" s="171" t="e">
        <f>PMT($C$4/12,$C$5,$C$3)</f>
        <v>#NUM!</v>
      </c>
      <c r="G17" s="171"/>
      <c r="H17" s="233">
        <f>'prijem - EUR-viac-domacnosti'!F121</f>
        <v>0</v>
      </c>
      <c r="L17" s="89">
        <v>1</v>
      </c>
      <c r="M17" s="186">
        <f>IF(N16&gt;0.00001,Q17-R17,0)*-1</f>
        <v>0</v>
      </c>
      <c r="N17" s="171" t="e">
        <f>MAX(N16-O17,0)</f>
        <v>#DIV/0!</v>
      </c>
      <c r="O17" s="171" t="e">
        <f t="shared" ref="O17:O80" si="0">$N$16/$N$5</f>
        <v>#DIV/0!</v>
      </c>
      <c r="P17" s="171">
        <f>N16*$N$4/12</f>
        <v>0</v>
      </c>
      <c r="Q17" s="171" t="e">
        <f>P17+O17</f>
        <v>#DIV/0!</v>
      </c>
      <c r="R17" s="171"/>
      <c r="S17" s="233">
        <f>'prijem - EUR-viac-domacnosti'!F121</f>
        <v>0</v>
      </c>
    </row>
    <row r="18" spans="1:19" x14ac:dyDescent="0.2">
      <c r="A18" s="89">
        <v>2</v>
      </c>
      <c r="B18" s="186" t="e">
        <f t="shared" ref="B18:B81" si="1">IF(C17&gt;0.00001,F18-G18,0)</f>
        <v>#NUM!</v>
      </c>
      <c r="C18" s="171" t="e">
        <f t="shared" ref="C18:C81" si="2">MAX(C17-D18,0)</f>
        <v>#NUM!</v>
      </c>
      <c r="D18" s="171" t="e">
        <f t="shared" ref="D18:D81" si="3">(F18-E18)*-1</f>
        <v>#NUM!</v>
      </c>
      <c r="E18" s="171" t="e">
        <f t="shared" ref="E18:E81" si="4">IPMT($C$4/12,1,$C$5,C17)</f>
        <v>#NUM!</v>
      </c>
      <c r="F18" s="171" t="e">
        <f t="shared" ref="F18:F81" si="5">PMT($C$4/12,$C$5,$C$3)</f>
        <v>#NUM!</v>
      </c>
      <c r="G18" s="171"/>
      <c r="L18" s="89">
        <v>2</v>
      </c>
      <c r="M18" s="186" t="e">
        <f t="shared" ref="M18:M81" si="6">IF(N17&gt;0.00001,Q18-R18,0)*-1</f>
        <v>#DIV/0!</v>
      </c>
      <c r="N18" s="171" t="e">
        <f t="shared" ref="N18:N81" si="7">MAX(N17-O18,0)</f>
        <v>#DIV/0!</v>
      </c>
      <c r="O18" s="171" t="e">
        <f t="shared" si="0"/>
        <v>#DIV/0!</v>
      </c>
      <c r="P18" s="171" t="e">
        <f t="shared" ref="P18:P81" si="8">N17*$N$4/12</f>
        <v>#DIV/0!</v>
      </c>
      <c r="Q18" s="171" t="e">
        <f t="shared" ref="Q18:Q81" si="9">P18+O18</f>
        <v>#DIV/0!</v>
      </c>
      <c r="R18" s="171"/>
    </row>
    <row r="19" spans="1:19" x14ac:dyDescent="0.2">
      <c r="A19" s="89">
        <v>3</v>
      </c>
      <c r="B19" s="186" t="e">
        <f t="shared" si="1"/>
        <v>#NUM!</v>
      </c>
      <c r="C19" s="171" t="e">
        <f t="shared" si="2"/>
        <v>#NUM!</v>
      </c>
      <c r="D19" s="171" t="e">
        <f t="shared" si="3"/>
        <v>#NUM!</v>
      </c>
      <c r="E19" s="171" t="e">
        <f t="shared" si="4"/>
        <v>#NUM!</v>
      </c>
      <c r="F19" s="171" t="e">
        <f t="shared" si="5"/>
        <v>#NUM!</v>
      </c>
      <c r="G19" s="171"/>
      <c r="L19" s="89">
        <v>3</v>
      </c>
      <c r="M19" s="186" t="e">
        <f t="shared" si="6"/>
        <v>#DIV/0!</v>
      </c>
      <c r="N19" s="171" t="e">
        <f t="shared" si="7"/>
        <v>#DIV/0!</v>
      </c>
      <c r="O19" s="171" t="e">
        <f t="shared" si="0"/>
        <v>#DIV/0!</v>
      </c>
      <c r="P19" s="171" t="e">
        <f t="shared" si="8"/>
        <v>#DIV/0!</v>
      </c>
      <c r="Q19" s="171" t="e">
        <f t="shared" si="9"/>
        <v>#DIV/0!</v>
      </c>
      <c r="R19" s="171"/>
    </row>
    <row r="20" spans="1:19" x14ac:dyDescent="0.2">
      <c r="A20" s="89">
        <v>4</v>
      </c>
      <c r="B20" s="186" t="e">
        <f t="shared" si="1"/>
        <v>#NUM!</v>
      </c>
      <c r="C20" s="171" t="e">
        <f t="shared" si="2"/>
        <v>#NUM!</v>
      </c>
      <c r="D20" s="171" t="e">
        <f t="shared" si="3"/>
        <v>#NUM!</v>
      </c>
      <c r="E20" s="171" t="e">
        <f t="shared" si="4"/>
        <v>#NUM!</v>
      </c>
      <c r="F20" s="171" t="e">
        <f t="shared" si="5"/>
        <v>#NUM!</v>
      </c>
      <c r="G20" s="171"/>
      <c r="L20" s="89">
        <v>4</v>
      </c>
      <c r="M20" s="186" t="e">
        <f t="shared" si="6"/>
        <v>#DIV/0!</v>
      </c>
      <c r="N20" s="171" t="e">
        <f t="shared" si="7"/>
        <v>#DIV/0!</v>
      </c>
      <c r="O20" s="171" t="e">
        <f t="shared" si="0"/>
        <v>#DIV/0!</v>
      </c>
      <c r="P20" s="171" t="e">
        <f t="shared" si="8"/>
        <v>#DIV/0!</v>
      </c>
      <c r="Q20" s="171" t="e">
        <f t="shared" si="9"/>
        <v>#DIV/0!</v>
      </c>
      <c r="R20" s="171"/>
    </row>
    <row r="21" spans="1:19" x14ac:dyDescent="0.2">
      <c r="A21" s="89">
        <v>5</v>
      </c>
      <c r="B21" s="186" t="e">
        <f t="shared" si="1"/>
        <v>#NUM!</v>
      </c>
      <c r="C21" s="171" t="e">
        <f t="shared" si="2"/>
        <v>#NUM!</v>
      </c>
      <c r="D21" s="171" t="e">
        <f t="shared" si="3"/>
        <v>#NUM!</v>
      </c>
      <c r="E21" s="171" t="e">
        <f t="shared" si="4"/>
        <v>#NUM!</v>
      </c>
      <c r="F21" s="171" t="e">
        <f t="shared" si="5"/>
        <v>#NUM!</v>
      </c>
      <c r="G21" s="171"/>
      <c r="L21" s="89">
        <v>5</v>
      </c>
      <c r="M21" s="186" t="e">
        <f t="shared" si="6"/>
        <v>#DIV/0!</v>
      </c>
      <c r="N21" s="171" t="e">
        <f t="shared" si="7"/>
        <v>#DIV/0!</v>
      </c>
      <c r="O21" s="171" t="e">
        <f t="shared" si="0"/>
        <v>#DIV/0!</v>
      </c>
      <c r="P21" s="171" t="e">
        <f t="shared" si="8"/>
        <v>#DIV/0!</v>
      </c>
      <c r="Q21" s="171" t="e">
        <f t="shared" si="9"/>
        <v>#DIV/0!</v>
      </c>
      <c r="R21" s="171"/>
    </row>
    <row r="22" spans="1:19" x14ac:dyDescent="0.2">
      <c r="A22" s="89">
        <v>6</v>
      </c>
      <c r="B22" s="186" t="e">
        <f t="shared" si="1"/>
        <v>#NUM!</v>
      </c>
      <c r="C22" s="171" t="e">
        <f t="shared" si="2"/>
        <v>#NUM!</v>
      </c>
      <c r="D22" s="171" t="e">
        <f t="shared" si="3"/>
        <v>#NUM!</v>
      </c>
      <c r="E22" s="171" t="e">
        <f t="shared" si="4"/>
        <v>#NUM!</v>
      </c>
      <c r="F22" s="171" t="e">
        <f t="shared" si="5"/>
        <v>#NUM!</v>
      </c>
      <c r="G22" s="171"/>
      <c r="L22" s="89">
        <v>6</v>
      </c>
      <c r="M22" s="186" t="e">
        <f t="shared" si="6"/>
        <v>#DIV/0!</v>
      </c>
      <c r="N22" s="171" t="e">
        <f t="shared" si="7"/>
        <v>#DIV/0!</v>
      </c>
      <c r="O22" s="171" t="e">
        <f t="shared" si="0"/>
        <v>#DIV/0!</v>
      </c>
      <c r="P22" s="171" t="e">
        <f t="shared" si="8"/>
        <v>#DIV/0!</v>
      </c>
      <c r="Q22" s="171" t="e">
        <f t="shared" si="9"/>
        <v>#DIV/0!</v>
      </c>
      <c r="R22" s="171"/>
    </row>
    <row r="23" spans="1:19" x14ac:dyDescent="0.2">
      <c r="A23" s="89">
        <v>7</v>
      </c>
      <c r="B23" s="186" t="e">
        <f t="shared" si="1"/>
        <v>#NUM!</v>
      </c>
      <c r="C23" s="171" t="e">
        <f t="shared" si="2"/>
        <v>#NUM!</v>
      </c>
      <c r="D23" s="171" t="e">
        <f t="shared" si="3"/>
        <v>#NUM!</v>
      </c>
      <c r="E23" s="171" t="e">
        <f t="shared" si="4"/>
        <v>#NUM!</v>
      </c>
      <c r="F23" s="171" t="e">
        <f t="shared" si="5"/>
        <v>#NUM!</v>
      </c>
      <c r="G23" s="171"/>
      <c r="L23" s="89">
        <v>7</v>
      </c>
      <c r="M23" s="186" t="e">
        <f t="shared" si="6"/>
        <v>#DIV/0!</v>
      </c>
      <c r="N23" s="171" t="e">
        <f t="shared" si="7"/>
        <v>#DIV/0!</v>
      </c>
      <c r="O23" s="171" t="e">
        <f t="shared" si="0"/>
        <v>#DIV/0!</v>
      </c>
      <c r="P23" s="171" t="e">
        <f t="shared" si="8"/>
        <v>#DIV/0!</v>
      </c>
      <c r="Q23" s="171" t="e">
        <f t="shared" si="9"/>
        <v>#DIV/0!</v>
      </c>
      <c r="R23" s="171"/>
    </row>
    <row r="24" spans="1:19" x14ac:dyDescent="0.2">
      <c r="A24" s="89">
        <v>8</v>
      </c>
      <c r="B24" s="186" t="e">
        <f t="shared" si="1"/>
        <v>#NUM!</v>
      </c>
      <c r="C24" s="171" t="e">
        <f t="shared" si="2"/>
        <v>#NUM!</v>
      </c>
      <c r="D24" s="171" t="e">
        <f t="shared" si="3"/>
        <v>#NUM!</v>
      </c>
      <c r="E24" s="171" t="e">
        <f t="shared" si="4"/>
        <v>#NUM!</v>
      </c>
      <c r="F24" s="171" t="e">
        <f t="shared" si="5"/>
        <v>#NUM!</v>
      </c>
      <c r="G24" s="171"/>
      <c r="L24" s="89">
        <v>8</v>
      </c>
      <c r="M24" s="186" t="e">
        <f t="shared" si="6"/>
        <v>#DIV/0!</v>
      </c>
      <c r="N24" s="171" t="e">
        <f t="shared" si="7"/>
        <v>#DIV/0!</v>
      </c>
      <c r="O24" s="171" t="e">
        <f t="shared" si="0"/>
        <v>#DIV/0!</v>
      </c>
      <c r="P24" s="171" t="e">
        <f t="shared" si="8"/>
        <v>#DIV/0!</v>
      </c>
      <c r="Q24" s="171" t="e">
        <f t="shared" si="9"/>
        <v>#DIV/0!</v>
      </c>
      <c r="R24" s="171"/>
    </row>
    <row r="25" spans="1:19" x14ac:dyDescent="0.2">
      <c r="A25" s="89">
        <v>9</v>
      </c>
      <c r="B25" s="186" t="e">
        <f t="shared" si="1"/>
        <v>#NUM!</v>
      </c>
      <c r="C25" s="171" t="e">
        <f t="shared" si="2"/>
        <v>#NUM!</v>
      </c>
      <c r="D25" s="171" t="e">
        <f t="shared" si="3"/>
        <v>#NUM!</v>
      </c>
      <c r="E25" s="171" t="e">
        <f t="shared" si="4"/>
        <v>#NUM!</v>
      </c>
      <c r="F25" s="171" t="e">
        <f t="shared" si="5"/>
        <v>#NUM!</v>
      </c>
      <c r="G25" s="171"/>
      <c r="L25" s="89">
        <v>9</v>
      </c>
      <c r="M25" s="186" t="e">
        <f t="shared" si="6"/>
        <v>#DIV/0!</v>
      </c>
      <c r="N25" s="171" t="e">
        <f t="shared" si="7"/>
        <v>#DIV/0!</v>
      </c>
      <c r="O25" s="171" t="e">
        <f t="shared" si="0"/>
        <v>#DIV/0!</v>
      </c>
      <c r="P25" s="171" t="e">
        <f t="shared" si="8"/>
        <v>#DIV/0!</v>
      </c>
      <c r="Q25" s="171" t="e">
        <f t="shared" si="9"/>
        <v>#DIV/0!</v>
      </c>
      <c r="R25" s="171"/>
    </row>
    <row r="26" spans="1:19" x14ac:dyDescent="0.2">
      <c r="A26" s="89">
        <v>10</v>
      </c>
      <c r="B26" s="186" t="e">
        <f t="shared" si="1"/>
        <v>#NUM!</v>
      </c>
      <c r="C26" s="171" t="e">
        <f t="shared" si="2"/>
        <v>#NUM!</v>
      </c>
      <c r="D26" s="171" t="e">
        <f t="shared" si="3"/>
        <v>#NUM!</v>
      </c>
      <c r="E26" s="171" t="e">
        <f t="shared" si="4"/>
        <v>#NUM!</v>
      </c>
      <c r="F26" s="171" t="e">
        <f t="shared" si="5"/>
        <v>#NUM!</v>
      </c>
      <c r="G26" s="171"/>
      <c r="L26" s="89">
        <v>10</v>
      </c>
      <c r="M26" s="186" t="e">
        <f t="shared" si="6"/>
        <v>#DIV/0!</v>
      </c>
      <c r="N26" s="171" t="e">
        <f t="shared" si="7"/>
        <v>#DIV/0!</v>
      </c>
      <c r="O26" s="171" t="e">
        <f t="shared" si="0"/>
        <v>#DIV/0!</v>
      </c>
      <c r="P26" s="171" t="e">
        <f t="shared" si="8"/>
        <v>#DIV/0!</v>
      </c>
      <c r="Q26" s="171" t="e">
        <f t="shared" si="9"/>
        <v>#DIV/0!</v>
      </c>
      <c r="R26" s="171"/>
    </row>
    <row r="27" spans="1:19" x14ac:dyDescent="0.2">
      <c r="A27" s="89">
        <v>11</v>
      </c>
      <c r="B27" s="186" t="e">
        <f t="shared" si="1"/>
        <v>#NUM!</v>
      </c>
      <c r="C27" s="171" t="e">
        <f t="shared" si="2"/>
        <v>#NUM!</v>
      </c>
      <c r="D27" s="171" t="e">
        <f t="shared" si="3"/>
        <v>#NUM!</v>
      </c>
      <c r="E27" s="171" t="e">
        <f t="shared" si="4"/>
        <v>#NUM!</v>
      </c>
      <c r="F27" s="171" t="e">
        <f t="shared" si="5"/>
        <v>#NUM!</v>
      </c>
      <c r="G27" s="171"/>
      <c r="L27" s="89">
        <v>11</v>
      </c>
      <c r="M27" s="186" t="e">
        <f t="shared" si="6"/>
        <v>#DIV/0!</v>
      </c>
      <c r="N27" s="171" t="e">
        <f t="shared" si="7"/>
        <v>#DIV/0!</v>
      </c>
      <c r="O27" s="171" t="e">
        <f t="shared" si="0"/>
        <v>#DIV/0!</v>
      </c>
      <c r="P27" s="171" t="e">
        <f t="shared" si="8"/>
        <v>#DIV/0!</v>
      </c>
      <c r="Q27" s="171" t="e">
        <f t="shared" si="9"/>
        <v>#DIV/0!</v>
      </c>
      <c r="R27" s="171"/>
    </row>
    <row r="28" spans="1:19" x14ac:dyDescent="0.2">
      <c r="A28" s="89">
        <v>12</v>
      </c>
      <c r="B28" s="186" t="e">
        <f t="shared" si="1"/>
        <v>#NUM!</v>
      </c>
      <c r="C28" s="171" t="e">
        <f t="shared" si="2"/>
        <v>#NUM!</v>
      </c>
      <c r="D28" s="171" t="e">
        <f t="shared" si="3"/>
        <v>#NUM!</v>
      </c>
      <c r="E28" s="171" t="e">
        <f t="shared" si="4"/>
        <v>#NUM!</v>
      </c>
      <c r="F28" s="171" t="e">
        <f t="shared" si="5"/>
        <v>#NUM!</v>
      </c>
      <c r="G28" s="171"/>
      <c r="L28" s="89">
        <v>12</v>
      </c>
      <c r="M28" s="186" t="e">
        <f t="shared" si="6"/>
        <v>#DIV/0!</v>
      </c>
      <c r="N28" s="171" t="e">
        <f t="shared" si="7"/>
        <v>#DIV/0!</v>
      </c>
      <c r="O28" s="171" t="e">
        <f t="shared" si="0"/>
        <v>#DIV/0!</v>
      </c>
      <c r="P28" s="171" t="e">
        <f t="shared" si="8"/>
        <v>#DIV/0!</v>
      </c>
      <c r="Q28" s="171" t="e">
        <f t="shared" si="9"/>
        <v>#DIV/0!</v>
      </c>
      <c r="R28" s="171"/>
    </row>
    <row r="29" spans="1:19" x14ac:dyDescent="0.2">
      <c r="A29" s="89">
        <v>13</v>
      </c>
      <c r="B29" s="186" t="e">
        <f t="shared" si="1"/>
        <v>#NUM!</v>
      </c>
      <c r="C29" s="171" t="e">
        <f t="shared" si="2"/>
        <v>#NUM!</v>
      </c>
      <c r="D29" s="171" t="e">
        <f t="shared" si="3"/>
        <v>#NUM!</v>
      </c>
      <c r="E29" s="171" t="e">
        <f t="shared" si="4"/>
        <v>#NUM!</v>
      </c>
      <c r="F29" s="171" t="e">
        <f t="shared" si="5"/>
        <v>#NUM!</v>
      </c>
      <c r="G29" s="171"/>
      <c r="L29" s="89">
        <v>13</v>
      </c>
      <c r="M29" s="186" t="e">
        <f t="shared" si="6"/>
        <v>#DIV/0!</v>
      </c>
      <c r="N29" s="171" t="e">
        <f t="shared" si="7"/>
        <v>#DIV/0!</v>
      </c>
      <c r="O29" s="171" t="e">
        <f t="shared" si="0"/>
        <v>#DIV/0!</v>
      </c>
      <c r="P29" s="171" t="e">
        <f t="shared" si="8"/>
        <v>#DIV/0!</v>
      </c>
      <c r="Q29" s="171" t="e">
        <f t="shared" si="9"/>
        <v>#DIV/0!</v>
      </c>
      <c r="R29" s="171"/>
    </row>
    <row r="30" spans="1:19" x14ac:dyDescent="0.2">
      <c r="A30" s="89">
        <v>14</v>
      </c>
      <c r="B30" s="186" t="e">
        <f t="shared" si="1"/>
        <v>#NUM!</v>
      </c>
      <c r="C30" s="171" t="e">
        <f t="shared" si="2"/>
        <v>#NUM!</v>
      </c>
      <c r="D30" s="171" t="e">
        <f t="shared" si="3"/>
        <v>#NUM!</v>
      </c>
      <c r="E30" s="171" t="e">
        <f t="shared" si="4"/>
        <v>#NUM!</v>
      </c>
      <c r="F30" s="171" t="e">
        <f t="shared" si="5"/>
        <v>#NUM!</v>
      </c>
      <c r="G30" s="171"/>
      <c r="L30" s="89">
        <v>14</v>
      </c>
      <c r="M30" s="186" t="e">
        <f t="shared" si="6"/>
        <v>#DIV/0!</v>
      </c>
      <c r="N30" s="171" t="e">
        <f t="shared" si="7"/>
        <v>#DIV/0!</v>
      </c>
      <c r="O30" s="171" t="e">
        <f t="shared" si="0"/>
        <v>#DIV/0!</v>
      </c>
      <c r="P30" s="171" t="e">
        <f t="shared" si="8"/>
        <v>#DIV/0!</v>
      </c>
      <c r="Q30" s="171" t="e">
        <f t="shared" si="9"/>
        <v>#DIV/0!</v>
      </c>
      <c r="R30" s="171"/>
    </row>
    <row r="31" spans="1:19" x14ac:dyDescent="0.2">
      <c r="A31" s="89">
        <v>15</v>
      </c>
      <c r="B31" s="186" t="e">
        <f t="shared" si="1"/>
        <v>#NUM!</v>
      </c>
      <c r="C31" s="171" t="e">
        <f t="shared" si="2"/>
        <v>#NUM!</v>
      </c>
      <c r="D31" s="171" t="e">
        <f t="shared" si="3"/>
        <v>#NUM!</v>
      </c>
      <c r="E31" s="171" t="e">
        <f t="shared" si="4"/>
        <v>#NUM!</v>
      </c>
      <c r="F31" s="171" t="e">
        <f t="shared" si="5"/>
        <v>#NUM!</v>
      </c>
      <c r="G31" s="171"/>
      <c r="L31" s="89">
        <v>15</v>
      </c>
      <c r="M31" s="186" t="e">
        <f t="shared" si="6"/>
        <v>#DIV/0!</v>
      </c>
      <c r="N31" s="171" t="e">
        <f t="shared" si="7"/>
        <v>#DIV/0!</v>
      </c>
      <c r="O31" s="171" t="e">
        <f t="shared" si="0"/>
        <v>#DIV/0!</v>
      </c>
      <c r="P31" s="171" t="e">
        <f t="shared" si="8"/>
        <v>#DIV/0!</v>
      </c>
      <c r="Q31" s="171" t="e">
        <f t="shared" si="9"/>
        <v>#DIV/0!</v>
      </c>
      <c r="R31" s="171"/>
    </row>
    <row r="32" spans="1:19" x14ac:dyDescent="0.2">
      <c r="A32" s="89">
        <v>16</v>
      </c>
      <c r="B32" s="186" t="e">
        <f t="shared" si="1"/>
        <v>#NUM!</v>
      </c>
      <c r="C32" s="171" t="e">
        <f t="shared" si="2"/>
        <v>#NUM!</v>
      </c>
      <c r="D32" s="171" t="e">
        <f t="shared" si="3"/>
        <v>#NUM!</v>
      </c>
      <c r="E32" s="171" t="e">
        <f t="shared" si="4"/>
        <v>#NUM!</v>
      </c>
      <c r="F32" s="171" t="e">
        <f t="shared" si="5"/>
        <v>#NUM!</v>
      </c>
      <c r="G32" s="171"/>
      <c r="L32" s="89">
        <v>16</v>
      </c>
      <c r="M32" s="186" t="e">
        <f t="shared" si="6"/>
        <v>#DIV/0!</v>
      </c>
      <c r="N32" s="171" t="e">
        <f t="shared" si="7"/>
        <v>#DIV/0!</v>
      </c>
      <c r="O32" s="171" t="e">
        <f t="shared" si="0"/>
        <v>#DIV/0!</v>
      </c>
      <c r="P32" s="171" t="e">
        <f t="shared" si="8"/>
        <v>#DIV/0!</v>
      </c>
      <c r="Q32" s="171" t="e">
        <f t="shared" si="9"/>
        <v>#DIV/0!</v>
      </c>
      <c r="R32" s="171"/>
    </row>
    <row r="33" spans="1:18" x14ac:dyDescent="0.2">
      <c r="A33" s="89">
        <v>17</v>
      </c>
      <c r="B33" s="186" t="e">
        <f t="shared" si="1"/>
        <v>#NUM!</v>
      </c>
      <c r="C33" s="171" t="e">
        <f t="shared" si="2"/>
        <v>#NUM!</v>
      </c>
      <c r="D33" s="171" t="e">
        <f t="shared" si="3"/>
        <v>#NUM!</v>
      </c>
      <c r="E33" s="171" t="e">
        <f t="shared" si="4"/>
        <v>#NUM!</v>
      </c>
      <c r="F33" s="171" t="e">
        <f t="shared" si="5"/>
        <v>#NUM!</v>
      </c>
      <c r="G33" s="171"/>
      <c r="L33" s="89">
        <v>17</v>
      </c>
      <c r="M33" s="186" t="e">
        <f t="shared" si="6"/>
        <v>#DIV/0!</v>
      </c>
      <c r="N33" s="171" t="e">
        <f t="shared" si="7"/>
        <v>#DIV/0!</v>
      </c>
      <c r="O33" s="171" t="e">
        <f t="shared" si="0"/>
        <v>#DIV/0!</v>
      </c>
      <c r="P33" s="171" t="e">
        <f t="shared" si="8"/>
        <v>#DIV/0!</v>
      </c>
      <c r="Q33" s="171" t="e">
        <f t="shared" si="9"/>
        <v>#DIV/0!</v>
      </c>
      <c r="R33" s="171"/>
    </row>
    <row r="34" spans="1:18" x14ac:dyDescent="0.2">
      <c r="A34" s="89">
        <v>18</v>
      </c>
      <c r="B34" s="186" t="e">
        <f t="shared" si="1"/>
        <v>#NUM!</v>
      </c>
      <c r="C34" s="171" t="e">
        <f t="shared" si="2"/>
        <v>#NUM!</v>
      </c>
      <c r="D34" s="171" t="e">
        <f t="shared" si="3"/>
        <v>#NUM!</v>
      </c>
      <c r="E34" s="171" t="e">
        <f t="shared" si="4"/>
        <v>#NUM!</v>
      </c>
      <c r="F34" s="171" t="e">
        <f t="shared" si="5"/>
        <v>#NUM!</v>
      </c>
      <c r="G34" s="171"/>
      <c r="L34" s="89">
        <v>18</v>
      </c>
      <c r="M34" s="186" t="e">
        <f t="shared" si="6"/>
        <v>#DIV/0!</v>
      </c>
      <c r="N34" s="171" t="e">
        <f t="shared" si="7"/>
        <v>#DIV/0!</v>
      </c>
      <c r="O34" s="171" t="e">
        <f t="shared" si="0"/>
        <v>#DIV/0!</v>
      </c>
      <c r="P34" s="171" t="e">
        <f t="shared" si="8"/>
        <v>#DIV/0!</v>
      </c>
      <c r="Q34" s="171" t="e">
        <f t="shared" si="9"/>
        <v>#DIV/0!</v>
      </c>
      <c r="R34" s="171"/>
    </row>
    <row r="35" spans="1:18" x14ac:dyDescent="0.2">
      <c r="A35" s="89">
        <v>19</v>
      </c>
      <c r="B35" s="186" t="e">
        <f t="shared" si="1"/>
        <v>#NUM!</v>
      </c>
      <c r="C35" s="171" t="e">
        <f t="shared" si="2"/>
        <v>#NUM!</v>
      </c>
      <c r="D35" s="171" t="e">
        <f t="shared" si="3"/>
        <v>#NUM!</v>
      </c>
      <c r="E35" s="171" t="e">
        <f t="shared" si="4"/>
        <v>#NUM!</v>
      </c>
      <c r="F35" s="171" t="e">
        <f t="shared" si="5"/>
        <v>#NUM!</v>
      </c>
      <c r="G35" s="171"/>
      <c r="L35" s="89">
        <v>19</v>
      </c>
      <c r="M35" s="186" t="e">
        <f t="shared" si="6"/>
        <v>#DIV/0!</v>
      </c>
      <c r="N35" s="171" t="e">
        <f t="shared" si="7"/>
        <v>#DIV/0!</v>
      </c>
      <c r="O35" s="171" t="e">
        <f t="shared" si="0"/>
        <v>#DIV/0!</v>
      </c>
      <c r="P35" s="171" t="e">
        <f t="shared" si="8"/>
        <v>#DIV/0!</v>
      </c>
      <c r="Q35" s="171" t="e">
        <f t="shared" si="9"/>
        <v>#DIV/0!</v>
      </c>
      <c r="R35" s="171"/>
    </row>
    <row r="36" spans="1:18" x14ac:dyDescent="0.2">
      <c r="A36" s="89">
        <v>20</v>
      </c>
      <c r="B36" s="186" t="e">
        <f t="shared" si="1"/>
        <v>#NUM!</v>
      </c>
      <c r="C36" s="171" t="e">
        <f t="shared" si="2"/>
        <v>#NUM!</v>
      </c>
      <c r="D36" s="171" t="e">
        <f t="shared" si="3"/>
        <v>#NUM!</v>
      </c>
      <c r="E36" s="171" t="e">
        <f t="shared" si="4"/>
        <v>#NUM!</v>
      </c>
      <c r="F36" s="171" t="e">
        <f t="shared" si="5"/>
        <v>#NUM!</v>
      </c>
      <c r="G36" s="171"/>
      <c r="L36" s="89">
        <v>20</v>
      </c>
      <c r="M36" s="186" t="e">
        <f t="shared" si="6"/>
        <v>#DIV/0!</v>
      </c>
      <c r="N36" s="171" t="e">
        <f t="shared" si="7"/>
        <v>#DIV/0!</v>
      </c>
      <c r="O36" s="171" t="e">
        <f t="shared" si="0"/>
        <v>#DIV/0!</v>
      </c>
      <c r="P36" s="171" t="e">
        <f t="shared" si="8"/>
        <v>#DIV/0!</v>
      </c>
      <c r="Q36" s="171" t="e">
        <f t="shared" si="9"/>
        <v>#DIV/0!</v>
      </c>
      <c r="R36" s="171"/>
    </row>
    <row r="37" spans="1:18" x14ac:dyDescent="0.2">
      <c r="A37" s="89">
        <v>21</v>
      </c>
      <c r="B37" s="186" t="e">
        <f t="shared" si="1"/>
        <v>#NUM!</v>
      </c>
      <c r="C37" s="171" t="e">
        <f t="shared" si="2"/>
        <v>#NUM!</v>
      </c>
      <c r="D37" s="171" t="e">
        <f t="shared" si="3"/>
        <v>#NUM!</v>
      </c>
      <c r="E37" s="171" t="e">
        <f t="shared" si="4"/>
        <v>#NUM!</v>
      </c>
      <c r="F37" s="171" t="e">
        <f t="shared" si="5"/>
        <v>#NUM!</v>
      </c>
      <c r="G37" s="171"/>
      <c r="L37" s="89">
        <v>21</v>
      </c>
      <c r="M37" s="186" t="e">
        <f t="shared" si="6"/>
        <v>#DIV/0!</v>
      </c>
      <c r="N37" s="171" t="e">
        <f t="shared" si="7"/>
        <v>#DIV/0!</v>
      </c>
      <c r="O37" s="171" t="e">
        <f t="shared" si="0"/>
        <v>#DIV/0!</v>
      </c>
      <c r="P37" s="171" t="e">
        <f t="shared" si="8"/>
        <v>#DIV/0!</v>
      </c>
      <c r="Q37" s="171" t="e">
        <f t="shared" si="9"/>
        <v>#DIV/0!</v>
      </c>
      <c r="R37" s="171"/>
    </row>
    <row r="38" spans="1:18" x14ac:dyDescent="0.2">
      <c r="A38" s="89">
        <v>22</v>
      </c>
      <c r="B38" s="186" t="e">
        <f t="shared" si="1"/>
        <v>#NUM!</v>
      </c>
      <c r="C38" s="171" t="e">
        <f t="shared" si="2"/>
        <v>#NUM!</v>
      </c>
      <c r="D38" s="171" t="e">
        <f t="shared" si="3"/>
        <v>#NUM!</v>
      </c>
      <c r="E38" s="171" t="e">
        <f t="shared" si="4"/>
        <v>#NUM!</v>
      </c>
      <c r="F38" s="171" t="e">
        <f t="shared" si="5"/>
        <v>#NUM!</v>
      </c>
      <c r="G38" s="171"/>
      <c r="L38" s="89">
        <v>22</v>
      </c>
      <c r="M38" s="186" t="e">
        <f t="shared" si="6"/>
        <v>#DIV/0!</v>
      </c>
      <c r="N38" s="171" t="e">
        <f t="shared" si="7"/>
        <v>#DIV/0!</v>
      </c>
      <c r="O38" s="171" t="e">
        <f t="shared" si="0"/>
        <v>#DIV/0!</v>
      </c>
      <c r="P38" s="171" t="e">
        <f t="shared" si="8"/>
        <v>#DIV/0!</v>
      </c>
      <c r="Q38" s="171" t="e">
        <f t="shared" si="9"/>
        <v>#DIV/0!</v>
      </c>
      <c r="R38" s="171"/>
    </row>
    <row r="39" spans="1:18" x14ac:dyDescent="0.2">
      <c r="A39" s="89">
        <v>23</v>
      </c>
      <c r="B39" s="186" t="e">
        <f t="shared" si="1"/>
        <v>#NUM!</v>
      </c>
      <c r="C39" s="171" t="e">
        <f t="shared" si="2"/>
        <v>#NUM!</v>
      </c>
      <c r="D39" s="171" t="e">
        <f t="shared" si="3"/>
        <v>#NUM!</v>
      </c>
      <c r="E39" s="171" t="e">
        <f t="shared" si="4"/>
        <v>#NUM!</v>
      </c>
      <c r="F39" s="171" t="e">
        <f t="shared" si="5"/>
        <v>#NUM!</v>
      </c>
      <c r="G39" s="171"/>
      <c r="L39" s="89">
        <v>23</v>
      </c>
      <c r="M39" s="186" t="e">
        <f t="shared" si="6"/>
        <v>#DIV/0!</v>
      </c>
      <c r="N39" s="171" t="e">
        <f t="shared" si="7"/>
        <v>#DIV/0!</v>
      </c>
      <c r="O39" s="171" t="e">
        <f t="shared" si="0"/>
        <v>#DIV/0!</v>
      </c>
      <c r="P39" s="171" t="e">
        <f t="shared" si="8"/>
        <v>#DIV/0!</v>
      </c>
      <c r="Q39" s="171" t="e">
        <f t="shared" si="9"/>
        <v>#DIV/0!</v>
      </c>
      <c r="R39" s="171"/>
    </row>
    <row r="40" spans="1:18" x14ac:dyDescent="0.2">
      <c r="A40" s="89">
        <v>24</v>
      </c>
      <c r="B40" s="186" t="e">
        <f t="shared" si="1"/>
        <v>#NUM!</v>
      </c>
      <c r="C40" s="171" t="e">
        <f t="shared" si="2"/>
        <v>#NUM!</v>
      </c>
      <c r="D40" s="171" t="e">
        <f t="shared" si="3"/>
        <v>#NUM!</v>
      </c>
      <c r="E40" s="171" t="e">
        <f t="shared" si="4"/>
        <v>#NUM!</v>
      </c>
      <c r="F40" s="171" t="e">
        <f t="shared" si="5"/>
        <v>#NUM!</v>
      </c>
      <c r="G40" s="171"/>
      <c r="L40" s="89">
        <v>24</v>
      </c>
      <c r="M40" s="186" t="e">
        <f t="shared" si="6"/>
        <v>#DIV/0!</v>
      </c>
      <c r="N40" s="171" t="e">
        <f t="shared" si="7"/>
        <v>#DIV/0!</v>
      </c>
      <c r="O40" s="171" t="e">
        <f t="shared" si="0"/>
        <v>#DIV/0!</v>
      </c>
      <c r="P40" s="171" t="e">
        <f t="shared" si="8"/>
        <v>#DIV/0!</v>
      </c>
      <c r="Q40" s="171" t="e">
        <f t="shared" si="9"/>
        <v>#DIV/0!</v>
      </c>
      <c r="R40" s="171"/>
    </row>
    <row r="41" spans="1:18" x14ac:dyDescent="0.2">
      <c r="A41" s="89">
        <v>25</v>
      </c>
      <c r="B41" s="186" t="e">
        <f t="shared" si="1"/>
        <v>#NUM!</v>
      </c>
      <c r="C41" s="171" t="e">
        <f t="shared" si="2"/>
        <v>#NUM!</v>
      </c>
      <c r="D41" s="171" t="e">
        <f t="shared" si="3"/>
        <v>#NUM!</v>
      </c>
      <c r="E41" s="171" t="e">
        <f t="shared" si="4"/>
        <v>#NUM!</v>
      </c>
      <c r="F41" s="171" t="e">
        <f t="shared" si="5"/>
        <v>#NUM!</v>
      </c>
      <c r="G41" s="186">
        <f>IF('prijem - EUR-viac-domacnosti'!$I$120=TRUE,IF($C$11&gt;0,0.00025*C40,0),IF('prijem - EUR-viac-domacnosti'!$I$121=TRUE,IF('prijem - EUR-viac-domacnosti'!$F$121&gt;0,0.00025*C40,0),0))</f>
        <v>0</v>
      </c>
      <c r="L41" s="89">
        <v>25</v>
      </c>
      <c r="M41" s="186" t="e">
        <f t="shared" si="6"/>
        <v>#DIV/0!</v>
      </c>
      <c r="N41" s="171" t="e">
        <f t="shared" si="7"/>
        <v>#DIV/0!</v>
      </c>
      <c r="O41" s="171" t="e">
        <f t="shared" si="0"/>
        <v>#DIV/0!</v>
      </c>
      <c r="P41" s="171" t="e">
        <f t="shared" si="8"/>
        <v>#DIV/0!</v>
      </c>
      <c r="Q41" s="171" t="e">
        <f t="shared" si="9"/>
        <v>#DIV/0!</v>
      </c>
      <c r="R41" s="186">
        <f>IF('prijem - EUR-viac-domacnosti'!$I$120=TRUE,IF($C$11&gt;0,0.00025*N40,0),IF('prijem - EUR-viac-domacnosti'!$I$121=TRUE,IF('prijem - EUR-viac-domacnosti'!$F$121&gt;0,0.00025*N40*-1,0),0))</f>
        <v>0</v>
      </c>
    </row>
    <row r="42" spans="1:18" x14ac:dyDescent="0.2">
      <c r="A42" s="89">
        <v>26</v>
      </c>
      <c r="B42" s="186" t="e">
        <f t="shared" si="1"/>
        <v>#NUM!</v>
      </c>
      <c r="C42" s="171" t="e">
        <f t="shared" si="2"/>
        <v>#NUM!</v>
      </c>
      <c r="D42" s="171" t="e">
        <f t="shared" si="3"/>
        <v>#NUM!</v>
      </c>
      <c r="E42" s="171" t="e">
        <f t="shared" si="4"/>
        <v>#NUM!</v>
      </c>
      <c r="F42" s="171" t="e">
        <f t="shared" si="5"/>
        <v>#NUM!</v>
      </c>
      <c r="G42" s="186">
        <f>IF('prijem - EUR-viac-domacnosti'!$I$120=TRUE,IF($C$11&gt;0,0.00025*C41,0),IF('prijem - EUR-viac-domacnosti'!$I$121=TRUE,IF('prijem - EUR-viac-domacnosti'!$F$121&gt;0,0.00025*C41,0),0))</f>
        <v>0</v>
      </c>
      <c r="L42" s="89">
        <v>26</v>
      </c>
      <c r="M42" s="186" t="e">
        <f t="shared" si="6"/>
        <v>#DIV/0!</v>
      </c>
      <c r="N42" s="171" t="e">
        <f t="shared" si="7"/>
        <v>#DIV/0!</v>
      </c>
      <c r="O42" s="171" t="e">
        <f t="shared" si="0"/>
        <v>#DIV/0!</v>
      </c>
      <c r="P42" s="171" t="e">
        <f t="shared" si="8"/>
        <v>#DIV/0!</v>
      </c>
      <c r="Q42" s="171" t="e">
        <f t="shared" si="9"/>
        <v>#DIV/0!</v>
      </c>
      <c r="R42" s="186">
        <f>IF('prijem - EUR-viac-domacnosti'!$I$120=TRUE,IF($C$11&gt;0,0.00025*N41,0),IF('prijem - EUR-viac-domacnosti'!$I$121=TRUE,IF('prijem - EUR-viac-domacnosti'!$F$121&gt;0,0.00025*N41*-1,0),0))</f>
        <v>0</v>
      </c>
    </row>
    <row r="43" spans="1:18" x14ac:dyDescent="0.2">
      <c r="A43" s="89">
        <v>27</v>
      </c>
      <c r="B43" s="186" t="e">
        <f t="shared" si="1"/>
        <v>#NUM!</v>
      </c>
      <c r="C43" s="171" t="e">
        <f t="shared" si="2"/>
        <v>#NUM!</v>
      </c>
      <c r="D43" s="171" t="e">
        <f t="shared" si="3"/>
        <v>#NUM!</v>
      </c>
      <c r="E43" s="171" t="e">
        <f t="shared" si="4"/>
        <v>#NUM!</v>
      </c>
      <c r="F43" s="171" t="e">
        <f t="shared" si="5"/>
        <v>#NUM!</v>
      </c>
      <c r="G43" s="186">
        <f>IF('prijem - EUR-viac-domacnosti'!$I$120=TRUE,IF($C$11&gt;0,0.00025*C42,0),IF('prijem - EUR-viac-domacnosti'!$I$121=TRUE,IF('prijem - EUR-viac-domacnosti'!$F$121&gt;0,0.00025*C42,0),0))</f>
        <v>0</v>
      </c>
      <c r="L43" s="89">
        <v>27</v>
      </c>
      <c r="M43" s="186" t="e">
        <f t="shared" si="6"/>
        <v>#DIV/0!</v>
      </c>
      <c r="N43" s="171" t="e">
        <f t="shared" si="7"/>
        <v>#DIV/0!</v>
      </c>
      <c r="O43" s="171" t="e">
        <f t="shared" si="0"/>
        <v>#DIV/0!</v>
      </c>
      <c r="P43" s="171" t="e">
        <f t="shared" si="8"/>
        <v>#DIV/0!</v>
      </c>
      <c r="Q43" s="171" t="e">
        <f t="shared" si="9"/>
        <v>#DIV/0!</v>
      </c>
      <c r="R43" s="186">
        <f>IF('prijem - EUR-viac-domacnosti'!$I$120=TRUE,IF($C$11&gt;0,0.00025*N42,0),IF('prijem - EUR-viac-domacnosti'!$I$121=TRUE,IF('prijem - EUR-viac-domacnosti'!$F$121&gt;0,0.00025*N42*-1,0),0))</f>
        <v>0</v>
      </c>
    </row>
    <row r="44" spans="1:18" x14ac:dyDescent="0.2">
      <c r="A44" s="89">
        <v>28</v>
      </c>
      <c r="B44" s="186" t="e">
        <f t="shared" si="1"/>
        <v>#NUM!</v>
      </c>
      <c r="C44" s="171" t="e">
        <f t="shared" si="2"/>
        <v>#NUM!</v>
      </c>
      <c r="D44" s="171" t="e">
        <f t="shared" si="3"/>
        <v>#NUM!</v>
      </c>
      <c r="E44" s="171" t="e">
        <f t="shared" si="4"/>
        <v>#NUM!</v>
      </c>
      <c r="F44" s="171" t="e">
        <f t="shared" si="5"/>
        <v>#NUM!</v>
      </c>
      <c r="G44" s="186">
        <f>IF('prijem - EUR-viac-domacnosti'!$I$120=TRUE,IF($C$11&gt;0,0.00025*C43,0),IF('prijem - EUR-viac-domacnosti'!$I$121=TRUE,IF('prijem - EUR-viac-domacnosti'!$F$121&gt;0,0.00025*C43,0),0))</f>
        <v>0</v>
      </c>
      <c r="L44" s="89">
        <v>28</v>
      </c>
      <c r="M44" s="186" t="e">
        <f t="shared" si="6"/>
        <v>#DIV/0!</v>
      </c>
      <c r="N44" s="171" t="e">
        <f t="shared" si="7"/>
        <v>#DIV/0!</v>
      </c>
      <c r="O44" s="171" t="e">
        <f t="shared" si="0"/>
        <v>#DIV/0!</v>
      </c>
      <c r="P44" s="171" t="e">
        <f t="shared" si="8"/>
        <v>#DIV/0!</v>
      </c>
      <c r="Q44" s="171" t="e">
        <f t="shared" si="9"/>
        <v>#DIV/0!</v>
      </c>
      <c r="R44" s="186">
        <f>IF('prijem - EUR-viac-domacnosti'!$I$120=TRUE,IF($C$11&gt;0,0.00025*N43,0),IF('prijem - EUR-viac-domacnosti'!$I$121=TRUE,IF('prijem - EUR-viac-domacnosti'!$F$121&gt;0,0.00025*N43*-1,0),0))</f>
        <v>0</v>
      </c>
    </row>
    <row r="45" spans="1:18" x14ac:dyDescent="0.2">
      <c r="A45" s="89">
        <v>29</v>
      </c>
      <c r="B45" s="186" t="e">
        <f t="shared" si="1"/>
        <v>#NUM!</v>
      </c>
      <c r="C45" s="171" t="e">
        <f t="shared" si="2"/>
        <v>#NUM!</v>
      </c>
      <c r="D45" s="171" t="e">
        <f t="shared" si="3"/>
        <v>#NUM!</v>
      </c>
      <c r="E45" s="171" t="e">
        <f t="shared" si="4"/>
        <v>#NUM!</v>
      </c>
      <c r="F45" s="171" t="e">
        <f t="shared" si="5"/>
        <v>#NUM!</v>
      </c>
      <c r="G45" s="186">
        <f>IF('prijem - EUR-viac-domacnosti'!$I$120=TRUE,IF($C$11&gt;0,0.00025*C44,0),IF('prijem - EUR-viac-domacnosti'!$I$121=TRUE,IF('prijem - EUR-viac-domacnosti'!$F$121&gt;0,0.00025*C44,0),0))</f>
        <v>0</v>
      </c>
      <c r="L45" s="89">
        <v>29</v>
      </c>
      <c r="M45" s="186" t="e">
        <f t="shared" si="6"/>
        <v>#DIV/0!</v>
      </c>
      <c r="N45" s="171" t="e">
        <f t="shared" si="7"/>
        <v>#DIV/0!</v>
      </c>
      <c r="O45" s="171" t="e">
        <f t="shared" si="0"/>
        <v>#DIV/0!</v>
      </c>
      <c r="P45" s="171" t="e">
        <f t="shared" si="8"/>
        <v>#DIV/0!</v>
      </c>
      <c r="Q45" s="171" t="e">
        <f t="shared" si="9"/>
        <v>#DIV/0!</v>
      </c>
      <c r="R45" s="186">
        <f>IF('prijem - EUR-viac-domacnosti'!$I$120=TRUE,IF($C$11&gt;0,0.00025*N44,0),IF('prijem - EUR-viac-domacnosti'!$I$121=TRUE,IF('prijem - EUR-viac-domacnosti'!$F$121&gt;0,0.00025*N44*-1,0),0))</f>
        <v>0</v>
      </c>
    </row>
    <row r="46" spans="1:18" x14ac:dyDescent="0.2">
      <c r="A46" s="89">
        <v>30</v>
      </c>
      <c r="B46" s="186" t="e">
        <f t="shared" si="1"/>
        <v>#NUM!</v>
      </c>
      <c r="C46" s="171" t="e">
        <f t="shared" si="2"/>
        <v>#NUM!</v>
      </c>
      <c r="D46" s="171" t="e">
        <f t="shared" si="3"/>
        <v>#NUM!</v>
      </c>
      <c r="E46" s="171" t="e">
        <f t="shared" si="4"/>
        <v>#NUM!</v>
      </c>
      <c r="F46" s="171" t="e">
        <f t="shared" si="5"/>
        <v>#NUM!</v>
      </c>
      <c r="G46" s="186">
        <f>IF('prijem - EUR-viac-domacnosti'!$I$120=TRUE,IF($C$11&gt;0,0.00025*C45,0),IF('prijem - EUR-viac-domacnosti'!$I$121=TRUE,IF('prijem - EUR-viac-domacnosti'!$F$121&gt;0,0.00025*C45,0),0))</f>
        <v>0</v>
      </c>
      <c r="L46" s="89">
        <v>30</v>
      </c>
      <c r="M46" s="186" t="e">
        <f t="shared" si="6"/>
        <v>#DIV/0!</v>
      </c>
      <c r="N46" s="171" t="e">
        <f t="shared" si="7"/>
        <v>#DIV/0!</v>
      </c>
      <c r="O46" s="171" t="e">
        <f t="shared" si="0"/>
        <v>#DIV/0!</v>
      </c>
      <c r="P46" s="171" t="e">
        <f t="shared" si="8"/>
        <v>#DIV/0!</v>
      </c>
      <c r="Q46" s="171" t="e">
        <f t="shared" si="9"/>
        <v>#DIV/0!</v>
      </c>
      <c r="R46" s="186">
        <f>IF('prijem - EUR-viac-domacnosti'!$I$120=TRUE,IF($C$11&gt;0,0.00025*N45,0),IF('prijem - EUR-viac-domacnosti'!$I$121=TRUE,IF('prijem - EUR-viac-domacnosti'!$F$121&gt;0,0.00025*N45*-1,0),0))</f>
        <v>0</v>
      </c>
    </row>
    <row r="47" spans="1:18" x14ac:dyDescent="0.2">
      <c r="A47" s="89">
        <v>31</v>
      </c>
      <c r="B47" s="186" t="e">
        <f t="shared" si="1"/>
        <v>#NUM!</v>
      </c>
      <c r="C47" s="171" t="e">
        <f t="shared" si="2"/>
        <v>#NUM!</v>
      </c>
      <c r="D47" s="171" t="e">
        <f t="shared" si="3"/>
        <v>#NUM!</v>
      </c>
      <c r="E47" s="171" t="e">
        <f t="shared" si="4"/>
        <v>#NUM!</v>
      </c>
      <c r="F47" s="171" t="e">
        <f t="shared" si="5"/>
        <v>#NUM!</v>
      </c>
      <c r="G47" s="186">
        <f>IF('prijem - EUR-viac-domacnosti'!$I$120=TRUE,IF($C$11&gt;0,0.00025*C46,0),IF('prijem - EUR-viac-domacnosti'!$I$121=TRUE,IF('prijem - EUR-viac-domacnosti'!$F$121&gt;0,0.00025*C46,0),0))</f>
        <v>0</v>
      </c>
      <c r="L47" s="89">
        <v>31</v>
      </c>
      <c r="M47" s="186" t="e">
        <f t="shared" si="6"/>
        <v>#DIV/0!</v>
      </c>
      <c r="N47" s="171" t="e">
        <f t="shared" si="7"/>
        <v>#DIV/0!</v>
      </c>
      <c r="O47" s="171" t="e">
        <f t="shared" si="0"/>
        <v>#DIV/0!</v>
      </c>
      <c r="P47" s="171" t="e">
        <f t="shared" si="8"/>
        <v>#DIV/0!</v>
      </c>
      <c r="Q47" s="171" t="e">
        <f t="shared" si="9"/>
        <v>#DIV/0!</v>
      </c>
      <c r="R47" s="186">
        <f>IF('prijem - EUR-viac-domacnosti'!$I$120=TRUE,IF($C$11&gt;0,0.00025*N46,0),IF('prijem - EUR-viac-domacnosti'!$I$121=TRUE,IF('prijem - EUR-viac-domacnosti'!$F$121&gt;0,0.00025*N46*-1,0),0))</f>
        <v>0</v>
      </c>
    </row>
    <row r="48" spans="1:18" x14ac:dyDescent="0.2">
      <c r="A48" s="89">
        <v>32</v>
      </c>
      <c r="B48" s="186" t="e">
        <f t="shared" si="1"/>
        <v>#NUM!</v>
      </c>
      <c r="C48" s="171" t="e">
        <f t="shared" si="2"/>
        <v>#NUM!</v>
      </c>
      <c r="D48" s="171" t="e">
        <f t="shared" si="3"/>
        <v>#NUM!</v>
      </c>
      <c r="E48" s="171" t="e">
        <f t="shared" si="4"/>
        <v>#NUM!</v>
      </c>
      <c r="F48" s="171" t="e">
        <f t="shared" si="5"/>
        <v>#NUM!</v>
      </c>
      <c r="G48" s="186">
        <f>IF('prijem - EUR-viac-domacnosti'!$I$120=TRUE,IF($C$11&gt;0,0.00025*C47,0),IF('prijem - EUR-viac-domacnosti'!$I$121=TRUE,IF('prijem - EUR-viac-domacnosti'!$F$121&gt;0,0.00025*C47,0),0))</f>
        <v>0</v>
      </c>
      <c r="L48" s="89">
        <v>32</v>
      </c>
      <c r="M48" s="186" t="e">
        <f t="shared" si="6"/>
        <v>#DIV/0!</v>
      </c>
      <c r="N48" s="171" t="e">
        <f t="shared" si="7"/>
        <v>#DIV/0!</v>
      </c>
      <c r="O48" s="171" t="e">
        <f t="shared" si="0"/>
        <v>#DIV/0!</v>
      </c>
      <c r="P48" s="171" t="e">
        <f t="shared" si="8"/>
        <v>#DIV/0!</v>
      </c>
      <c r="Q48" s="171" t="e">
        <f t="shared" si="9"/>
        <v>#DIV/0!</v>
      </c>
      <c r="R48" s="186">
        <f>IF('prijem - EUR-viac-domacnosti'!$I$120=TRUE,IF($C$11&gt;0,0.00025*N47,0),IF('prijem - EUR-viac-domacnosti'!$I$121=TRUE,IF('prijem - EUR-viac-domacnosti'!$F$121&gt;0,0.00025*N47*-1,0),0))</f>
        <v>0</v>
      </c>
    </row>
    <row r="49" spans="1:18" x14ac:dyDescent="0.2">
      <c r="A49" s="89">
        <v>33</v>
      </c>
      <c r="B49" s="186" t="e">
        <f t="shared" si="1"/>
        <v>#NUM!</v>
      </c>
      <c r="C49" s="171" t="e">
        <f t="shared" si="2"/>
        <v>#NUM!</v>
      </c>
      <c r="D49" s="171" t="e">
        <f t="shared" si="3"/>
        <v>#NUM!</v>
      </c>
      <c r="E49" s="171" t="e">
        <f t="shared" si="4"/>
        <v>#NUM!</v>
      </c>
      <c r="F49" s="171" t="e">
        <f t="shared" si="5"/>
        <v>#NUM!</v>
      </c>
      <c r="G49" s="186">
        <f>IF('prijem - EUR-viac-domacnosti'!$I$120=TRUE,IF($C$11&gt;0,0.00025*C48,0),IF('prijem - EUR-viac-domacnosti'!$I$121=TRUE,IF('prijem - EUR-viac-domacnosti'!$F$121&gt;0,0.00025*C48,0),0))</f>
        <v>0</v>
      </c>
      <c r="L49" s="89">
        <v>33</v>
      </c>
      <c r="M49" s="186" t="e">
        <f t="shared" si="6"/>
        <v>#DIV/0!</v>
      </c>
      <c r="N49" s="171" t="e">
        <f t="shared" si="7"/>
        <v>#DIV/0!</v>
      </c>
      <c r="O49" s="171" t="e">
        <f t="shared" si="0"/>
        <v>#DIV/0!</v>
      </c>
      <c r="P49" s="171" t="e">
        <f t="shared" si="8"/>
        <v>#DIV/0!</v>
      </c>
      <c r="Q49" s="171" t="e">
        <f t="shared" si="9"/>
        <v>#DIV/0!</v>
      </c>
      <c r="R49" s="186">
        <f>IF('prijem - EUR-viac-domacnosti'!$I$120=TRUE,IF($C$11&gt;0,0.00025*N48,0),IF('prijem - EUR-viac-domacnosti'!$I$121=TRUE,IF('prijem - EUR-viac-domacnosti'!$F$121&gt;0,0.00025*N48*-1,0),0))</f>
        <v>0</v>
      </c>
    </row>
    <row r="50" spans="1:18" x14ac:dyDescent="0.2">
      <c r="A50" s="89">
        <v>34</v>
      </c>
      <c r="B50" s="186" t="e">
        <f t="shared" si="1"/>
        <v>#NUM!</v>
      </c>
      <c r="C50" s="171" t="e">
        <f t="shared" si="2"/>
        <v>#NUM!</v>
      </c>
      <c r="D50" s="171" t="e">
        <f t="shared" si="3"/>
        <v>#NUM!</v>
      </c>
      <c r="E50" s="171" t="e">
        <f t="shared" si="4"/>
        <v>#NUM!</v>
      </c>
      <c r="F50" s="171" t="e">
        <f t="shared" si="5"/>
        <v>#NUM!</v>
      </c>
      <c r="G50" s="186">
        <f>IF('prijem - EUR-viac-domacnosti'!$I$120=TRUE,IF($C$11&gt;0,0.00025*C49,0),IF('prijem - EUR-viac-domacnosti'!$I$121=TRUE,IF('prijem - EUR-viac-domacnosti'!$F$121&gt;0,0.00025*C49,0),0))</f>
        <v>0</v>
      </c>
      <c r="L50" s="89">
        <v>34</v>
      </c>
      <c r="M50" s="186" t="e">
        <f t="shared" si="6"/>
        <v>#DIV/0!</v>
      </c>
      <c r="N50" s="171" t="e">
        <f t="shared" si="7"/>
        <v>#DIV/0!</v>
      </c>
      <c r="O50" s="171" t="e">
        <f t="shared" si="0"/>
        <v>#DIV/0!</v>
      </c>
      <c r="P50" s="171" t="e">
        <f t="shared" si="8"/>
        <v>#DIV/0!</v>
      </c>
      <c r="Q50" s="171" t="e">
        <f t="shared" si="9"/>
        <v>#DIV/0!</v>
      </c>
      <c r="R50" s="186">
        <f>IF('prijem - EUR-viac-domacnosti'!$I$120=TRUE,IF($C$11&gt;0,0.00025*N49,0),IF('prijem - EUR-viac-domacnosti'!$I$121=TRUE,IF('prijem - EUR-viac-domacnosti'!$F$121&gt;0,0.00025*N49*-1,0),0))</f>
        <v>0</v>
      </c>
    </row>
    <row r="51" spans="1:18" x14ac:dyDescent="0.2">
      <c r="A51" s="89">
        <v>35</v>
      </c>
      <c r="B51" s="186" t="e">
        <f t="shared" si="1"/>
        <v>#NUM!</v>
      </c>
      <c r="C51" s="171" t="e">
        <f t="shared" si="2"/>
        <v>#NUM!</v>
      </c>
      <c r="D51" s="171" t="e">
        <f t="shared" si="3"/>
        <v>#NUM!</v>
      </c>
      <c r="E51" s="171" t="e">
        <f t="shared" si="4"/>
        <v>#NUM!</v>
      </c>
      <c r="F51" s="171" t="e">
        <f t="shared" si="5"/>
        <v>#NUM!</v>
      </c>
      <c r="G51" s="186">
        <f>IF('prijem - EUR-viac-domacnosti'!$I$120=TRUE,IF($C$11&gt;0,0.00025*C50,0),IF('prijem - EUR-viac-domacnosti'!$I$121=TRUE,IF('prijem - EUR-viac-domacnosti'!$F$121&gt;0,0.00025*C50,0),0))</f>
        <v>0</v>
      </c>
      <c r="L51" s="89">
        <v>35</v>
      </c>
      <c r="M51" s="186" t="e">
        <f t="shared" si="6"/>
        <v>#DIV/0!</v>
      </c>
      <c r="N51" s="171" t="e">
        <f t="shared" si="7"/>
        <v>#DIV/0!</v>
      </c>
      <c r="O51" s="171" t="e">
        <f t="shared" si="0"/>
        <v>#DIV/0!</v>
      </c>
      <c r="P51" s="171" t="e">
        <f t="shared" si="8"/>
        <v>#DIV/0!</v>
      </c>
      <c r="Q51" s="171" t="e">
        <f t="shared" si="9"/>
        <v>#DIV/0!</v>
      </c>
      <c r="R51" s="186">
        <f>IF('prijem - EUR-viac-domacnosti'!$I$120=TRUE,IF($C$11&gt;0,0.00025*N50,0),IF('prijem - EUR-viac-domacnosti'!$I$121=TRUE,IF('prijem - EUR-viac-domacnosti'!$F$121&gt;0,0.00025*N50*-1,0),0))</f>
        <v>0</v>
      </c>
    </row>
    <row r="52" spans="1:18" x14ac:dyDescent="0.2">
      <c r="A52" s="89">
        <v>36</v>
      </c>
      <c r="B52" s="186" t="e">
        <f t="shared" si="1"/>
        <v>#NUM!</v>
      </c>
      <c r="C52" s="171" t="e">
        <f t="shared" si="2"/>
        <v>#NUM!</v>
      </c>
      <c r="D52" s="171" t="e">
        <f t="shared" si="3"/>
        <v>#NUM!</v>
      </c>
      <c r="E52" s="171" t="e">
        <f t="shared" si="4"/>
        <v>#NUM!</v>
      </c>
      <c r="F52" s="171" t="e">
        <f t="shared" si="5"/>
        <v>#NUM!</v>
      </c>
      <c r="G52" s="186">
        <f>IF('prijem - EUR-viac-domacnosti'!$I$120=TRUE,IF($C$11&gt;0,0.00025*C51,0),IF('prijem - EUR-viac-domacnosti'!$I$121=TRUE,IF('prijem - EUR-viac-domacnosti'!$F$121&gt;0,0.00025*C51,0),0))</f>
        <v>0</v>
      </c>
      <c r="L52" s="89">
        <v>36</v>
      </c>
      <c r="M52" s="186" t="e">
        <f t="shared" si="6"/>
        <v>#DIV/0!</v>
      </c>
      <c r="N52" s="171" t="e">
        <f t="shared" si="7"/>
        <v>#DIV/0!</v>
      </c>
      <c r="O52" s="171" t="e">
        <f t="shared" si="0"/>
        <v>#DIV/0!</v>
      </c>
      <c r="P52" s="171" t="e">
        <f t="shared" si="8"/>
        <v>#DIV/0!</v>
      </c>
      <c r="Q52" s="171" t="e">
        <f t="shared" si="9"/>
        <v>#DIV/0!</v>
      </c>
      <c r="R52" s="186">
        <f>IF('prijem - EUR-viac-domacnosti'!$I$120=TRUE,IF($C$11&gt;0,0.00025*N51,0),IF('prijem - EUR-viac-domacnosti'!$I$121=TRUE,IF('prijem - EUR-viac-domacnosti'!$F$121&gt;0,0.00025*N51*-1,0),0))</f>
        <v>0</v>
      </c>
    </row>
    <row r="53" spans="1:18" x14ac:dyDescent="0.2">
      <c r="A53" s="89">
        <v>37</v>
      </c>
      <c r="B53" s="186" t="e">
        <f t="shared" si="1"/>
        <v>#NUM!</v>
      </c>
      <c r="C53" s="171" t="e">
        <f t="shared" si="2"/>
        <v>#NUM!</v>
      </c>
      <c r="D53" s="171" t="e">
        <f t="shared" si="3"/>
        <v>#NUM!</v>
      </c>
      <c r="E53" s="171" t="e">
        <f t="shared" si="4"/>
        <v>#NUM!</v>
      </c>
      <c r="F53" s="171" t="e">
        <f t="shared" si="5"/>
        <v>#NUM!</v>
      </c>
      <c r="G53" s="186">
        <f>IF('prijem - EUR-viac-domacnosti'!$I$120=TRUE,IF($C$11&gt;0,0.00025*C52,0),IF('prijem - EUR-viac-domacnosti'!$I$121=TRUE,IF('prijem - EUR-viac-domacnosti'!$F$121&gt;0,0.00025*C52,0),0))</f>
        <v>0</v>
      </c>
      <c r="L53" s="89">
        <v>37</v>
      </c>
      <c r="M53" s="186" t="e">
        <f t="shared" si="6"/>
        <v>#DIV/0!</v>
      </c>
      <c r="N53" s="171" t="e">
        <f t="shared" si="7"/>
        <v>#DIV/0!</v>
      </c>
      <c r="O53" s="171" t="e">
        <f t="shared" si="0"/>
        <v>#DIV/0!</v>
      </c>
      <c r="P53" s="171" t="e">
        <f t="shared" si="8"/>
        <v>#DIV/0!</v>
      </c>
      <c r="Q53" s="171" t="e">
        <f t="shared" si="9"/>
        <v>#DIV/0!</v>
      </c>
      <c r="R53" s="186">
        <f>IF('prijem - EUR-viac-domacnosti'!$I$120=TRUE,IF($C$11&gt;0,0.00025*N52,0),IF('prijem - EUR-viac-domacnosti'!$I$121=TRUE,IF('prijem - EUR-viac-domacnosti'!$F$121&gt;0,0.00025*N52*-1,0),0))</f>
        <v>0</v>
      </c>
    </row>
    <row r="54" spans="1:18" x14ac:dyDescent="0.2">
      <c r="A54" s="89">
        <v>38</v>
      </c>
      <c r="B54" s="186" t="e">
        <f t="shared" si="1"/>
        <v>#NUM!</v>
      </c>
      <c r="C54" s="171" t="e">
        <f t="shared" si="2"/>
        <v>#NUM!</v>
      </c>
      <c r="D54" s="171" t="e">
        <f t="shared" si="3"/>
        <v>#NUM!</v>
      </c>
      <c r="E54" s="171" t="e">
        <f t="shared" si="4"/>
        <v>#NUM!</v>
      </c>
      <c r="F54" s="171" t="e">
        <f t="shared" si="5"/>
        <v>#NUM!</v>
      </c>
      <c r="G54" s="186">
        <f>IF('prijem - EUR-viac-domacnosti'!$I$120=TRUE,IF($C$11&gt;0,0.00025*C53,0),IF('prijem - EUR-viac-domacnosti'!$I$121=TRUE,IF('prijem - EUR-viac-domacnosti'!$F$121&gt;0,0.00025*C53,0),0))</f>
        <v>0</v>
      </c>
      <c r="L54" s="89">
        <v>38</v>
      </c>
      <c r="M54" s="186" t="e">
        <f t="shared" si="6"/>
        <v>#DIV/0!</v>
      </c>
      <c r="N54" s="171" t="e">
        <f t="shared" si="7"/>
        <v>#DIV/0!</v>
      </c>
      <c r="O54" s="171" t="e">
        <f t="shared" si="0"/>
        <v>#DIV/0!</v>
      </c>
      <c r="P54" s="171" t="e">
        <f t="shared" si="8"/>
        <v>#DIV/0!</v>
      </c>
      <c r="Q54" s="171" t="e">
        <f t="shared" si="9"/>
        <v>#DIV/0!</v>
      </c>
      <c r="R54" s="186">
        <f>IF('prijem - EUR-viac-domacnosti'!$I$120=TRUE,IF($C$11&gt;0,0.00025*N53,0),IF('prijem - EUR-viac-domacnosti'!$I$121=TRUE,IF('prijem - EUR-viac-domacnosti'!$F$121&gt;0,0.00025*N53*-1,0),0))</f>
        <v>0</v>
      </c>
    </row>
    <row r="55" spans="1:18" x14ac:dyDescent="0.2">
      <c r="A55" s="89">
        <v>39</v>
      </c>
      <c r="B55" s="186" t="e">
        <f t="shared" si="1"/>
        <v>#NUM!</v>
      </c>
      <c r="C55" s="171" t="e">
        <f t="shared" si="2"/>
        <v>#NUM!</v>
      </c>
      <c r="D55" s="171" t="e">
        <f t="shared" si="3"/>
        <v>#NUM!</v>
      </c>
      <c r="E55" s="171" t="e">
        <f t="shared" si="4"/>
        <v>#NUM!</v>
      </c>
      <c r="F55" s="171" t="e">
        <f t="shared" si="5"/>
        <v>#NUM!</v>
      </c>
      <c r="G55" s="186">
        <f>IF('prijem - EUR-viac-domacnosti'!$I$120=TRUE,IF($C$11&gt;0,0.00025*C54,0),IF('prijem - EUR-viac-domacnosti'!$I$121=TRUE,IF('prijem - EUR-viac-domacnosti'!$F$121&gt;0,0.00025*C54,0),0))</f>
        <v>0</v>
      </c>
      <c r="L55" s="89">
        <v>39</v>
      </c>
      <c r="M55" s="186" t="e">
        <f t="shared" si="6"/>
        <v>#DIV/0!</v>
      </c>
      <c r="N55" s="171" t="e">
        <f t="shared" si="7"/>
        <v>#DIV/0!</v>
      </c>
      <c r="O55" s="171" t="e">
        <f t="shared" si="0"/>
        <v>#DIV/0!</v>
      </c>
      <c r="P55" s="171" t="e">
        <f t="shared" si="8"/>
        <v>#DIV/0!</v>
      </c>
      <c r="Q55" s="171" t="e">
        <f t="shared" si="9"/>
        <v>#DIV/0!</v>
      </c>
      <c r="R55" s="186">
        <f>IF('prijem - EUR-viac-domacnosti'!$I$120=TRUE,IF($C$11&gt;0,0.00025*N54,0),IF('prijem - EUR-viac-domacnosti'!$I$121=TRUE,IF('prijem - EUR-viac-domacnosti'!$F$121&gt;0,0.00025*N54*-1,0),0))</f>
        <v>0</v>
      </c>
    </row>
    <row r="56" spans="1:18" x14ac:dyDescent="0.2">
      <c r="A56" s="89">
        <v>40</v>
      </c>
      <c r="B56" s="186" t="e">
        <f t="shared" si="1"/>
        <v>#NUM!</v>
      </c>
      <c r="C56" s="171" t="e">
        <f t="shared" si="2"/>
        <v>#NUM!</v>
      </c>
      <c r="D56" s="171" t="e">
        <f t="shared" si="3"/>
        <v>#NUM!</v>
      </c>
      <c r="E56" s="171" t="e">
        <f t="shared" si="4"/>
        <v>#NUM!</v>
      </c>
      <c r="F56" s="171" t="e">
        <f t="shared" si="5"/>
        <v>#NUM!</v>
      </c>
      <c r="G56" s="186">
        <f>IF('prijem - EUR-viac-domacnosti'!$I$120=TRUE,IF($C$11&gt;0,0.00025*C55,0),IF('prijem - EUR-viac-domacnosti'!$I$121=TRUE,IF('prijem - EUR-viac-domacnosti'!$F$121&gt;0,0.00025*C55,0),0))</f>
        <v>0</v>
      </c>
      <c r="L56" s="89">
        <v>40</v>
      </c>
      <c r="M56" s="186" t="e">
        <f t="shared" si="6"/>
        <v>#DIV/0!</v>
      </c>
      <c r="N56" s="171" t="e">
        <f t="shared" si="7"/>
        <v>#DIV/0!</v>
      </c>
      <c r="O56" s="171" t="e">
        <f t="shared" si="0"/>
        <v>#DIV/0!</v>
      </c>
      <c r="P56" s="171" t="e">
        <f t="shared" si="8"/>
        <v>#DIV/0!</v>
      </c>
      <c r="Q56" s="171" t="e">
        <f t="shared" si="9"/>
        <v>#DIV/0!</v>
      </c>
      <c r="R56" s="186">
        <f>IF('prijem - EUR-viac-domacnosti'!$I$120=TRUE,IF($C$11&gt;0,0.00025*N55,0),IF('prijem - EUR-viac-domacnosti'!$I$121=TRUE,IF('prijem - EUR-viac-domacnosti'!$F$121&gt;0,0.00025*N55*-1,0),0))</f>
        <v>0</v>
      </c>
    </row>
    <row r="57" spans="1:18" x14ac:dyDescent="0.2">
      <c r="A57" s="89">
        <v>41</v>
      </c>
      <c r="B57" s="186" t="e">
        <f t="shared" si="1"/>
        <v>#NUM!</v>
      </c>
      <c r="C57" s="171" t="e">
        <f t="shared" si="2"/>
        <v>#NUM!</v>
      </c>
      <c r="D57" s="171" t="e">
        <f t="shared" si="3"/>
        <v>#NUM!</v>
      </c>
      <c r="E57" s="171" t="e">
        <f t="shared" si="4"/>
        <v>#NUM!</v>
      </c>
      <c r="F57" s="171" t="e">
        <f t="shared" si="5"/>
        <v>#NUM!</v>
      </c>
      <c r="G57" s="186">
        <f>IF('prijem - EUR-viac-domacnosti'!$I$120=TRUE,IF($C$11&gt;0,0.00025*C56,0),IF('prijem - EUR-viac-domacnosti'!$I$121=TRUE,IF('prijem - EUR-viac-domacnosti'!$F$121&gt;0,0.00025*C56,0),0))</f>
        <v>0</v>
      </c>
      <c r="L57" s="89">
        <v>41</v>
      </c>
      <c r="M57" s="186" t="e">
        <f t="shared" si="6"/>
        <v>#DIV/0!</v>
      </c>
      <c r="N57" s="171" t="e">
        <f t="shared" si="7"/>
        <v>#DIV/0!</v>
      </c>
      <c r="O57" s="171" t="e">
        <f t="shared" si="0"/>
        <v>#DIV/0!</v>
      </c>
      <c r="P57" s="171" t="e">
        <f t="shared" si="8"/>
        <v>#DIV/0!</v>
      </c>
      <c r="Q57" s="171" t="e">
        <f t="shared" si="9"/>
        <v>#DIV/0!</v>
      </c>
      <c r="R57" s="186">
        <f>IF('prijem - EUR-viac-domacnosti'!$I$120=TRUE,IF($C$11&gt;0,0.00025*N56,0),IF('prijem - EUR-viac-domacnosti'!$I$121=TRUE,IF('prijem - EUR-viac-domacnosti'!$F$121&gt;0,0.00025*N56*-1,0),0))</f>
        <v>0</v>
      </c>
    </row>
    <row r="58" spans="1:18" x14ac:dyDescent="0.2">
      <c r="A58" s="89">
        <v>42</v>
      </c>
      <c r="B58" s="186" t="e">
        <f t="shared" si="1"/>
        <v>#NUM!</v>
      </c>
      <c r="C58" s="171" t="e">
        <f t="shared" si="2"/>
        <v>#NUM!</v>
      </c>
      <c r="D58" s="171" t="e">
        <f t="shared" si="3"/>
        <v>#NUM!</v>
      </c>
      <c r="E58" s="171" t="e">
        <f t="shared" si="4"/>
        <v>#NUM!</v>
      </c>
      <c r="F58" s="171" t="e">
        <f t="shared" si="5"/>
        <v>#NUM!</v>
      </c>
      <c r="G58" s="186">
        <f>IF('prijem - EUR-viac-domacnosti'!$I$120=TRUE,IF($C$11&gt;0,0.00025*C57,0),IF('prijem - EUR-viac-domacnosti'!$I$121=TRUE,IF('prijem - EUR-viac-domacnosti'!$F$121&gt;0,0.00025*C57,0),0))</f>
        <v>0</v>
      </c>
      <c r="L58" s="89">
        <v>42</v>
      </c>
      <c r="M58" s="186" t="e">
        <f t="shared" si="6"/>
        <v>#DIV/0!</v>
      </c>
      <c r="N58" s="171" t="e">
        <f t="shared" si="7"/>
        <v>#DIV/0!</v>
      </c>
      <c r="O58" s="171" t="e">
        <f t="shared" si="0"/>
        <v>#DIV/0!</v>
      </c>
      <c r="P58" s="171" t="e">
        <f t="shared" si="8"/>
        <v>#DIV/0!</v>
      </c>
      <c r="Q58" s="171" t="e">
        <f t="shared" si="9"/>
        <v>#DIV/0!</v>
      </c>
      <c r="R58" s="186">
        <f>IF('prijem - EUR-viac-domacnosti'!$I$120=TRUE,IF($C$11&gt;0,0.00025*N57,0),IF('prijem - EUR-viac-domacnosti'!$I$121=TRUE,IF('prijem - EUR-viac-domacnosti'!$F$121&gt;0,0.00025*N57*-1,0),0))</f>
        <v>0</v>
      </c>
    </row>
    <row r="59" spans="1:18" x14ac:dyDescent="0.2">
      <c r="A59" s="89">
        <v>43</v>
      </c>
      <c r="B59" s="186" t="e">
        <f t="shared" si="1"/>
        <v>#NUM!</v>
      </c>
      <c r="C59" s="171" t="e">
        <f t="shared" si="2"/>
        <v>#NUM!</v>
      </c>
      <c r="D59" s="171" t="e">
        <f t="shared" si="3"/>
        <v>#NUM!</v>
      </c>
      <c r="E59" s="171" t="e">
        <f t="shared" si="4"/>
        <v>#NUM!</v>
      </c>
      <c r="F59" s="171" t="e">
        <f t="shared" si="5"/>
        <v>#NUM!</v>
      </c>
      <c r="G59" s="186">
        <f>IF('prijem - EUR-viac-domacnosti'!$I$120=TRUE,IF($C$11&gt;0,0.00025*C58,0),IF('prijem - EUR-viac-domacnosti'!$I$121=TRUE,IF('prijem - EUR-viac-domacnosti'!$F$121&gt;0,0.00025*C58,0),0))</f>
        <v>0</v>
      </c>
      <c r="L59" s="89">
        <v>43</v>
      </c>
      <c r="M59" s="186" t="e">
        <f t="shared" si="6"/>
        <v>#DIV/0!</v>
      </c>
      <c r="N59" s="171" t="e">
        <f t="shared" si="7"/>
        <v>#DIV/0!</v>
      </c>
      <c r="O59" s="171" t="e">
        <f t="shared" si="0"/>
        <v>#DIV/0!</v>
      </c>
      <c r="P59" s="171" t="e">
        <f t="shared" si="8"/>
        <v>#DIV/0!</v>
      </c>
      <c r="Q59" s="171" t="e">
        <f t="shared" si="9"/>
        <v>#DIV/0!</v>
      </c>
      <c r="R59" s="186">
        <f>IF('prijem - EUR-viac-domacnosti'!$I$120=TRUE,IF($C$11&gt;0,0.00025*N58,0),IF('prijem - EUR-viac-domacnosti'!$I$121=TRUE,IF('prijem - EUR-viac-domacnosti'!$F$121&gt;0,0.00025*N58*-1,0),0))</f>
        <v>0</v>
      </c>
    </row>
    <row r="60" spans="1:18" x14ac:dyDescent="0.2">
      <c r="A60" s="89">
        <v>44</v>
      </c>
      <c r="B60" s="186" t="e">
        <f t="shared" si="1"/>
        <v>#NUM!</v>
      </c>
      <c r="C60" s="171" t="e">
        <f t="shared" si="2"/>
        <v>#NUM!</v>
      </c>
      <c r="D60" s="171" t="e">
        <f t="shared" si="3"/>
        <v>#NUM!</v>
      </c>
      <c r="E60" s="171" t="e">
        <f t="shared" si="4"/>
        <v>#NUM!</v>
      </c>
      <c r="F60" s="171" t="e">
        <f t="shared" si="5"/>
        <v>#NUM!</v>
      </c>
      <c r="G60" s="186">
        <f>IF('prijem - EUR-viac-domacnosti'!$I$120=TRUE,IF($C$11&gt;0,0.00025*C59,0),IF('prijem - EUR-viac-domacnosti'!$I$121=TRUE,IF('prijem - EUR-viac-domacnosti'!$F$121&gt;0,0.00025*C59,0),0))</f>
        <v>0</v>
      </c>
      <c r="L60" s="89">
        <v>44</v>
      </c>
      <c r="M60" s="186" t="e">
        <f t="shared" si="6"/>
        <v>#DIV/0!</v>
      </c>
      <c r="N60" s="171" t="e">
        <f t="shared" si="7"/>
        <v>#DIV/0!</v>
      </c>
      <c r="O60" s="171" t="e">
        <f t="shared" si="0"/>
        <v>#DIV/0!</v>
      </c>
      <c r="P60" s="171" t="e">
        <f t="shared" si="8"/>
        <v>#DIV/0!</v>
      </c>
      <c r="Q60" s="171" t="e">
        <f t="shared" si="9"/>
        <v>#DIV/0!</v>
      </c>
      <c r="R60" s="186">
        <f>IF('prijem - EUR-viac-domacnosti'!$I$120=TRUE,IF($C$11&gt;0,0.00025*N59,0),IF('prijem - EUR-viac-domacnosti'!$I$121=TRUE,IF('prijem - EUR-viac-domacnosti'!$F$121&gt;0,0.00025*N59*-1,0),0))</f>
        <v>0</v>
      </c>
    </row>
    <row r="61" spans="1:18" x14ac:dyDescent="0.2">
      <c r="A61" s="89">
        <v>45</v>
      </c>
      <c r="B61" s="186" t="e">
        <f t="shared" si="1"/>
        <v>#NUM!</v>
      </c>
      <c r="C61" s="171" t="e">
        <f t="shared" si="2"/>
        <v>#NUM!</v>
      </c>
      <c r="D61" s="171" t="e">
        <f t="shared" si="3"/>
        <v>#NUM!</v>
      </c>
      <c r="E61" s="171" t="e">
        <f t="shared" si="4"/>
        <v>#NUM!</v>
      </c>
      <c r="F61" s="171" t="e">
        <f t="shared" si="5"/>
        <v>#NUM!</v>
      </c>
      <c r="G61" s="186">
        <f>IF('prijem - EUR-viac-domacnosti'!$I$120=TRUE,IF($C$11&gt;0,0.00025*C60,0),IF('prijem - EUR-viac-domacnosti'!$I$121=TRUE,IF('prijem - EUR-viac-domacnosti'!$F$121&gt;0,0.00025*C60,0),0))</f>
        <v>0</v>
      </c>
      <c r="L61" s="89">
        <v>45</v>
      </c>
      <c r="M61" s="186" t="e">
        <f t="shared" si="6"/>
        <v>#DIV/0!</v>
      </c>
      <c r="N61" s="171" t="e">
        <f t="shared" si="7"/>
        <v>#DIV/0!</v>
      </c>
      <c r="O61" s="171" t="e">
        <f t="shared" si="0"/>
        <v>#DIV/0!</v>
      </c>
      <c r="P61" s="171" t="e">
        <f t="shared" si="8"/>
        <v>#DIV/0!</v>
      </c>
      <c r="Q61" s="171" t="e">
        <f t="shared" si="9"/>
        <v>#DIV/0!</v>
      </c>
      <c r="R61" s="186">
        <f>IF('prijem - EUR-viac-domacnosti'!$I$120=TRUE,IF($C$11&gt;0,0.00025*N60,0),IF('prijem - EUR-viac-domacnosti'!$I$121=TRUE,IF('prijem - EUR-viac-domacnosti'!$F$121&gt;0,0.00025*N60*-1,0),0))</f>
        <v>0</v>
      </c>
    </row>
    <row r="62" spans="1:18" x14ac:dyDescent="0.2">
      <c r="A62" s="89">
        <v>46</v>
      </c>
      <c r="B62" s="186" t="e">
        <f t="shared" si="1"/>
        <v>#NUM!</v>
      </c>
      <c r="C62" s="171" t="e">
        <f t="shared" si="2"/>
        <v>#NUM!</v>
      </c>
      <c r="D62" s="171" t="e">
        <f t="shared" si="3"/>
        <v>#NUM!</v>
      </c>
      <c r="E62" s="171" t="e">
        <f t="shared" si="4"/>
        <v>#NUM!</v>
      </c>
      <c r="F62" s="171" t="e">
        <f t="shared" si="5"/>
        <v>#NUM!</v>
      </c>
      <c r="G62" s="186">
        <f>IF('prijem - EUR-viac-domacnosti'!$I$120=TRUE,IF($C$11&gt;0,0.00025*C61,0),IF('prijem - EUR-viac-domacnosti'!$I$121=TRUE,IF('prijem - EUR-viac-domacnosti'!$F$121&gt;0,0.00025*C61,0),0))</f>
        <v>0</v>
      </c>
      <c r="L62" s="89">
        <v>46</v>
      </c>
      <c r="M62" s="186" t="e">
        <f t="shared" si="6"/>
        <v>#DIV/0!</v>
      </c>
      <c r="N62" s="171" t="e">
        <f t="shared" si="7"/>
        <v>#DIV/0!</v>
      </c>
      <c r="O62" s="171" t="e">
        <f t="shared" si="0"/>
        <v>#DIV/0!</v>
      </c>
      <c r="P62" s="171" t="e">
        <f t="shared" si="8"/>
        <v>#DIV/0!</v>
      </c>
      <c r="Q62" s="171" t="e">
        <f t="shared" si="9"/>
        <v>#DIV/0!</v>
      </c>
      <c r="R62" s="186">
        <f>IF('prijem - EUR-viac-domacnosti'!$I$120=TRUE,IF($C$11&gt;0,0.00025*N61,0),IF('prijem - EUR-viac-domacnosti'!$I$121=TRUE,IF('prijem - EUR-viac-domacnosti'!$F$121&gt;0,0.00025*N61*-1,0),0))</f>
        <v>0</v>
      </c>
    </row>
    <row r="63" spans="1:18" x14ac:dyDescent="0.2">
      <c r="A63" s="89">
        <v>47</v>
      </c>
      <c r="B63" s="186" t="e">
        <f t="shared" si="1"/>
        <v>#NUM!</v>
      </c>
      <c r="C63" s="171" t="e">
        <f t="shared" si="2"/>
        <v>#NUM!</v>
      </c>
      <c r="D63" s="171" t="e">
        <f t="shared" si="3"/>
        <v>#NUM!</v>
      </c>
      <c r="E63" s="171" t="e">
        <f t="shared" si="4"/>
        <v>#NUM!</v>
      </c>
      <c r="F63" s="171" t="e">
        <f t="shared" si="5"/>
        <v>#NUM!</v>
      </c>
      <c r="G63" s="186">
        <f>IF('prijem - EUR-viac-domacnosti'!$I$120=TRUE,IF($C$11&gt;0,0.00025*C62,0),IF('prijem - EUR-viac-domacnosti'!$I$121=TRUE,IF('prijem - EUR-viac-domacnosti'!$F$121&gt;0,0.00025*C62,0),0))</f>
        <v>0</v>
      </c>
      <c r="L63" s="89">
        <v>47</v>
      </c>
      <c r="M63" s="186" t="e">
        <f t="shared" si="6"/>
        <v>#DIV/0!</v>
      </c>
      <c r="N63" s="171" t="e">
        <f t="shared" si="7"/>
        <v>#DIV/0!</v>
      </c>
      <c r="O63" s="171" t="e">
        <f t="shared" si="0"/>
        <v>#DIV/0!</v>
      </c>
      <c r="P63" s="171" t="e">
        <f t="shared" si="8"/>
        <v>#DIV/0!</v>
      </c>
      <c r="Q63" s="171" t="e">
        <f t="shared" si="9"/>
        <v>#DIV/0!</v>
      </c>
      <c r="R63" s="186">
        <f>IF('prijem - EUR-viac-domacnosti'!$I$120=TRUE,IF($C$11&gt;0,0.00025*N62,0),IF('prijem - EUR-viac-domacnosti'!$I$121=TRUE,IF('prijem - EUR-viac-domacnosti'!$F$121&gt;0,0.00025*N62*-1,0),0))</f>
        <v>0</v>
      </c>
    </row>
    <row r="64" spans="1:18" x14ac:dyDescent="0.2">
      <c r="A64" s="89">
        <v>48</v>
      </c>
      <c r="B64" s="186" t="e">
        <f t="shared" si="1"/>
        <v>#NUM!</v>
      </c>
      <c r="C64" s="171" t="e">
        <f t="shared" si="2"/>
        <v>#NUM!</v>
      </c>
      <c r="D64" s="171" t="e">
        <f t="shared" si="3"/>
        <v>#NUM!</v>
      </c>
      <c r="E64" s="171" t="e">
        <f t="shared" si="4"/>
        <v>#NUM!</v>
      </c>
      <c r="F64" s="171" t="e">
        <f t="shared" si="5"/>
        <v>#NUM!</v>
      </c>
      <c r="G64" s="186">
        <f>IF('prijem - EUR-viac-domacnosti'!$I$120=TRUE,IF($C$11&gt;0,0.00025*C63,0),IF('prijem - EUR-viac-domacnosti'!$I$121=TRUE,IF('prijem - EUR-viac-domacnosti'!$F$121&gt;0,0.00025*C63,0),0))</f>
        <v>0</v>
      </c>
      <c r="L64" s="89">
        <v>48</v>
      </c>
      <c r="M64" s="186" t="e">
        <f t="shared" si="6"/>
        <v>#DIV/0!</v>
      </c>
      <c r="N64" s="171" t="e">
        <f t="shared" si="7"/>
        <v>#DIV/0!</v>
      </c>
      <c r="O64" s="171" t="e">
        <f t="shared" si="0"/>
        <v>#DIV/0!</v>
      </c>
      <c r="P64" s="171" t="e">
        <f t="shared" si="8"/>
        <v>#DIV/0!</v>
      </c>
      <c r="Q64" s="171" t="e">
        <f t="shared" si="9"/>
        <v>#DIV/0!</v>
      </c>
      <c r="R64" s="186">
        <f>IF('prijem - EUR-viac-domacnosti'!$I$120=TRUE,IF($C$11&gt;0,0.00025*N63,0),IF('prijem - EUR-viac-domacnosti'!$I$121=TRUE,IF('prijem - EUR-viac-domacnosti'!$F$121&gt;0,0.00025*N63*-1,0),0))</f>
        <v>0</v>
      </c>
    </row>
    <row r="65" spans="1:18" x14ac:dyDescent="0.2">
      <c r="A65" s="89">
        <v>49</v>
      </c>
      <c r="B65" s="186" t="e">
        <f t="shared" si="1"/>
        <v>#NUM!</v>
      </c>
      <c r="C65" s="171" t="e">
        <f t="shared" si="2"/>
        <v>#NUM!</v>
      </c>
      <c r="D65" s="171" t="e">
        <f t="shared" si="3"/>
        <v>#NUM!</v>
      </c>
      <c r="E65" s="171" t="e">
        <f t="shared" si="4"/>
        <v>#NUM!</v>
      </c>
      <c r="F65" s="171" t="e">
        <f t="shared" si="5"/>
        <v>#NUM!</v>
      </c>
      <c r="G65" s="186">
        <f>IF('prijem - EUR-viac-domacnosti'!$I$120=TRUE,IF($C$11&gt;0,0.00025*C64,0),IF('prijem - EUR-viac-domacnosti'!$I$121=TRUE,IF('prijem - EUR-viac-domacnosti'!$F$121&gt;0,0.00025*C64,0),0))</f>
        <v>0</v>
      </c>
      <c r="L65" s="89">
        <v>49</v>
      </c>
      <c r="M65" s="186" t="e">
        <f t="shared" si="6"/>
        <v>#DIV/0!</v>
      </c>
      <c r="N65" s="171" t="e">
        <f t="shared" si="7"/>
        <v>#DIV/0!</v>
      </c>
      <c r="O65" s="171" t="e">
        <f t="shared" si="0"/>
        <v>#DIV/0!</v>
      </c>
      <c r="P65" s="171" t="e">
        <f t="shared" si="8"/>
        <v>#DIV/0!</v>
      </c>
      <c r="Q65" s="171" t="e">
        <f t="shared" si="9"/>
        <v>#DIV/0!</v>
      </c>
      <c r="R65" s="186">
        <f>IF('prijem - EUR-viac-domacnosti'!$I$120=TRUE,IF($C$11&gt;0,0.00025*N64,0),IF('prijem - EUR-viac-domacnosti'!$I$121=TRUE,IF('prijem - EUR-viac-domacnosti'!$F$121&gt;0,0.00025*N64*-1,0),0))</f>
        <v>0</v>
      </c>
    </row>
    <row r="66" spans="1:18" x14ac:dyDescent="0.2">
      <c r="A66" s="89">
        <v>50</v>
      </c>
      <c r="B66" s="186" t="e">
        <f t="shared" si="1"/>
        <v>#NUM!</v>
      </c>
      <c r="C66" s="171" t="e">
        <f t="shared" si="2"/>
        <v>#NUM!</v>
      </c>
      <c r="D66" s="171" t="e">
        <f t="shared" si="3"/>
        <v>#NUM!</v>
      </c>
      <c r="E66" s="171" t="e">
        <f t="shared" si="4"/>
        <v>#NUM!</v>
      </c>
      <c r="F66" s="171" t="e">
        <f t="shared" si="5"/>
        <v>#NUM!</v>
      </c>
      <c r="G66" s="186">
        <f>IF('prijem - EUR-viac-domacnosti'!$I$120=TRUE,IF($C$11&gt;0,0.00025*C65,0),IF('prijem - EUR-viac-domacnosti'!$I$121=TRUE,IF('prijem - EUR-viac-domacnosti'!$F$121&gt;0,0.00025*C65,0),0))</f>
        <v>0</v>
      </c>
      <c r="L66" s="89">
        <v>50</v>
      </c>
      <c r="M66" s="186" t="e">
        <f t="shared" si="6"/>
        <v>#DIV/0!</v>
      </c>
      <c r="N66" s="171" t="e">
        <f t="shared" si="7"/>
        <v>#DIV/0!</v>
      </c>
      <c r="O66" s="171" t="e">
        <f t="shared" si="0"/>
        <v>#DIV/0!</v>
      </c>
      <c r="P66" s="171" t="e">
        <f t="shared" si="8"/>
        <v>#DIV/0!</v>
      </c>
      <c r="Q66" s="171" t="e">
        <f t="shared" si="9"/>
        <v>#DIV/0!</v>
      </c>
      <c r="R66" s="186">
        <f>IF('prijem - EUR-viac-domacnosti'!$I$120=TRUE,IF($C$11&gt;0,0.00025*N65,0),IF('prijem - EUR-viac-domacnosti'!$I$121=TRUE,IF('prijem - EUR-viac-domacnosti'!$F$121&gt;0,0.00025*N65*-1,0),0))</f>
        <v>0</v>
      </c>
    </row>
    <row r="67" spans="1:18" x14ac:dyDescent="0.2">
      <c r="A67" s="89">
        <v>51</v>
      </c>
      <c r="B67" s="186" t="e">
        <f t="shared" si="1"/>
        <v>#NUM!</v>
      </c>
      <c r="C67" s="171" t="e">
        <f t="shared" si="2"/>
        <v>#NUM!</v>
      </c>
      <c r="D67" s="171" t="e">
        <f t="shared" si="3"/>
        <v>#NUM!</v>
      </c>
      <c r="E67" s="171" t="e">
        <f t="shared" si="4"/>
        <v>#NUM!</v>
      </c>
      <c r="F67" s="171" t="e">
        <f t="shared" si="5"/>
        <v>#NUM!</v>
      </c>
      <c r="G67" s="186">
        <f>IF('prijem - EUR-viac-domacnosti'!$I$120=TRUE,IF($C$11&gt;0,0.00025*C66,0),IF('prijem - EUR-viac-domacnosti'!$I$121=TRUE,IF('prijem - EUR-viac-domacnosti'!$F$121&gt;0,0.00025*C66,0),0))</f>
        <v>0</v>
      </c>
      <c r="L67" s="89">
        <v>51</v>
      </c>
      <c r="M67" s="186" t="e">
        <f t="shared" si="6"/>
        <v>#DIV/0!</v>
      </c>
      <c r="N67" s="171" t="e">
        <f t="shared" si="7"/>
        <v>#DIV/0!</v>
      </c>
      <c r="O67" s="171" t="e">
        <f t="shared" si="0"/>
        <v>#DIV/0!</v>
      </c>
      <c r="P67" s="171" t="e">
        <f t="shared" si="8"/>
        <v>#DIV/0!</v>
      </c>
      <c r="Q67" s="171" t="e">
        <f t="shared" si="9"/>
        <v>#DIV/0!</v>
      </c>
      <c r="R67" s="186">
        <f>IF('prijem - EUR-viac-domacnosti'!$I$120=TRUE,IF($C$11&gt;0,0.00025*N66,0),IF('prijem - EUR-viac-domacnosti'!$I$121=TRUE,IF('prijem - EUR-viac-domacnosti'!$F$121&gt;0,0.00025*N66*-1,0),0))</f>
        <v>0</v>
      </c>
    </row>
    <row r="68" spans="1:18" x14ac:dyDescent="0.2">
      <c r="A68" s="89">
        <v>52</v>
      </c>
      <c r="B68" s="186" t="e">
        <f t="shared" si="1"/>
        <v>#NUM!</v>
      </c>
      <c r="C68" s="171" t="e">
        <f t="shared" si="2"/>
        <v>#NUM!</v>
      </c>
      <c r="D68" s="171" t="e">
        <f t="shared" si="3"/>
        <v>#NUM!</v>
      </c>
      <c r="E68" s="171" t="e">
        <f t="shared" si="4"/>
        <v>#NUM!</v>
      </c>
      <c r="F68" s="171" t="e">
        <f t="shared" si="5"/>
        <v>#NUM!</v>
      </c>
      <c r="G68" s="186">
        <f>IF('prijem - EUR-viac-domacnosti'!$I$120=TRUE,IF($C$11&gt;0,0.00025*C67,0),IF('prijem - EUR-viac-domacnosti'!$I$121=TRUE,IF('prijem - EUR-viac-domacnosti'!$F$121&gt;0,0.00025*C67,0),0))</f>
        <v>0</v>
      </c>
      <c r="L68" s="89">
        <v>52</v>
      </c>
      <c r="M68" s="186" t="e">
        <f t="shared" si="6"/>
        <v>#DIV/0!</v>
      </c>
      <c r="N68" s="171" t="e">
        <f t="shared" si="7"/>
        <v>#DIV/0!</v>
      </c>
      <c r="O68" s="171" t="e">
        <f t="shared" si="0"/>
        <v>#DIV/0!</v>
      </c>
      <c r="P68" s="171" t="e">
        <f t="shared" si="8"/>
        <v>#DIV/0!</v>
      </c>
      <c r="Q68" s="171" t="e">
        <f t="shared" si="9"/>
        <v>#DIV/0!</v>
      </c>
      <c r="R68" s="186">
        <f>IF('prijem - EUR-viac-domacnosti'!$I$120=TRUE,IF($C$11&gt;0,0.00025*N67,0),IF('prijem - EUR-viac-domacnosti'!$I$121=TRUE,IF('prijem - EUR-viac-domacnosti'!$F$121&gt;0,0.00025*N67*-1,0),0))</f>
        <v>0</v>
      </c>
    </row>
    <row r="69" spans="1:18" x14ac:dyDescent="0.2">
      <c r="A69" s="89">
        <v>53</v>
      </c>
      <c r="B69" s="186" t="e">
        <f t="shared" si="1"/>
        <v>#NUM!</v>
      </c>
      <c r="C69" s="171" t="e">
        <f t="shared" si="2"/>
        <v>#NUM!</v>
      </c>
      <c r="D69" s="171" t="e">
        <f t="shared" si="3"/>
        <v>#NUM!</v>
      </c>
      <c r="E69" s="171" t="e">
        <f t="shared" si="4"/>
        <v>#NUM!</v>
      </c>
      <c r="F69" s="171" t="e">
        <f t="shared" si="5"/>
        <v>#NUM!</v>
      </c>
      <c r="G69" s="186">
        <f>IF('prijem - EUR-viac-domacnosti'!$I$120=TRUE,IF($C$11&gt;0,0.00025*C68,0),IF('prijem - EUR-viac-domacnosti'!$I$121=TRUE,IF('prijem - EUR-viac-domacnosti'!$F$121&gt;0,0.00025*C68,0),0))</f>
        <v>0</v>
      </c>
      <c r="L69" s="89">
        <v>53</v>
      </c>
      <c r="M69" s="186" t="e">
        <f t="shared" si="6"/>
        <v>#DIV/0!</v>
      </c>
      <c r="N69" s="171" t="e">
        <f t="shared" si="7"/>
        <v>#DIV/0!</v>
      </c>
      <c r="O69" s="171" t="e">
        <f t="shared" si="0"/>
        <v>#DIV/0!</v>
      </c>
      <c r="P69" s="171" t="e">
        <f t="shared" si="8"/>
        <v>#DIV/0!</v>
      </c>
      <c r="Q69" s="171" t="e">
        <f t="shared" si="9"/>
        <v>#DIV/0!</v>
      </c>
      <c r="R69" s="186">
        <f>IF('prijem - EUR-viac-domacnosti'!$I$120=TRUE,IF($C$11&gt;0,0.00025*N68,0),IF('prijem - EUR-viac-domacnosti'!$I$121=TRUE,IF('prijem - EUR-viac-domacnosti'!$F$121&gt;0,0.00025*N68*-1,0),0))</f>
        <v>0</v>
      </c>
    </row>
    <row r="70" spans="1:18" x14ac:dyDescent="0.2">
      <c r="A70" s="89">
        <v>54</v>
      </c>
      <c r="B70" s="186" t="e">
        <f t="shared" si="1"/>
        <v>#NUM!</v>
      </c>
      <c r="C70" s="171" t="e">
        <f t="shared" si="2"/>
        <v>#NUM!</v>
      </c>
      <c r="D70" s="171" t="e">
        <f t="shared" si="3"/>
        <v>#NUM!</v>
      </c>
      <c r="E70" s="171" t="e">
        <f t="shared" si="4"/>
        <v>#NUM!</v>
      </c>
      <c r="F70" s="171" t="e">
        <f t="shared" si="5"/>
        <v>#NUM!</v>
      </c>
      <c r="G70" s="186">
        <f>IF('prijem - EUR-viac-domacnosti'!$I$120=TRUE,IF($C$11&gt;0,0.00025*C69,0),IF('prijem - EUR-viac-domacnosti'!$I$121=TRUE,IF('prijem - EUR-viac-domacnosti'!$F$121&gt;0,0.00025*C69,0),0))</f>
        <v>0</v>
      </c>
      <c r="L70" s="89">
        <v>54</v>
      </c>
      <c r="M70" s="186" t="e">
        <f t="shared" si="6"/>
        <v>#DIV/0!</v>
      </c>
      <c r="N70" s="171" t="e">
        <f t="shared" si="7"/>
        <v>#DIV/0!</v>
      </c>
      <c r="O70" s="171" t="e">
        <f t="shared" si="0"/>
        <v>#DIV/0!</v>
      </c>
      <c r="P70" s="171" t="e">
        <f t="shared" si="8"/>
        <v>#DIV/0!</v>
      </c>
      <c r="Q70" s="171" t="e">
        <f t="shared" si="9"/>
        <v>#DIV/0!</v>
      </c>
      <c r="R70" s="186">
        <f>IF('prijem - EUR-viac-domacnosti'!$I$120=TRUE,IF($C$11&gt;0,0.00025*N69,0),IF('prijem - EUR-viac-domacnosti'!$I$121=TRUE,IF('prijem - EUR-viac-domacnosti'!$F$121&gt;0,0.00025*N69*-1,0),0))</f>
        <v>0</v>
      </c>
    </row>
    <row r="71" spans="1:18" x14ac:dyDescent="0.2">
      <c r="A71" s="89">
        <v>55</v>
      </c>
      <c r="B71" s="186" t="e">
        <f t="shared" si="1"/>
        <v>#NUM!</v>
      </c>
      <c r="C71" s="171" t="e">
        <f t="shared" si="2"/>
        <v>#NUM!</v>
      </c>
      <c r="D71" s="171" t="e">
        <f t="shared" si="3"/>
        <v>#NUM!</v>
      </c>
      <c r="E71" s="171" t="e">
        <f t="shared" si="4"/>
        <v>#NUM!</v>
      </c>
      <c r="F71" s="171" t="e">
        <f t="shared" si="5"/>
        <v>#NUM!</v>
      </c>
      <c r="G71" s="186">
        <f>IF('prijem - EUR-viac-domacnosti'!$I$120=TRUE,IF($C$11&gt;0,0.00025*C70,0),IF('prijem - EUR-viac-domacnosti'!$I$121=TRUE,IF('prijem - EUR-viac-domacnosti'!$F$121&gt;0,0.00025*C70,0),0))</f>
        <v>0</v>
      </c>
      <c r="L71" s="89">
        <v>55</v>
      </c>
      <c r="M71" s="186" t="e">
        <f t="shared" si="6"/>
        <v>#DIV/0!</v>
      </c>
      <c r="N71" s="171" t="e">
        <f t="shared" si="7"/>
        <v>#DIV/0!</v>
      </c>
      <c r="O71" s="171" t="e">
        <f t="shared" si="0"/>
        <v>#DIV/0!</v>
      </c>
      <c r="P71" s="171" t="e">
        <f t="shared" si="8"/>
        <v>#DIV/0!</v>
      </c>
      <c r="Q71" s="171" t="e">
        <f t="shared" si="9"/>
        <v>#DIV/0!</v>
      </c>
      <c r="R71" s="186">
        <f>IF('prijem - EUR-viac-domacnosti'!$I$120=TRUE,IF($C$11&gt;0,0.00025*N70,0),IF('prijem - EUR-viac-domacnosti'!$I$121=TRUE,IF('prijem - EUR-viac-domacnosti'!$F$121&gt;0,0.00025*N70*-1,0),0))</f>
        <v>0</v>
      </c>
    </row>
    <row r="72" spans="1:18" x14ac:dyDescent="0.2">
      <c r="A72" s="89">
        <v>56</v>
      </c>
      <c r="B72" s="186" t="e">
        <f t="shared" si="1"/>
        <v>#NUM!</v>
      </c>
      <c r="C72" s="171" t="e">
        <f t="shared" si="2"/>
        <v>#NUM!</v>
      </c>
      <c r="D72" s="171" t="e">
        <f t="shared" si="3"/>
        <v>#NUM!</v>
      </c>
      <c r="E72" s="171" t="e">
        <f t="shared" si="4"/>
        <v>#NUM!</v>
      </c>
      <c r="F72" s="171" t="e">
        <f t="shared" si="5"/>
        <v>#NUM!</v>
      </c>
      <c r="G72" s="186">
        <f>IF('prijem - EUR-viac-domacnosti'!$I$120=TRUE,IF($C$11&gt;0,0.00025*C71,0),IF('prijem - EUR-viac-domacnosti'!$I$121=TRUE,IF('prijem - EUR-viac-domacnosti'!$F$121&gt;0,0.00025*C71,0),0))</f>
        <v>0</v>
      </c>
      <c r="L72" s="89">
        <v>56</v>
      </c>
      <c r="M72" s="186" t="e">
        <f t="shared" si="6"/>
        <v>#DIV/0!</v>
      </c>
      <c r="N72" s="171" t="e">
        <f t="shared" si="7"/>
        <v>#DIV/0!</v>
      </c>
      <c r="O72" s="171" t="e">
        <f t="shared" si="0"/>
        <v>#DIV/0!</v>
      </c>
      <c r="P72" s="171" t="e">
        <f t="shared" si="8"/>
        <v>#DIV/0!</v>
      </c>
      <c r="Q72" s="171" t="e">
        <f t="shared" si="9"/>
        <v>#DIV/0!</v>
      </c>
      <c r="R72" s="186">
        <f>IF('prijem - EUR-viac-domacnosti'!$I$120=TRUE,IF($C$11&gt;0,0.00025*N71,0),IF('prijem - EUR-viac-domacnosti'!$I$121=TRUE,IF('prijem - EUR-viac-domacnosti'!$F$121&gt;0,0.00025*N71*-1,0),0))</f>
        <v>0</v>
      </c>
    </row>
    <row r="73" spans="1:18" x14ac:dyDescent="0.2">
      <c r="A73" s="89">
        <v>57</v>
      </c>
      <c r="B73" s="186" t="e">
        <f t="shared" si="1"/>
        <v>#NUM!</v>
      </c>
      <c r="C73" s="171" t="e">
        <f t="shared" si="2"/>
        <v>#NUM!</v>
      </c>
      <c r="D73" s="171" t="e">
        <f t="shared" si="3"/>
        <v>#NUM!</v>
      </c>
      <c r="E73" s="171" t="e">
        <f t="shared" si="4"/>
        <v>#NUM!</v>
      </c>
      <c r="F73" s="171" t="e">
        <f t="shared" si="5"/>
        <v>#NUM!</v>
      </c>
      <c r="G73" s="186">
        <f>IF('prijem - EUR-viac-domacnosti'!$I$120=TRUE,IF($C$11&gt;0,0.00025*C72,0),IF('prijem - EUR-viac-domacnosti'!$I$121=TRUE,IF('prijem - EUR-viac-domacnosti'!$F$121&gt;0,0.00025*C72,0),0))</f>
        <v>0</v>
      </c>
      <c r="L73" s="89">
        <v>57</v>
      </c>
      <c r="M73" s="186" t="e">
        <f t="shared" si="6"/>
        <v>#DIV/0!</v>
      </c>
      <c r="N73" s="171" t="e">
        <f t="shared" si="7"/>
        <v>#DIV/0!</v>
      </c>
      <c r="O73" s="171" t="e">
        <f t="shared" si="0"/>
        <v>#DIV/0!</v>
      </c>
      <c r="P73" s="171" t="e">
        <f t="shared" si="8"/>
        <v>#DIV/0!</v>
      </c>
      <c r="Q73" s="171" t="e">
        <f t="shared" si="9"/>
        <v>#DIV/0!</v>
      </c>
      <c r="R73" s="186">
        <f>IF('prijem - EUR-viac-domacnosti'!$I$120=TRUE,IF($C$11&gt;0,0.00025*N72,0),IF('prijem - EUR-viac-domacnosti'!$I$121=TRUE,IF('prijem - EUR-viac-domacnosti'!$F$121&gt;0,0.00025*N72*-1,0),0))</f>
        <v>0</v>
      </c>
    </row>
    <row r="74" spans="1:18" x14ac:dyDescent="0.2">
      <c r="A74" s="89">
        <v>58</v>
      </c>
      <c r="B74" s="186" t="e">
        <f t="shared" si="1"/>
        <v>#NUM!</v>
      </c>
      <c r="C74" s="171" t="e">
        <f t="shared" si="2"/>
        <v>#NUM!</v>
      </c>
      <c r="D74" s="171" t="e">
        <f t="shared" si="3"/>
        <v>#NUM!</v>
      </c>
      <c r="E74" s="171" t="e">
        <f t="shared" si="4"/>
        <v>#NUM!</v>
      </c>
      <c r="F74" s="171" t="e">
        <f t="shared" si="5"/>
        <v>#NUM!</v>
      </c>
      <c r="G74" s="186">
        <f>IF('prijem - EUR-viac-domacnosti'!$I$120=TRUE,IF($C$11&gt;0,0.00025*C73,0),IF('prijem - EUR-viac-domacnosti'!$I$121=TRUE,IF('prijem - EUR-viac-domacnosti'!$F$121&gt;0,0.00025*C73,0),0))</f>
        <v>0</v>
      </c>
      <c r="L74" s="89">
        <v>58</v>
      </c>
      <c r="M74" s="186" t="e">
        <f t="shared" si="6"/>
        <v>#DIV/0!</v>
      </c>
      <c r="N74" s="171" t="e">
        <f t="shared" si="7"/>
        <v>#DIV/0!</v>
      </c>
      <c r="O74" s="171" t="e">
        <f t="shared" si="0"/>
        <v>#DIV/0!</v>
      </c>
      <c r="P74" s="171" t="e">
        <f t="shared" si="8"/>
        <v>#DIV/0!</v>
      </c>
      <c r="Q74" s="171" t="e">
        <f t="shared" si="9"/>
        <v>#DIV/0!</v>
      </c>
      <c r="R74" s="186">
        <f>IF('prijem - EUR-viac-domacnosti'!$I$120=TRUE,IF($C$11&gt;0,0.00025*N73,0),IF('prijem - EUR-viac-domacnosti'!$I$121=TRUE,IF('prijem - EUR-viac-domacnosti'!$F$121&gt;0,0.00025*N73*-1,0),0))</f>
        <v>0</v>
      </c>
    </row>
    <row r="75" spans="1:18" x14ac:dyDescent="0.2">
      <c r="A75" s="89">
        <v>59</v>
      </c>
      <c r="B75" s="186" t="e">
        <f t="shared" si="1"/>
        <v>#NUM!</v>
      </c>
      <c r="C75" s="171" t="e">
        <f t="shared" si="2"/>
        <v>#NUM!</v>
      </c>
      <c r="D75" s="171" t="e">
        <f t="shared" si="3"/>
        <v>#NUM!</v>
      </c>
      <c r="E75" s="171" t="e">
        <f t="shared" si="4"/>
        <v>#NUM!</v>
      </c>
      <c r="F75" s="171" t="e">
        <f t="shared" si="5"/>
        <v>#NUM!</v>
      </c>
      <c r="G75" s="186">
        <f>IF('prijem - EUR-viac-domacnosti'!$I$120=TRUE,IF($C$11&gt;0,0.00025*C74,0),IF('prijem - EUR-viac-domacnosti'!$I$121=TRUE,IF('prijem - EUR-viac-domacnosti'!$F$121&gt;0,0.00025*C74,0),0))</f>
        <v>0</v>
      </c>
      <c r="L75" s="89">
        <v>59</v>
      </c>
      <c r="M75" s="186" t="e">
        <f t="shared" si="6"/>
        <v>#DIV/0!</v>
      </c>
      <c r="N75" s="171" t="e">
        <f t="shared" si="7"/>
        <v>#DIV/0!</v>
      </c>
      <c r="O75" s="171" t="e">
        <f t="shared" si="0"/>
        <v>#DIV/0!</v>
      </c>
      <c r="P75" s="171" t="e">
        <f t="shared" si="8"/>
        <v>#DIV/0!</v>
      </c>
      <c r="Q75" s="171" t="e">
        <f t="shared" si="9"/>
        <v>#DIV/0!</v>
      </c>
      <c r="R75" s="186">
        <f>IF('prijem - EUR-viac-domacnosti'!$I$120=TRUE,IF($C$11&gt;0,0.00025*N74,0),IF('prijem - EUR-viac-domacnosti'!$I$121=TRUE,IF('prijem - EUR-viac-domacnosti'!$F$121&gt;0,0.00025*N74*-1,0),0))</f>
        <v>0</v>
      </c>
    </row>
    <row r="76" spans="1:18" x14ac:dyDescent="0.2">
      <c r="A76" s="89">
        <v>60</v>
      </c>
      <c r="B76" s="186" t="e">
        <f t="shared" si="1"/>
        <v>#NUM!</v>
      </c>
      <c r="C76" s="171" t="e">
        <f t="shared" si="2"/>
        <v>#NUM!</v>
      </c>
      <c r="D76" s="171" t="e">
        <f t="shared" si="3"/>
        <v>#NUM!</v>
      </c>
      <c r="E76" s="171" t="e">
        <f t="shared" si="4"/>
        <v>#NUM!</v>
      </c>
      <c r="F76" s="171" t="e">
        <f t="shared" si="5"/>
        <v>#NUM!</v>
      </c>
      <c r="G76" s="186">
        <f>IF('prijem - EUR-viac-domacnosti'!$I$120=TRUE,IF($C$11&gt;0,0.00025*C75,0),IF('prijem - EUR-viac-domacnosti'!$I$121=TRUE,IF('prijem - EUR-viac-domacnosti'!$F$121&gt;0,0.00025*C75,0),0))</f>
        <v>0</v>
      </c>
      <c r="L76" s="89">
        <v>60</v>
      </c>
      <c r="M76" s="186" t="e">
        <f t="shared" si="6"/>
        <v>#DIV/0!</v>
      </c>
      <c r="N76" s="171" t="e">
        <f t="shared" si="7"/>
        <v>#DIV/0!</v>
      </c>
      <c r="O76" s="171" t="e">
        <f t="shared" si="0"/>
        <v>#DIV/0!</v>
      </c>
      <c r="P76" s="171" t="e">
        <f t="shared" si="8"/>
        <v>#DIV/0!</v>
      </c>
      <c r="Q76" s="171" t="e">
        <f t="shared" si="9"/>
        <v>#DIV/0!</v>
      </c>
      <c r="R76" s="186">
        <f>IF('prijem - EUR-viac-domacnosti'!$I$120=TRUE,IF($C$11&gt;0,0.00025*N75,0),IF('prijem - EUR-viac-domacnosti'!$I$121=TRUE,IF('prijem - EUR-viac-domacnosti'!$F$121&gt;0,0.00025*N75*-1,0),0))</f>
        <v>0</v>
      </c>
    </row>
    <row r="77" spans="1:18" x14ac:dyDescent="0.2">
      <c r="A77" s="89">
        <v>61</v>
      </c>
      <c r="B77" s="186" t="e">
        <f t="shared" si="1"/>
        <v>#NUM!</v>
      </c>
      <c r="C77" s="171" t="e">
        <f t="shared" si="2"/>
        <v>#NUM!</v>
      </c>
      <c r="D77" s="171" t="e">
        <f t="shared" si="3"/>
        <v>#NUM!</v>
      </c>
      <c r="E77" s="171" t="e">
        <f t="shared" si="4"/>
        <v>#NUM!</v>
      </c>
      <c r="F77" s="171" t="e">
        <f t="shared" si="5"/>
        <v>#NUM!</v>
      </c>
      <c r="G77" s="186">
        <f>IF('prijem - EUR-viac-domacnosti'!$I$120=TRUE,IF($C$11&gt;0,0.00025*C76,0),IF('prijem - EUR-viac-domacnosti'!$I$121=TRUE,IF('prijem - EUR-viac-domacnosti'!$F$121&gt;0,0.00025*C76,0),0))</f>
        <v>0</v>
      </c>
      <c r="L77" s="89">
        <v>61</v>
      </c>
      <c r="M77" s="186" t="e">
        <f t="shared" si="6"/>
        <v>#DIV/0!</v>
      </c>
      <c r="N77" s="171" t="e">
        <f t="shared" si="7"/>
        <v>#DIV/0!</v>
      </c>
      <c r="O77" s="171" t="e">
        <f t="shared" si="0"/>
        <v>#DIV/0!</v>
      </c>
      <c r="P77" s="171" t="e">
        <f t="shared" si="8"/>
        <v>#DIV/0!</v>
      </c>
      <c r="Q77" s="171" t="e">
        <f t="shared" si="9"/>
        <v>#DIV/0!</v>
      </c>
      <c r="R77" s="186">
        <f>IF('prijem - EUR-viac-domacnosti'!$I$120=TRUE,IF($C$11&gt;0,0.00025*N76,0),IF('prijem - EUR-viac-domacnosti'!$I$121=TRUE,IF('prijem - EUR-viac-domacnosti'!$F$121&gt;0,0.00025*N76*-1,0),0))</f>
        <v>0</v>
      </c>
    </row>
    <row r="78" spans="1:18" x14ac:dyDescent="0.2">
      <c r="A78" s="89">
        <v>62</v>
      </c>
      <c r="B78" s="186" t="e">
        <f t="shared" si="1"/>
        <v>#NUM!</v>
      </c>
      <c r="C78" s="171" t="e">
        <f t="shared" si="2"/>
        <v>#NUM!</v>
      </c>
      <c r="D78" s="171" t="e">
        <f t="shared" si="3"/>
        <v>#NUM!</v>
      </c>
      <c r="E78" s="171" t="e">
        <f t="shared" si="4"/>
        <v>#NUM!</v>
      </c>
      <c r="F78" s="171" t="e">
        <f t="shared" si="5"/>
        <v>#NUM!</v>
      </c>
      <c r="G78" s="186">
        <f>IF('prijem - EUR-viac-domacnosti'!$I$120=TRUE,IF($C$11&gt;0,0.00025*C77,0),IF('prijem - EUR-viac-domacnosti'!$I$121=TRUE,IF('prijem - EUR-viac-domacnosti'!$F$121&gt;0,0.00025*C77,0),0))</f>
        <v>0</v>
      </c>
      <c r="L78" s="89">
        <v>62</v>
      </c>
      <c r="M78" s="186" t="e">
        <f t="shared" si="6"/>
        <v>#DIV/0!</v>
      </c>
      <c r="N78" s="171" t="e">
        <f t="shared" si="7"/>
        <v>#DIV/0!</v>
      </c>
      <c r="O78" s="171" t="e">
        <f t="shared" si="0"/>
        <v>#DIV/0!</v>
      </c>
      <c r="P78" s="171" t="e">
        <f t="shared" si="8"/>
        <v>#DIV/0!</v>
      </c>
      <c r="Q78" s="171" t="e">
        <f t="shared" si="9"/>
        <v>#DIV/0!</v>
      </c>
      <c r="R78" s="186">
        <f>IF('prijem - EUR-viac-domacnosti'!$I$120=TRUE,IF($C$11&gt;0,0.00025*N77,0),IF('prijem - EUR-viac-domacnosti'!$I$121=TRUE,IF('prijem - EUR-viac-domacnosti'!$F$121&gt;0,0.00025*N77*-1,0),0))</f>
        <v>0</v>
      </c>
    </row>
    <row r="79" spans="1:18" x14ac:dyDescent="0.2">
      <c r="A79" s="89">
        <v>63</v>
      </c>
      <c r="B79" s="186" t="e">
        <f t="shared" si="1"/>
        <v>#NUM!</v>
      </c>
      <c r="C79" s="171" t="e">
        <f t="shared" si="2"/>
        <v>#NUM!</v>
      </c>
      <c r="D79" s="171" t="e">
        <f t="shared" si="3"/>
        <v>#NUM!</v>
      </c>
      <c r="E79" s="171" t="e">
        <f t="shared" si="4"/>
        <v>#NUM!</v>
      </c>
      <c r="F79" s="171" t="e">
        <f t="shared" si="5"/>
        <v>#NUM!</v>
      </c>
      <c r="G79" s="186">
        <f>IF('prijem - EUR-viac-domacnosti'!$I$120=TRUE,IF($C$11&gt;0,0.00025*C78,0),IF('prijem - EUR-viac-domacnosti'!$I$121=TRUE,IF('prijem - EUR-viac-domacnosti'!$F$121&gt;0,0.00025*C78,0),0))</f>
        <v>0</v>
      </c>
      <c r="L79" s="89">
        <v>63</v>
      </c>
      <c r="M79" s="186" t="e">
        <f t="shared" si="6"/>
        <v>#DIV/0!</v>
      </c>
      <c r="N79" s="171" t="e">
        <f t="shared" si="7"/>
        <v>#DIV/0!</v>
      </c>
      <c r="O79" s="171" t="e">
        <f t="shared" si="0"/>
        <v>#DIV/0!</v>
      </c>
      <c r="P79" s="171" t="e">
        <f t="shared" si="8"/>
        <v>#DIV/0!</v>
      </c>
      <c r="Q79" s="171" t="e">
        <f t="shared" si="9"/>
        <v>#DIV/0!</v>
      </c>
      <c r="R79" s="186">
        <f>IF('prijem - EUR-viac-domacnosti'!$I$120=TRUE,IF($C$11&gt;0,0.00025*N78,0),IF('prijem - EUR-viac-domacnosti'!$I$121=TRUE,IF('prijem - EUR-viac-domacnosti'!$F$121&gt;0,0.00025*N78*-1,0),0))</f>
        <v>0</v>
      </c>
    </row>
    <row r="80" spans="1:18" x14ac:dyDescent="0.2">
      <c r="A80" s="89">
        <v>64</v>
      </c>
      <c r="B80" s="186" t="e">
        <f t="shared" si="1"/>
        <v>#NUM!</v>
      </c>
      <c r="C80" s="171" t="e">
        <f t="shared" si="2"/>
        <v>#NUM!</v>
      </c>
      <c r="D80" s="171" t="e">
        <f t="shared" si="3"/>
        <v>#NUM!</v>
      </c>
      <c r="E80" s="171" t="e">
        <f t="shared" si="4"/>
        <v>#NUM!</v>
      </c>
      <c r="F80" s="171" t="e">
        <f t="shared" si="5"/>
        <v>#NUM!</v>
      </c>
      <c r="G80" s="186">
        <f>IF('prijem - EUR-viac-domacnosti'!$I$120=TRUE,IF($C$11&gt;0,0.00025*C79,0),IF('prijem - EUR-viac-domacnosti'!$I$121=TRUE,IF('prijem - EUR-viac-domacnosti'!$F$121&gt;0,0.00025*C79,0),0))</f>
        <v>0</v>
      </c>
      <c r="L80" s="89">
        <v>64</v>
      </c>
      <c r="M80" s="186" t="e">
        <f t="shared" si="6"/>
        <v>#DIV/0!</v>
      </c>
      <c r="N80" s="171" t="e">
        <f t="shared" si="7"/>
        <v>#DIV/0!</v>
      </c>
      <c r="O80" s="171" t="e">
        <f t="shared" si="0"/>
        <v>#DIV/0!</v>
      </c>
      <c r="P80" s="171" t="e">
        <f t="shared" si="8"/>
        <v>#DIV/0!</v>
      </c>
      <c r="Q80" s="171" t="e">
        <f t="shared" si="9"/>
        <v>#DIV/0!</v>
      </c>
      <c r="R80" s="186">
        <f>IF('prijem - EUR-viac-domacnosti'!$I$120=TRUE,IF($C$11&gt;0,0.00025*N79,0),IF('prijem - EUR-viac-domacnosti'!$I$121=TRUE,IF('prijem - EUR-viac-domacnosti'!$F$121&gt;0,0.00025*N79*-1,0),0))</f>
        <v>0</v>
      </c>
    </row>
    <row r="81" spans="1:18" x14ac:dyDescent="0.2">
      <c r="A81" s="89">
        <v>65</v>
      </c>
      <c r="B81" s="186" t="e">
        <f t="shared" si="1"/>
        <v>#NUM!</v>
      </c>
      <c r="C81" s="171" t="e">
        <f t="shared" si="2"/>
        <v>#NUM!</v>
      </c>
      <c r="D81" s="171" t="e">
        <f t="shared" si="3"/>
        <v>#NUM!</v>
      </c>
      <c r="E81" s="171" t="e">
        <f t="shared" si="4"/>
        <v>#NUM!</v>
      </c>
      <c r="F81" s="171" t="e">
        <f t="shared" si="5"/>
        <v>#NUM!</v>
      </c>
      <c r="G81" s="186">
        <f>IF('prijem - EUR-viac-domacnosti'!$I$120=TRUE,IF($C$11&gt;0,0.00025*C80,0),IF('prijem - EUR-viac-domacnosti'!$I$121=TRUE,IF('prijem - EUR-viac-domacnosti'!$F$121&gt;0,0.00025*C80,0),0))</f>
        <v>0</v>
      </c>
      <c r="L81" s="89">
        <v>65</v>
      </c>
      <c r="M81" s="186" t="e">
        <f t="shared" si="6"/>
        <v>#DIV/0!</v>
      </c>
      <c r="N81" s="171" t="e">
        <f t="shared" si="7"/>
        <v>#DIV/0!</v>
      </c>
      <c r="O81" s="171" t="e">
        <f t="shared" ref="O81:O144" si="10">$N$16/$N$5</f>
        <v>#DIV/0!</v>
      </c>
      <c r="P81" s="171" t="e">
        <f t="shared" si="8"/>
        <v>#DIV/0!</v>
      </c>
      <c r="Q81" s="171" t="e">
        <f t="shared" si="9"/>
        <v>#DIV/0!</v>
      </c>
      <c r="R81" s="186">
        <f>IF('prijem - EUR-viac-domacnosti'!$I$120=TRUE,IF($C$11&gt;0,0.00025*N80,0),IF('prijem - EUR-viac-domacnosti'!$I$121=TRUE,IF('prijem - EUR-viac-domacnosti'!$F$121&gt;0,0.00025*N80*-1,0),0))</f>
        <v>0</v>
      </c>
    </row>
    <row r="82" spans="1:18" x14ac:dyDescent="0.2">
      <c r="A82" s="89">
        <v>66</v>
      </c>
      <c r="B82" s="186" t="e">
        <f t="shared" ref="B82:B145" si="11">IF(C81&gt;0.00001,F82-G82,0)</f>
        <v>#NUM!</v>
      </c>
      <c r="C82" s="171" t="e">
        <f t="shared" ref="C82:C145" si="12">MAX(C81-D82,0)</f>
        <v>#NUM!</v>
      </c>
      <c r="D82" s="171" t="e">
        <f t="shared" ref="D82:D145" si="13">(F82-E82)*-1</f>
        <v>#NUM!</v>
      </c>
      <c r="E82" s="171" t="e">
        <f t="shared" ref="E82:E145" si="14">IPMT($C$4/12,1,$C$5,C81)</f>
        <v>#NUM!</v>
      </c>
      <c r="F82" s="171" t="e">
        <f t="shared" ref="F82:F145" si="15">PMT($C$4/12,$C$5,$C$3)</f>
        <v>#NUM!</v>
      </c>
      <c r="G82" s="186">
        <f>IF('prijem - EUR-viac-domacnosti'!$I$120=TRUE,IF($C$11&gt;0,0.00025*C81,0),IF('prijem - EUR-viac-domacnosti'!$I$121=TRUE,IF('prijem - EUR-viac-domacnosti'!$F$121&gt;0,0.00025*C81,0),0))</f>
        <v>0</v>
      </c>
      <c r="L82" s="89">
        <v>66</v>
      </c>
      <c r="M82" s="186" t="e">
        <f t="shared" ref="M82:M145" si="16">IF(N81&gt;0.00001,Q82-R82,0)*-1</f>
        <v>#DIV/0!</v>
      </c>
      <c r="N82" s="171" t="e">
        <f t="shared" ref="N82:N145" si="17">MAX(N81-O82,0)</f>
        <v>#DIV/0!</v>
      </c>
      <c r="O82" s="171" t="e">
        <f t="shared" si="10"/>
        <v>#DIV/0!</v>
      </c>
      <c r="P82" s="171" t="e">
        <f t="shared" ref="P82:P145" si="18">N81*$N$4/12</f>
        <v>#DIV/0!</v>
      </c>
      <c r="Q82" s="171" t="e">
        <f t="shared" ref="Q82:Q145" si="19">P82+O82</f>
        <v>#DIV/0!</v>
      </c>
      <c r="R82" s="186">
        <f>IF('prijem - EUR-viac-domacnosti'!$I$120=TRUE,IF($C$11&gt;0,0.00025*N81,0),IF('prijem - EUR-viac-domacnosti'!$I$121=TRUE,IF('prijem - EUR-viac-domacnosti'!$F$121&gt;0,0.00025*N81*-1,0),0))</f>
        <v>0</v>
      </c>
    </row>
    <row r="83" spans="1:18" x14ac:dyDescent="0.2">
      <c r="A83" s="89">
        <v>67</v>
      </c>
      <c r="B83" s="186" t="e">
        <f t="shared" si="11"/>
        <v>#NUM!</v>
      </c>
      <c r="C83" s="171" t="e">
        <f t="shared" si="12"/>
        <v>#NUM!</v>
      </c>
      <c r="D83" s="171" t="e">
        <f t="shared" si="13"/>
        <v>#NUM!</v>
      </c>
      <c r="E83" s="171" t="e">
        <f t="shared" si="14"/>
        <v>#NUM!</v>
      </c>
      <c r="F83" s="171" t="e">
        <f t="shared" si="15"/>
        <v>#NUM!</v>
      </c>
      <c r="G83" s="186">
        <f>IF('prijem - EUR-viac-domacnosti'!$I$120=TRUE,IF($C$11&gt;0,0.00025*C82,0),IF('prijem - EUR-viac-domacnosti'!$I$121=TRUE,IF('prijem - EUR-viac-domacnosti'!$F$121&gt;0,0.00025*C82,0),0))</f>
        <v>0</v>
      </c>
      <c r="L83" s="89">
        <v>67</v>
      </c>
      <c r="M83" s="186" t="e">
        <f t="shared" si="16"/>
        <v>#DIV/0!</v>
      </c>
      <c r="N83" s="171" t="e">
        <f t="shared" si="17"/>
        <v>#DIV/0!</v>
      </c>
      <c r="O83" s="171" t="e">
        <f t="shared" si="10"/>
        <v>#DIV/0!</v>
      </c>
      <c r="P83" s="171" t="e">
        <f t="shared" si="18"/>
        <v>#DIV/0!</v>
      </c>
      <c r="Q83" s="171" t="e">
        <f t="shared" si="19"/>
        <v>#DIV/0!</v>
      </c>
      <c r="R83" s="186">
        <f>IF('prijem - EUR-viac-domacnosti'!$I$120=TRUE,IF($C$11&gt;0,0.00025*N82,0),IF('prijem - EUR-viac-domacnosti'!$I$121=TRUE,IF('prijem - EUR-viac-domacnosti'!$F$121&gt;0,0.00025*N82*-1,0),0))</f>
        <v>0</v>
      </c>
    </row>
    <row r="84" spans="1:18" x14ac:dyDescent="0.2">
      <c r="A84" s="89">
        <v>68</v>
      </c>
      <c r="B84" s="186" t="e">
        <f t="shared" si="11"/>
        <v>#NUM!</v>
      </c>
      <c r="C84" s="171" t="e">
        <f t="shared" si="12"/>
        <v>#NUM!</v>
      </c>
      <c r="D84" s="171" t="e">
        <f t="shared" si="13"/>
        <v>#NUM!</v>
      </c>
      <c r="E84" s="171" t="e">
        <f t="shared" si="14"/>
        <v>#NUM!</v>
      </c>
      <c r="F84" s="171" t="e">
        <f t="shared" si="15"/>
        <v>#NUM!</v>
      </c>
      <c r="G84" s="186">
        <f>IF('prijem - EUR-viac-domacnosti'!$I$120=TRUE,IF($C$11&gt;0,0.00025*C83,0),IF('prijem - EUR-viac-domacnosti'!$I$121=TRUE,IF('prijem - EUR-viac-domacnosti'!$F$121&gt;0,0.00025*C83,0),0))</f>
        <v>0</v>
      </c>
      <c r="L84" s="89">
        <v>68</v>
      </c>
      <c r="M84" s="186" t="e">
        <f t="shared" si="16"/>
        <v>#DIV/0!</v>
      </c>
      <c r="N84" s="171" t="e">
        <f t="shared" si="17"/>
        <v>#DIV/0!</v>
      </c>
      <c r="O84" s="171" t="e">
        <f t="shared" si="10"/>
        <v>#DIV/0!</v>
      </c>
      <c r="P84" s="171" t="e">
        <f t="shared" si="18"/>
        <v>#DIV/0!</v>
      </c>
      <c r="Q84" s="171" t="e">
        <f t="shared" si="19"/>
        <v>#DIV/0!</v>
      </c>
      <c r="R84" s="186">
        <f>IF('prijem - EUR-viac-domacnosti'!$I$120=TRUE,IF($C$11&gt;0,0.00025*N83,0),IF('prijem - EUR-viac-domacnosti'!$I$121=TRUE,IF('prijem - EUR-viac-domacnosti'!$F$121&gt;0,0.00025*N83*-1,0),0))</f>
        <v>0</v>
      </c>
    </row>
    <row r="85" spans="1:18" x14ac:dyDescent="0.2">
      <c r="A85" s="89">
        <v>69</v>
      </c>
      <c r="B85" s="186" t="e">
        <f t="shared" si="11"/>
        <v>#NUM!</v>
      </c>
      <c r="C85" s="171" t="e">
        <f t="shared" si="12"/>
        <v>#NUM!</v>
      </c>
      <c r="D85" s="171" t="e">
        <f t="shared" si="13"/>
        <v>#NUM!</v>
      </c>
      <c r="E85" s="171" t="e">
        <f t="shared" si="14"/>
        <v>#NUM!</v>
      </c>
      <c r="F85" s="171" t="e">
        <f t="shared" si="15"/>
        <v>#NUM!</v>
      </c>
      <c r="G85" s="186">
        <f>IF('prijem - EUR-viac-domacnosti'!$I$120=TRUE,IF($C$11&gt;0,0.00025*C84,0),IF('prijem - EUR-viac-domacnosti'!$I$121=TRUE,IF('prijem - EUR-viac-domacnosti'!$F$121&gt;0,0.00025*C84,0),0))</f>
        <v>0</v>
      </c>
      <c r="L85" s="89">
        <v>69</v>
      </c>
      <c r="M85" s="186" t="e">
        <f t="shared" si="16"/>
        <v>#DIV/0!</v>
      </c>
      <c r="N85" s="171" t="e">
        <f t="shared" si="17"/>
        <v>#DIV/0!</v>
      </c>
      <c r="O85" s="171" t="e">
        <f t="shared" si="10"/>
        <v>#DIV/0!</v>
      </c>
      <c r="P85" s="171" t="e">
        <f t="shared" si="18"/>
        <v>#DIV/0!</v>
      </c>
      <c r="Q85" s="171" t="e">
        <f t="shared" si="19"/>
        <v>#DIV/0!</v>
      </c>
      <c r="R85" s="186">
        <f>IF('prijem - EUR-viac-domacnosti'!$I$120=TRUE,IF($C$11&gt;0,0.00025*N84,0),IF('prijem - EUR-viac-domacnosti'!$I$121=TRUE,IF('prijem - EUR-viac-domacnosti'!$F$121&gt;0,0.00025*N84*-1,0),0))</f>
        <v>0</v>
      </c>
    </row>
    <row r="86" spans="1:18" x14ac:dyDescent="0.2">
      <c r="A86" s="89">
        <v>70</v>
      </c>
      <c r="B86" s="186" t="e">
        <f t="shared" si="11"/>
        <v>#NUM!</v>
      </c>
      <c r="C86" s="171" t="e">
        <f t="shared" si="12"/>
        <v>#NUM!</v>
      </c>
      <c r="D86" s="171" t="e">
        <f t="shared" si="13"/>
        <v>#NUM!</v>
      </c>
      <c r="E86" s="171" t="e">
        <f t="shared" si="14"/>
        <v>#NUM!</v>
      </c>
      <c r="F86" s="171" t="e">
        <f t="shared" si="15"/>
        <v>#NUM!</v>
      </c>
      <c r="G86" s="186">
        <f>IF('prijem - EUR-viac-domacnosti'!$I$120=TRUE,IF($C$11&gt;0,0.00025*C85,0),IF('prijem - EUR-viac-domacnosti'!$I$121=TRUE,IF('prijem - EUR-viac-domacnosti'!$F$121&gt;0,0.00025*C85,0),0))</f>
        <v>0</v>
      </c>
      <c r="L86" s="89">
        <v>70</v>
      </c>
      <c r="M86" s="186" t="e">
        <f t="shared" si="16"/>
        <v>#DIV/0!</v>
      </c>
      <c r="N86" s="171" t="e">
        <f t="shared" si="17"/>
        <v>#DIV/0!</v>
      </c>
      <c r="O86" s="171" t="e">
        <f t="shared" si="10"/>
        <v>#DIV/0!</v>
      </c>
      <c r="P86" s="171" t="e">
        <f t="shared" si="18"/>
        <v>#DIV/0!</v>
      </c>
      <c r="Q86" s="171" t="e">
        <f t="shared" si="19"/>
        <v>#DIV/0!</v>
      </c>
      <c r="R86" s="186">
        <f>IF('prijem - EUR-viac-domacnosti'!$I$120=TRUE,IF($C$11&gt;0,0.00025*N85,0),IF('prijem - EUR-viac-domacnosti'!$I$121=TRUE,IF('prijem - EUR-viac-domacnosti'!$F$121&gt;0,0.00025*N85*-1,0),0))</f>
        <v>0</v>
      </c>
    </row>
    <row r="87" spans="1:18" x14ac:dyDescent="0.2">
      <c r="A87" s="89">
        <v>71</v>
      </c>
      <c r="B87" s="186" t="e">
        <f t="shared" si="11"/>
        <v>#NUM!</v>
      </c>
      <c r="C87" s="171" t="e">
        <f t="shared" si="12"/>
        <v>#NUM!</v>
      </c>
      <c r="D87" s="171" t="e">
        <f t="shared" si="13"/>
        <v>#NUM!</v>
      </c>
      <c r="E87" s="171" t="e">
        <f t="shared" si="14"/>
        <v>#NUM!</v>
      </c>
      <c r="F87" s="171" t="e">
        <f t="shared" si="15"/>
        <v>#NUM!</v>
      </c>
      <c r="G87" s="186">
        <f>IF('prijem - EUR-viac-domacnosti'!$I$120=TRUE,IF($C$11&gt;0,0.00025*C86,0),IF('prijem - EUR-viac-domacnosti'!$I$121=TRUE,IF('prijem - EUR-viac-domacnosti'!$F$121&gt;0,0.00025*C86,0),0))</f>
        <v>0</v>
      </c>
      <c r="L87" s="89">
        <v>71</v>
      </c>
      <c r="M87" s="186" t="e">
        <f t="shared" si="16"/>
        <v>#DIV/0!</v>
      </c>
      <c r="N87" s="171" t="e">
        <f t="shared" si="17"/>
        <v>#DIV/0!</v>
      </c>
      <c r="O87" s="171" t="e">
        <f t="shared" si="10"/>
        <v>#DIV/0!</v>
      </c>
      <c r="P87" s="171" t="e">
        <f t="shared" si="18"/>
        <v>#DIV/0!</v>
      </c>
      <c r="Q87" s="171" t="e">
        <f t="shared" si="19"/>
        <v>#DIV/0!</v>
      </c>
      <c r="R87" s="186">
        <f>IF('prijem - EUR-viac-domacnosti'!$I$120=TRUE,IF($C$11&gt;0,0.00025*N86,0),IF('prijem - EUR-viac-domacnosti'!$I$121=TRUE,IF('prijem - EUR-viac-domacnosti'!$F$121&gt;0,0.00025*N86*-1,0),0))</f>
        <v>0</v>
      </c>
    </row>
    <row r="88" spans="1:18" x14ac:dyDescent="0.2">
      <c r="A88" s="89">
        <v>72</v>
      </c>
      <c r="B88" s="186" t="e">
        <f t="shared" si="11"/>
        <v>#NUM!</v>
      </c>
      <c r="C88" s="171" t="e">
        <f t="shared" si="12"/>
        <v>#NUM!</v>
      </c>
      <c r="D88" s="171" t="e">
        <f t="shared" si="13"/>
        <v>#NUM!</v>
      </c>
      <c r="E88" s="171" t="e">
        <f t="shared" si="14"/>
        <v>#NUM!</v>
      </c>
      <c r="F88" s="171" t="e">
        <f t="shared" si="15"/>
        <v>#NUM!</v>
      </c>
      <c r="G88" s="186">
        <f>IF('prijem - EUR-viac-domacnosti'!$I$120=TRUE,IF($C$11&gt;0,0.00025*C87,0),IF('prijem - EUR-viac-domacnosti'!$I$121=TRUE,IF('prijem - EUR-viac-domacnosti'!$F$121&gt;0,0.00025*C87,0),0))</f>
        <v>0</v>
      </c>
      <c r="L88" s="89">
        <v>72</v>
      </c>
      <c r="M88" s="186" t="e">
        <f t="shared" si="16"/>
        <v>#DIV/0!</v>
      </c>
      <c r="N88" s="171" t="e">
        <f t="shared" si="17"/>
        <v>#DIV/0!</v>
      </c>
      <c r="O88" s="171" t="e">
        <f t="shared" si="10"/>
        <v>#DIV/0!</v>
      </c>
      <c r="P88" s="171" t="e">
        <f t="shared" si="18"/>
        <v>#DIV/0!</v>
      </c>
      <c r="Q88" s="171" t="e">
        <f t="shared" si="19"/>
        <v>#DIV/0!</v>
      </c>
      <c r="R88" s="186">
        <f>IF('prijem - EUR-viac-domacnosti'!$I$120=TRUE,IF($C$11&gt;0,0.00025*N87,0),IF('prijem - EUR-viac-domacnosti'!$I$121=TRUE,IF('prijem - EUR-viac-domacnosti'!$F$121&gt;0,0.00025*N87*-1,0),0))</f>
        <v>0</v>
      </c>
    </row>
    <row r="89" spans="1:18" x14ac:dyDescent="0.2">
      <c r="A89" s="89">
        <v>73</v>
      </c>
      <c r="B89" s="186" t="e">
        <f t="shared" si="11"/>
        <v>#NUM!</v>
      </c>
      <c r="C89" s="171" t="e">
        <f t="shared" si="12"/>
        <v>#NUM!</v>
      </c>
      <c r="D89" s="171" t="e">
        <f t="shared" si="13"/>
        <v>#NUM!</v>
      </c>
      <c r="E89" s="171" t="e">
        <f t="shared" si="14"/>
        <v>#NUM!</v>
      </c>
      <c r="F89" s="171" t="e">
        <f t="shared" si="15"/>
        <v>#NUM!</v>
      </c>
      <c r="G89" s="186">
        <f>IF('prijem - EUR-viac-domacnosti'!$I$120=TRUE,IF($C$11&gt;0,0.00025*C88,0),IF('prijem - EUR-viac-domacnosti'!$I$121=TRUE,IF('prijem - EUR-viac-domacnosti'!$F$121&gt;0,0.00025*C88,0),0))</f>
        <v>0</v>
      </c>
      <c r="L89" s="89">
        <v>73</v>
      </c>
      <c r="M89" s="186" t="e">
        <f t="shared" si="16"/>
        <v>#DIV/0!</v>
      </c>
      <c r="N89" s="171" t="e">
        <f t="shared" si="17"/>
        <v>#DIV/0!</v>
      </c>
      <c r="O89" s="171" t="e">
        <f t="shared" si="10"/>
        <v>#DIV/0!</v>
      </c>
      <c r="P89" s="171" t="e">
        <f t="shared" si="18"/>
        <v>#DIV/0!</v>
      </c>
      <c r="Q89" s="171" t="e">
        <f t="shared" si="19"/>
        <v>#DIV/0!</v>
      </c>
      <c r="R89" s="186">
        <f>IF('prijem - EUR-viac-domacnosti'!$I$120=TRUE,IF($C$11&gt;0,0.00025*N88,0),IF('prijem - EUR-viac-domacnosti'!$I$121=TRUE,IF('prijem - EUR-viac-domacnosti'!$F$121&gt;0,0.00025*N88*-1,0),0))</f>
        <v>0</v>
      </c>
    </row>
    <row r="90" spans="1:18" x14ac:dyDescent="0.2">
      <c r="A90" s="89">
        <v>74</v>
      </c>
      <c r="B90" s="186" t="e">
        <f t="shared" si="11"/>
        <v>#NUM!</v>
      </c>
      <c r="C90" s="171" t="e">
        <f t="shared" si="12"/>
        <v>#NUM!</v>
      </c>
      <c r="D90" s="171" t="e">
        <f t="shared" si="13"/>
        <v>#NUM!</v>
      </c>
      <c r="E90" s="171" t="e">
        <f t="shared" si="14"/>
        <v>#NUM!</v>
      </c>
      <c r="F90" s="171" t="e">
        <f t="shared" si="15"/>
        <v>#NUM!</v>
      </c>
      <c r="G90" s="186">
        <f>IF('prijem - EUR-viac-domacnosti'!$I$120=TRUE,IF($C$11&gt;0,0.00025*C89,0),IF('prijem - EUR-viac-domacnosti'!$I$121=TRUE,IF('prijem - EUR-viac-domacnosti'!$F$121&gt;0,0.00025*C89,0),0))</f>
        <v>0</v>
      </c>
      <c r="L90" s="89">
        <v>74</v>
      </c>
      <c r="M90" s="186" t="e">
        <f t="shared" si="16"/>
        <v>#DIV/0!</v>
      </c>
      <c r="N90" s="171" t="e">
        <f t="shared" si="17"/>
        <v>#DIV/0!</v>
      </c>
      <c r="O90" s="171" t="e">
        <f t="shared" si="10"/>
        <v>#DIV/0!</v>
      </c>
      <c r="P90" s="171" t="e">
        <f t="shared" si="18"/>
        <v>#DIV/0!</v>
      </c>
      <c r="Q90" s="171" t="e">
        <f t="shared" si="19"/>
        <v>#DIV/0!</v>
      </c>
      <c r="R90" s="186">
        <f>IF('prijem - EUR-viac-domacnosti'!$I$120=TRUE,IF($C$11&gt;0,0.00025*N89,0),IF('prijem - EUR-viac-domacnosti'!$I$121=TRUE,IF('prijem - EUR-viac-domacnosti'!$F$121&gt;0,0.00025*N89*-1,0),0))</f>
        <v>0</v>
      </c>
    </row>
    <row r="91" spans="1:18" x14ac:dyDescent="0.2">
      <c r="A91" s="89">
        <v>75</v>
      </c>
      <c r="B91" s="186" t="e">
        <f t="shared" si="11"/>
        <v>#NUM!</v>
      </c>
      <c r="C91" s="171" t="e">
        <f t="shared" si="12"/>
        <v>#NUM!</v>
      </c>
      <c r="D91" s="171" t="e">
        <f t="shared" si="13"/>
        <v>#NUM!</v>
      </c>
      <c r="E91" s="171" t="e">
        <f t="shared" si="14"/>
        <v>#NUM!</v>
      </c>
      <c r="F91" s="171" t="e">
        <f t="shared" si="15"/>
        <v>#NUM!</v>
      </c>
      <c r="G91" s="186">
        <f>IF('prijem - EUR-viac-domacnosti'!$I$120=TRUE,IF($C$11&gt;0,0.00025*C90,0),IF('prijem - EUR-viac-domacnosti'!$I$121=TRUE,IF('prijem - EUR-viac-domacnosti'!$F$121&gt;0,0.00025*C90,0),0))</f>
        <v>0</v>
      </c>
      <c r="L91" s="89">
        <v>75</v>
      </c>
      <c r="M91" s="186" t="e">
        <f t="shared" si="16"/>
        <v>#DIV/0!</v>
      </c>
      <c r="N91" s="171" t="e">
        <f t="shared" si="17"/>
        <v>#DIV/0!</v>
      </c>
      <c r="O91" s="171" t="e">
        <f t="shared" si="10"/>
        <v>#DIV/0!</v>
      </c>
      <c r="P91" s="171" t="e">
        <f t="shared" si="18"/>
        <v>#DIV/0!</v>
      </c>
      <c r="Q91" s="171" t="e">
        <f t="shared" si="19"/>
        <v>#DIV/0!</v>
      </c>
      <c r="R91" s="186">
        <f>IF('prijem - EUR-viac-domacnosti'!$I$120=TRUE,IF($C$11&gt;0,0.00025*N90,0),IF('prijem - EUR-viac-domacnosti'!$I$121=TRUE,IF('prijem - EUR-viac-domacnosti'!$F$121&gt;0,0.00025*N90*-1,0),0))</f>
        <v>0</v>
      </c>
    </row>
    <row r="92" spans="1:18" x14ac:dyDescent="0.2">
      <c r="A92" s="89">
        <v>76</v>
      </c>
      <c r="B92" s="186" t="e">
        <f t="shared" si="11"/>
        <v>#NUM!</v>
      </c>
      <c r="C92" s="171" t="e">
        <f t="shared" si="12"/>
        <v>#NUM!</v>
      </c>
      <c r="D92" s="171" t="e">
        <f t="shared" si="13"/>
        <v>#NUM!</v>
      </c>
      <c r="E92" s="171" t="e">
        <f t="shared" si="14"/>
        <v>#NUM!</v>
      </c>
      <c r="F92" s="171" t="e">
        <f t="shared" si="15"/>
        <v>#NUM!</v>
      </c>
      <c r="G92" s="186">
        <f>IF('prijem - EUR-viac-domacnosti'!$I$120=TRUE,IF($C$11&gt;0,0.00025*C91,0),IF('prijem - EUR-viac-domacnosti'!$I$121=TRUE,IF('prijem - EUR-viac-domacnosti'!$F$121&gt;0,0.00025*C91,0),0))</f>
        <v>0</v>
      </c>
      <c r="L92" s="89">
        <v>76</v>
      </c>
      <c r="M92" s="186" t="e">
        <f t="shared" si="16"/>
        <v>#DIV/0!</v>
      </c>
      <c r="N92" s="171" t="e">
        <f t="shared" si="17"/>
        <v>#DIV/0!</v>
      </c>
      <c r="O92" s="171" t="e">
        <f t="shared" si="10"/>
        <v>#DIV/0!</v>
      </c>
      <c r="P92" s="171" t="e">
        <f t="shared" si="18"/>
        <v>#DIV/0!</v>
      </c>
      <c r="Q92" s="171" t="e">
        <f t="shared" si="19"/>
        <v>#DIV/0!</v>
      </c>
      <c r="R92" s="186">
        <f>IF('prijem - EUR-viac-domacnosti'!$I$120=TRUE,IF($C$11&gt;0,0.00025*N91,0),IF('prijem - EUR-viac-domacnosti'!$I$121=TRUE,IF('prijem - EUR-viac-domacnosti'!$F$121&gt;0,0.00025*N91*-1,0),0))</f>
        <v>0</v>
      </c>
    </row>
    <row r="93" spans="1:18" x14ac:dyDescent="0.2">
      <c r="A93" s="89">
        <v>77</v>
      </c>
      <c r="B93" s="186" t="e">
        <f t="shared" si="11"/>
        <v>#NUM!</v>
      </c>
      <c r="C93" s="171" t="e">
        <f t="shared" si="12"/>
        <v>#NUM!</v>
      </c>
      <c r="D93" s="171" t="e">
        <f t="shared" si="13"/>
        <v>#NUM!</v>
      </c>
      <c r="E93" s="171" t="e">
        <f t="shared" si="14"/>
        <v>#NUM!</v>
      </c>
      <c r="F93" s="171" t="e">
        <f t="shared" si="15"/>
        <v>#NUM!</v>
      </c>
      <c r="G93" s="186">
        <f>IF('prijem - EUR-viac-domacnosti'!$I$120=TRUE,IF($C$11&gt;0,0.00025*C92,0),IF('prijem - EUR-viac-domacnosti'!$I$121=TRUE,IF('prijem - EUR-viac-domacnosti'!$F$121&gt;0,0.00025*C92,0),0))</f>
        <v>0</v>
      </c>
      <c r="L93" s="89">
        <v>77</v>
      </c>
      <c r="M93" s="186" t="e">
        <f t="shared" si="16"/>
        <v>#DIV/0!</v>
      </c>
      <c r="N93" s="171" t="e">
        <f t="shared" si="17"/>
        <v>#DIV/0!</v>
      </c>
      <c r="O93" s="171" t="e">
        <f t="shared" si="10"/>
        <v>#DIV/0!</v>
      </c>
      <c r="P93" s="171" t="e">
        <f t="shared" si="18"/>
        <v>#DIV/0!</v>
      </c>
      <c r="Q93" s="171" t="e">
        <f t="shared" si="19"/>
        <v>#DIV/0!</v>
      </c>
      <c r="R93" s="186">
        <f>IF('prijem - EUR-viac-domacnosti'!$I$120=TRUE,IF($C$11&gt;0,0.00025*N92,0),IF('prijem - EUR-viac-domacnosti'!$I$121=TRUE,IF('prijem - EUR-viac-domacnosti'!$F$121&gt;0,0.00025*N92*-1,0),0))</f>
        <v>0</v>
      </c>
    </row>
    <row r="94" spans="1:18" x14ac:dyDescent="0.2">
      <c r="A94" s="89">
        <v>78</v>
      </c>
      <c r="B94" s="186" t="e">
        <f t="shared" si="11"/>
        <v>#NUM!</v>
      </c>
      <c r="C94" s="171" t="e">
        <f t="shared" si="12"/>
        <v>#NUM!</v>
      </c>
      <c r="D94" s="171" t="e">
        <f t="shared" si="13"/>
        <v>#NUM!</v>
      </c>
      <c r="E94" s="171" t="e">
        <f t="shared" si="14"/>
        <v>#NUM!</v>
      </c>
      <c r="F94" s="171" t="e">
        <f t="shared" si="15"/>
        <v>#NUM!</v>
      </c>
      <c r="G94" s="186">
        <f>IF('prijem - EUR-viac-domacnosti'!$I$120=TRUE,IF($C$11&gt;0,0.00025*C93,0),IF('prijem - EUR-viac-domacnosti'!$I$121=TRUE,IF('prijem - EUR-viac-domacnosti'!$F$121&gt;0,0.00025*C93,0),0))</f>
        <v>0</v>
      </c>
      <c r="L94" s="89">
        <v>78</v>
      </c>
      <c r="M94" s="186" t="e">
        <f t="shared" si="16"/>
        <v>#DIV/0!</v>
      </c>
      <c r="N94" s="171" t="e">
        <f t="shared" si="17"/>
        <v>#DIV/0!</v>
      </c>
      <c r="O94" s="171" t="e">
        <f t="shared" si="10"/>
        <v>#DIV/0!</v>
      </c>
      <c r="P94" s="171" t="e">
        <f t="shared" si="18"/>
        <v>#DIV/0!</v>
      </c>
      <c r="Q94" s="171" t="e">
        <f t="shared" si="19"/>
        <v>#DIV/0!</v>
      </c>
      <c r="R94" s="186">
        <f>IF('prijem - EUR-viac-domacnosti'!$I$120=TRUE,IF($C$11&gt;0,0.00025*N93,0),IF('prijem - EUR-viac-domacnosti'!$I$121=TRUE,IF('prijem - EUR-viac-domacnosti'!$F$121&gt;0,0.00025*N93*-1,0),0))</f>
        <v>0</v>
      </c>
    </row>
    <row r="95" spans="1:18" x14ac:dyDescent="0.2">
      <c r="A95" s="89">
        <v>79</v>
      </c>
      <c r="B95" s="186" t="e">
        <f t="shared" si="11"/>
        <v>#NUM!</v>
      </c>
      <c r="C95" s="171" t="e">
        <f t="shared" si="12"/>
        <v>#NUM!</v>
      </c>
      <c r="D95" s="171" t="e">
        <f t="shared" si="13"/>
        <v>#NUM!</v>
      </c>
      <c r="E95" s="171" t="e">
        <f t="shared" si="14"/>
        <v>#NUM!</v>
      </c>
      <c r="F95" s="171" t="e">
        <f t="shared" si="15"/>
        <v>#NUM!</v>
      </c>
      <c r="G95" s="186">
        <f>IF('prijem - EUR-viac-domacnosti'!$I$120=TRUE,IF($C$11&gt;0,0.00025*C94,0),IF('prijem - EUR-viac-domacnosti'!$I$121=TRUE,IF('prijem - EUR-viac-domacnosti'!$F$121&gt;0,0.00025*C94,0),0))</f>
        <v>0</v>
      </c>
      <c r="L95" s="89">
        <v>79</v>
      </c>
      <c r="M95" s="186" t="e">
        <f t="shared" si="16"/>
        <v>#DIV/0!</v>
      </c>
      <c r="N95" s="171" t="e">
        <f t="shared" si="17"/>
        <v>#DIV/0!</v>
      </c>
      <c r="O95" s="171" t="e">
        <f t="shared" si="10"/>
        <v>#DIV/0!</v>
      </c>
      <c r="P95" s="171" t="e">
        <f t="shared" si="18"/>
        <v>#DIV/0!</v>
      </c>
      <c r="Q95" s="171" t="e">
        <f t="shared" si="19"/>
        <v>#DIV/0!</v>
      </c>
      <c r="R95" s="186">
        <f>IF('prijem - EUR-viac-domacnosti'!$I$120=TRUE,IF($C$11&gt;0,0.00025*N94,0),IF('prijem - EUR-viac-domacnosti'!$I$121=TRUE,IF('prijem - EUR-viac-domacnosti'!$F$121&gt;0,0.00025*N94*-1,0),0))</f>
        <v>0</v>
      </c>
    </row>
    <row r="96" spans="1:18" x14ac:dyDescent="0.2">
      <c r="A96" s="89">
        <v>80</v>
      </c>
      <c r="B96" s="186" t="e">
        <f t="shared" si="11"/>
        <v>#NUM!</v>
      </c>
      <c r="C96" s="171" t="e">
        <f t="shared" si="12"/>
        <v>#NUM!</v>
      </c>
      <c r="D96" s="171" t="e">
        <f t="shared" si="13"/>
        <v>#NUM!</v>
      </c>
      <c r="E96" s="171" t="e">
        <f t="shared" si="14"/>
        <v>#NUM!</v>
      </c>
      <c r="F96" s="171" t="e">
        <f t="shared" si="15"/>
        <v>#NUM!</v>
      </c>
      <c r="G96" s="186">
        <f>IF('prijem - EUR-viac-domacnosti'!$I$120=TRUE,IF($C$11&gt;0,0.00025*C95,0),IF('prijem - EUR-viac-domacnosti'!$I$121=TRUE,IF('prijem - EUR-viac-domacnosti'!$F$121&gt;0,0.00025*C95,0),0))</f>
        <v>0</v>
      </c>
      <c r="L96" s="89">
        <v>80</v>
      </c>
      <c r="M96" s="186" t="e">
        <f t="shared" si="16"/>
        <v>#DIV/0!</v>
      </c>
      <c r="N96" s="171" t="e">
        <f t="shared" si="17"/>
        <v>#DIV/0!</v>
      </c>
      <c r="O96" s="171" t="e">
        <f t="shared" si="10"/>
        <v>#DIV/0!</v>
      </c>
      <c r="P96" s="171" t="e">
        <f t="shared" si="18"/>
        <v>#DIV/0!</v>
      </c>
      <c r="Q96" s="171" t="e">
        <f t="shared" si="19"/>
        <v>#DIV/0!</v>
      </c>
      <c r="R96" s="186">
        <f>IF('prijem - EUR-viac-domacnosti'!$I$120=TRUE,IF($C$11&gt;0,0.00025*N95,0),IF('prijem - EUR-viac-domacnosti'!$I$121=TRUE,IF('prijem - EUR-viac-domacnosti'!$F$121&gt;0,0.00025*N95*-1,0),0))</f>
        <v>0</v>
      </c>
    </row>
    <row r="97" spans="1:18" x14ac:dyDescent="0.2">
      <c r="A97" s="89">
        <v>81</v>
      </c>
      <c r="B97" s="186" t="e">
        <f t="shared" si="11"/>
        <v>#NUM!</v>
      </c>
      <c r="C97" s="171" t="e">
        <f t="shared" si="12"/>
        <v>#NUM!</v>
      </c>
      <c r="D97" s="171" t="e">
        <f t="shared" si="13"/>
        <v>#NUM!</v>
      </c>
      <c r="E97" s="171" t="e">
        <f t="shared" si="14"/>
        <v>#NUM!</v>
      </c>
      <c r="F97" s="171" t="e">
        <f t="shared" si="15"/>
        <v>#NUM!</v>
      </c>
      <c r="G97" s="186">
        <f>IF('prijem - EUR-viac-domacnosti'!$I$120=TRUE,IF($C$11&gt;0,0.00025*C96,0),IF('prijem - EUR-viac-domacnosti'!$I$121=TRUE,IF('prijem - EUR-viac-domacnosti'!$F$121&gt;0,0.00025*C96,0),0))</f>
        <v>0</v>
      </c>
      <c r="L97" s="89">
        <v>81</v>
      </c>
      <c r="M97" s="186" t="e">
        <f t="shared" si="16"/>
        <v>#DIV/0!</v>
      </c>
      <c r="N97" s="171" t="e">
        <f t="shared" si="17"/>
        <v>#DIV/0!</v>
      </c>
      <c r="O97" s="171" t="e">
        <f t="shared" si="10"/>
        <v>#DIV/0!</v>
      </c>
      <c r="P97" s="171" t="e">
        <f t="shared" si="18"/>
        <v>#DIV/0!</v>
      </c>
      <c r="Q97" s="171" t="e">
        <f t="shared" si="19"/>
        <v>#DIV/0!</v>
      </c>
      <c r="R97" s="186">
        <f>IF('prijem - EUR-viac-domacnosti'!$I$120=TRUE,IF($C$11&gt;0,0.00025*N96,0),IF('prijem - EUR-viac-domacnosti'!$I$121=TRUE,IF('prijem - EUR-viac-domacnosti'!$F$121&gt;0,0.00025*N96*-1,0),0))</f>
        <v>0</v>
      </c>
    </row>
    <row r="98" spans="1:18" x14ac:dyDescent="0.2">
      <c r="A98" s="89">
        <v>82</v>
      </c>
      <c r="B98" s="186" t="e">
        <f t="shared" si="11"/>
        <v>#NUM!</v>
      </c>
      <c r="C98" s="171" t="e">
        <f t="shared" si="12"/>
        <v>#NUM!</v>
      </c>
      <c r="D98" s="171" t="e">
        <f t="shared" si="13"/>
        <v>#NUM!</v>
      </c>
      <c r="E98" s="171" t="e">
        <f t="shared" si="14"/>
        <v>#NUM!</v>
      </c>
      <c r="F98" s="171" t="e">
        <f t="shared" si="15"/>
        <v>#NUM!</v>
      </c>
      <c r="G98" s="186">
        <f>IF('prijem - EUR-viac-domacnosti'!$I$120=TRUE,IF($C$11&gt;0,0.00025*C97,0),IF('prijem - EUR-viac-domacnosti'!$I$121=TRUE,IF('prijem - EUR-viac-domacnosti'!$F$121&gt;0,0.00025*C97,0),0))</f>
        <v>0</v>
      </c>
      <c r="L98" s="89">
        <v>82</v>
      </c>
      <c r="M98" s="186" t="e">
        <f t="shared" si="16"/>
        <v>#DIV/0!</v>
      </c>
      <c r="N98" s="171" t="e">
        <f t="shared" si="17"/>
        <v>#DIV/0!</v>
      </c>
      <c r="O98" s="171" t="e">
        <f t="shared" si="10"/>
        <v>#DIV/0!</v>
      </c>
      <c r="P98" s="171" t="e">
        <f t="shared" si="18"/>
        <v>#DIV/0!</v>
      </c>
      <c r="Q98" s="171" t="e">
        <f t="shared" si="19"/>
        <v>#DIV/0!</v>
      </c>
      <c r="R98" s="186">
        <f>IF('prijem - EUR-viac-domacnosti'!$I$120=TRUE,IF($C$11&gt;0,0.00025*N97,0),IF('prijem - EUR-viac-domacnosti'!$I$121=TRUE,IF('prijem - EUR-viac-domacnosti'!$F$121&gt;0,0.00025*N97*-1,0),0))</f>
        <v>0</v>
      </c>
    </row>
    <row r="99" spans="1:18" x14ac:dyDescent="0.2">
      <c r="A99" s="89">
        <v>83</v>
      </c>
      <c r="B99" s="186" t="e">
        <f t="shared" si="11"/>
        <v>#NUM!</v>
      </c>
      <c r="C99" s="171" t="e">
        <f t="shared" si="12"/>
        <v>#NUM!</v>
      </c>
      <c r="D99" s="171" t="e">
        <f t="shared" si="13"/>
        <v>#NUM!</v>
      </c>
      <c r="E99" s="171" t="e">
        <f t="shared" si="14"/>
        <v>#NUM!</v>
      </c>
      <c r="F99" s="171" t="e">
        <f t="shared" si="15"/>
        <v>#NUM!</v>
      </c>
      <c r="G99" s="186">
        <f>IF('prijem - EUR-viac-domacnosti'!$I$120=TRUE,IF($C$11&gt;0,0.00025*C98,0),IF('prijem - EUR-viac-domacnosti'!$I$121=TRUE,IF('prijem - EUR-viac-domacnosti'!$F$121&gt;0,0.00025*C98,0),0))</f>
        <v>0</v>
      </c>
      <c r="L99" s="89">
        <v>83</v>
      </c>
      <c r="M99" s="186" t="e">
        <f t="shared" si="16"/>
        <v>#DIV/0!</v>
      </c>
      <c r="N99" s="171" t="e">
        <f t="shared" si="17"/>
        <v>#DIV/0!</v>
      </c>
      <c r="O99" s="171" t="e">
        <f t="shared" si="10"/>
        <v>#DIV/0!</v>
      </c>
      <c r="P99" s="171" t="e">
        <f t="shared" si="18"/>
        <v>#DIV/0!</v>
      </c>
      <c r="Q99" s="171" t="e">
        <f t="shared" si="19"/>
        <v>#DIV/0!</v>
      </c>
      <c r="R99" s="186">
        <f>IF('prijem - EUR-viac-domacnosti'!$I$120=TRUE,IF($C$11&gt;0,0.00025*N98,0),IF('prijem - EUR-viac-domacnosti'!$I$121=TRUE,IF('prijem - EUR-viac-domacnosti'!$F$121&gt;0,0.00025*N98*-1,0),0))</f>
        <v>0</v>
      </c>
    </row>
    <row r="100" spans="1:18" x14ac:dyDescent="0.2">
      <c r="A100" s="89">
        <v>84</v>
      </c>
      <c r="B100" s="186" t="e">
        <f t="shared" si="11"/>
        <v>#NUM!</v>
      </c>
      <c r="C100" s="171" t="e">
        <f t="shared" si="12"/>
        <v>#NUM!</v>
      </c>
      <c r="D100" s="171" t="e">
        <f t="shared" si="13"/>
        <v>#NUM!</v>
      </c>
      <c r="E100" s="171" t="e">
        <f t="shared" si="14"/>
        <v>#NUM!</v>
      </c>
      <c r="F100" s="171" t="e">
        <f t="shared" si="15"/>
        <v>#NUM!</v>
      </c>
      <c r="G100" s="186">
        <f>IF('prijem - EUR-viac-domacnosti'!$I$120=TRUE,IF($C$11&gt;0,0.00025*C99,0),IF('prijem - EUR-viac-domacnosti'!$I$121=TRUE,IF('prijem - EUR-viac-domacnosti'!$F$121&gt;0,0.00025*C99,0),0))</f>
        <v>0</v>
      </c>
      <c r="L100" s="89">
        <v>84</v>
      </c>
      <c r="M100" s="186" t="e">
        <f t="shared" si="16"/>
        <v>#DIV/0!</v>
      </c>
      <c r="N100" s="171" t="e">
        <f t="shared" si="17"/>
        <v>#DIV/0!</v>
      </c>
      <c r="O100" s="171" t="e">
        <f t="shared" si="10"/>
        <v>#DIV/0!</v>
      </c>
      <c r="P100" s="171" t="e">
        <f t="shared" si="18"/>
        <v>#DIV/0!</v>
      </c>
      <c r="Q100" s="171" t="e">
        <f t="shared" si="19"/>
        <v>#DIV/0!</v>
      </c>
      <c r="R100" s="186">
        <f>IF('prijem - EUR-viac-domacnosti'!$I$120=TRUE,IF($C$11&gt;0,0.00025*N99,0),IF('prijem - EUR-viac-domacnosti'!$I$121=TRUE,IF('prijem - EUR-viac-domacnosti'!$F$121&gt;0,0.00025*N99*-1,0),0))</f>
        <v>0</v>
      </c>
    </row>
    <row r="101" spans="1:18" x14ac:dyDescent="0.2">
      <c r="A101" s="89">
        <v>85</v>
      </c>
      <c r="B101" s="186" t="e">
        <f t="shared" si="11"/>
        <v>#NUM!</v>
      </c>
      <c r="C101" s="171" t="e">
        <f t="shared" si="12"/>
        <v>#NUM!</v>
      </c>
      <c r="D101" s="171" t="e">
        <f t="shared" si="13"/>
        <v>#NUM!</v>
      </c>
      <c r="E101" s="171" t="e">
        <f t="shared" si="14"/>
        <v>#NUM!</v>
      </c>
      <c r="F101" s="171" t="e">
        <f t="shared" si="15"/>
        <v>#NUM!</v>
      </c>
      <c r="G101" s="186">
        <f>IF('prijem - EUR-viac-domacnosti'!$I$120=TRUE,IF($C$11&gt;0,0.00025*C100,0),IF('prijem - EUR-viac-domacnosti'!$I$121=TRUE,IF('prijem - EUR-viac-domacnosti'!$F$121&gt;0,0.00025*C100,0),0))</f>
        <v>0</v>
      </c>
      <c r="L101" s="89">
        <v>85</v>
      </c>
      <c r="M101" s="186" t="e">
        <f t="shared" si="16"/>
        <v>#DIV/0!</v>
      </c>
      <c r="N101" s="171" t="e">
        <f t="shared" si="17"/>
        <v>#DIV/0!</v>
      </c>
      <c r="O101" s="171" t="e">
        <f t="shared" si="10"/>
        <v>#DIV/0!</v>
      </c>
      <c r="P101" s="171" t="e">
        <f t="shared" si="18"/>
        <v>#DIV/0!</v>
      </c>
      <c r="Q101" s="171" t="e">
        <f t="shared" si="19"/>
        <v>#DIV/0!</v>
      </c>
      <c r="R101" s="186">
        <f>IF('prijem - EUR-viac-domacnosti'!$I$120=TRUE,IF($C$11&gt;0,0.00025*N100,0),IF('prijem - EUR-viac-domacnosti'!$I$121=TRUE,IF('prijem - EUR-viac-domacnosti'!$F$121&gt;0,0.00025*N100*-1,0),0))</f>
        <v>0</v>
      </c>
    </row>
    <row r="102" spans="1:18" x14ac:dyDescent="0.2">
      <c r="A102" s="89">
        <v>86</v>
      </c>
      <c r="B102" s="186" t="e">
        <f t="shared" si="11"/>
        <v>#NUM!</v>
      </c>
      <c r="C102" s="171" t="e">
        <f t="shared" si="12"/>
        <v>#NUM!</v>
      </c>
      <c r="D102" s="171" t="e">
        <f t="shared" si="13"/>
        <v>#NUM!</v>
      </c>
      <c r="E102" s="171" t="e">
        <f t="shared" si="14"/>
        <v>#NUM!</v>
      </c>
      <c r="F102" s="171" t="e">
        <f t="shared" si="15"/>
        <v>#NUM!</v>
      </c>
      <c r="G102" s="186">
        <f>IF('prijem - EUR-viac-domacnosti'!$I$120=TRUE,IF($C$11&gt;0,0.00025*C101,0),IF('prijem - EUR-viac-domacnosti'!$I$121=TRUE,IF('prijem - EUR-viac-domacnosti'!$F$121&gt;0,0.00025*C101,0),0))</f>
        <v>0</v>
      </c>
      <c r="L102" s="89">
        <v>86</v>
      </c>
      <c r="M102" s="186" t="e">
        <f t="shared" si="16"/>
        <v>#DIV/0!</v>
      </c>
      <c r="N102" s="171" t="e">
        <f t="shared" si="17"/>
        <v>#DIV/0!</v>
      </c>
      <c r="O102" s="171" t="e">
        <f t="shared" si="10"/>
        <v>#DIV/0!</v>
      </c>
      <c r="P102" s="171" t="e">
        <f t="shared" si="18"/>
        <v>#DIV/0!</v>
      </c>
      <c r="Q102" s="171" t="e">
        <f t="shared" si="19"/>
        <v>#DIV/0!</v>
      </c>
      <c r="R102" s="186">
        <f>IF('prijem - EUR-viac-domacnosti'!$I$120=TRUE,IF($C$11&gt;0,0.00025*N101,0),IF('prijem - EUR-viac-domacnosti'!$I$121=TRUE,IF('prijem - EUR-viac-domacnosti'!$F$121&gt;0,0.00025*N101*-1,0),0))</f>
        <v>0</v>
      </c>
    </row>
    <row r="103" spans="1:18" x14ac:dyDescent="0.2">
      <c r="A103" s="89">
        <v>87</v>
      </c>
      <c r="B103" s="186" t="e">
        <f t="shared" si="11"/>
        <v>#NUM!</v>
      </c>
      <c r="C103" s="171" t="e">
        <f t="shared" si="12"/>
        <v>#NUM!</v>
      </c>
      <c r="D103" s="171" t="e">
        <f t="shared" si="13"/>
        <v>#NUM!</v>
      </c>
      <c r="E103" s="171" t="e">
        <f t="shared" si="14"/>
        <v>#NUM!</v>
      </c>
      <c r="F103" s="171" t="e">
        <f t="shared" si="15"/>
        <v>#NUM!</v>
      </c>
      <c r="G103" s="186">
        <f>IF('prijem - EUR-viac-domacnosti'!$I$120=TRUE,IF($C$11&gt;0,0.00025*C102,0),IF('prijem - EUR-viac-domacnosti'!$I$121=TRUE,IF('prijem - EUR-viac-domacnosti'!$F$121&gt;0,0.00025*C102,0),0))</f>
        <v>0</v>
      </c>
      <c r="L103" s="89">
        <v>87</v>
      </c>
      <c r="M103" s="186" t="e">
        <f t="shared" si="16"/>
        <v>#DIV/0!</v>
      </c>
      <c r="N103" s="171" t="e">
        <f t="shared" si="17"/>
        <v>#DIV/0!</v>
      </c>
      <c r="O103" s="171" t="e">
        <f t="shared" si="10"/>
        <v>#DIV/0!</v>
      </c>
      <c r="P103" s="171" t="e">
        <f t="shared" si="18"/>
        <v>#DIV/0!</v>
      </c>
      <c r="Q103" s="171" t="e">
        <f t="shared" si="19"/>
        <v>#DIV/0!</v>
      </c>
      <c r="R103" s="186">
        <f>IF('prijem - EUR-viac-domacnosti'!$I$120=TRUE,IF($C$11&gt;0,0.00025*N102,0),IF('prijem - EUR-viac-domacnosti'!$I$121=TRUE,IF('prijem - EUR-viac-domacnosti'!$F$121&gt;0,0.00025*N102*-1,0),0))</f>
        <v>0</v>
      </c>
    </row>
    <row r="104" spans="1:18" x14ac:dyDescent="0.2">
      <c r="A104" s="89">
        <v>88</v>
      </c>
      <c r="B104" s="186" t="e">
        <f t="shared" si="11"/>
        <v>#NUM!</v>
      </c>
      <c r="C104" s="171" t="e">
        <f t="shared" si="12"/>
        <v>#NUM!</v>
      </c>
      <c r="D104" s="171" t="e">
        <f t="shared" si="13"/>
        <v>#NUM!</v>
      </c>
      <c r="E104" s="171" t="e">
        <f t="shared" si="14"/>
        <v>#NUM!</v>
      </c>
      <c r="F104" s="171" t="e">
        <f t="shared" si="15"/>
        <v>#NUM!</v>
      </c>
      <c r="G104" s="186">
        <f>IF('prijem - EUR-viac-domacnosti'!$I$120=TRUE,IF($C$11&gt;0,0.00025*C103,0),IF('prijem - EUR-viac-domacnosti'!$I$121=TRUE,IF('prijem - EUR-viac-domacnosti'!$F$121&gt;0,0.00025*C103,0),0))</f>
        <v>0</v>
      </c>
      <c r="L104" s="89">
        <v>88</v>
      </c>
      <c r="M104" s="186" t="e">
        <f t="shared" si="16"/>
        <v>#DIV/0!</v>
      </c>
      <c r="N104" s="171" t="e">
        <f t="shared" si="17"/>
        <v>#DIV/0!</v>
      </c>
      <c r="O104" s="171" t="e">
        <f t="shared" si="10"/>
        <v>#DIV/0!</v>
      </c>
      <c r="P104" s="171" t="e">
        <f t="shared" si="18"/>
        <v>#DIV/0!</v>
      </c>
      <c r="Q104" s="171" t="e">
        <f t="shared" si="19"/>
        <v>#DIV/0!</v>
      </c>
      <c r="R104" s="186">
        <f>IF('prijem - EUR-viac-domacnosti'!$I$120=TRUE,IF($C$11&gt;0,0.00025*N103,0),IF('prijem - EUR-viac-domacnosti'!$I$121=TRUE,IF('prijem - EUR-viac-domacnosti'!$F$121&gt;0,0.00025*N103*-1,0),0))</f>
        <v>0</v>
      </c>
    </row>
    <row r="105" spans="1:18" x14ac:dyDescent="0.2">
      <c r="A105" s="89">
        <v>89</v>
      </c>
      <c r="B105" s="186" t="e">
        <f t="shared" si="11"/>
        <v>#NUM!</v>
      </c>
      <c r="C105" s="171" t="e">
        <f t="shared" si="12"/>
        <v>#NUM!</v>
      </c>
      <c r="D105" s="171" t="e">
        <f t="shared" si="13"/>
        <v>#NUM!</v>
      </c>
      <c r="E105" s="171" t="e">
        <f t="shared" si="14"/>
        <v>#NUM!</v>
      </c>
      <c r="F105" s="171" t="e">
        <f t="shared" si="15"/>
        <v>#NUM!</v>
      </c>
      <c r="G105" s="186">
        <f>IF('prijem - EUR-viac-domacnosti'!$I$120=TRUE,IF($C$11&gt;0,0.00025*C104,0),IF('prijem - EUR-viac-domacnosti'!$I$121=TRUE,IF('prijem - EUR-viac-domacnosti'!$F$121&gt;0,0.00025*C104,0),0))</f>
        <v>0</v>
      </c>
      <c r="L105" s="89">
        <v>89</v>
      </c>
      <c r="M105" s="186" t="e">
        <f t="shared" si="16"/>
        <v>#DIV/0!</v>
      </c>
      <c r="N105" s="171" t="e">
        <f t="shared" si="17"/>
        <v>#DIV/0!</v>
      </c>
      <c r="O105" s="171" t="e">
        <f t="shared" si="10"/>
        <v>#DIV/0!</v>
      </c>
      <c r="P105" s="171" t="e">
        <f t="shared" si="18"/>
        <v>#DIV/0!</v>
      </c>
      <c r="Q105" s="171" t="e">
        <f t="shared" si="19"/>
        <v>#DIV/0!</v>
      </c>
      <c r="R105" s="186">
        <f>IF('prijem - EUR-viac-domacnosti'!$I$120=TRUE,IF($C$11&gt;0,0.00025*N104,0),IF('prijem - EUR-viac-domacnosti'!$I$121=TRUE,IF('prijem - EUR-viac-domacnosti'!$F$121&gt;0,0.00025*N104*-1,0),0))</f>
        <v>0</v>
      </c>
    </row>
    <row r="106" spans="1:18" x14ac:dyDescent="0.2">
      <c r="A106" s="89">
        <v>90</v>
      </c>
      <c r="B106" s="186" t="e">
        <f t="shared" si="11"/>
        <v>#NUM!</v>
      </c>
      <c r="C106" s="171" t="e">
        <f t="shared" si="12"/>
        <v>#NUM!</v>
      </c>
      <c r="D106" s="171" t="e">
        <f t="shared" si="13"/>
        <v>#NUM!</v>
      </c>
      <c r="E106" s="171" t="e">
        <f t="shared" si="14"/>
        <v>#NUM!</v>
      </c>
      <c r="F106" s="171" t="e">
        <f t="shared" si="15"/>
        <v>#NUM!</v>
      </c>
      <c r="G106" s="186">
        <f>IF('prijem - EUR-viac-domacnosti'!$I$120=TRUE,IF($C$11&gt;0,0.00025*C105,0),IF('prijem - EUR-viac-domacnosti'!$I$121=TRUE,IF('prijem - EUR-viac-domacnosti'!$F$121&gt;0,0.00025*C105,0),0))</f>
        <v>0</v>
      </c>
      <c r="L106" s="89">
        <v>90</v>
      </c>
      <c r="M106" s="186" t="e">
        <f t="shared" si="16"/>
        <v>#DIV/0!</v>
      </c>
      <c r="N106" s="171" t="e">
        <f t="shared" si="17"/>
        <v>#DIV/0!</v>
      </c>
      <c r="O106" s="171" t="e">
        <f t="shared" si="10"/>
        <v>#DIV/0!</v>
      </c>
      <c r="P106" s="171" t="e">
        <f t="shared" si="18"/>
        <v>#DIV/0!</v>
      </c>
      <c r="Q106" s="171" t="e">
        <f t="shared" si="19"/>
        <v>#DIV/0!</v>
      </c>
      <c r="R106" s="186">
        <f>IF('prijem - EUR-viac-domacnosti'!$I$120=TRUE,IF($C$11&gt;0,0.00025*N105,0),IF('prijem - EUR-viac-domacnosti'!$I$121=TRUE,IF('prijem - EUR-viac-domacnosti'!$F$121&gt;0,0.00025*N105*-1,0),0))</f>
        <v>0</v>
      </c>
    </row>
    <row r="107" spans="1:18" x14ac:dyDescent="0.2">
      <c r="A107" s="89">
        <v>91</v>
      </c>
      <c r="B107" s="186" t="e">
        <f t="shared" si="11"/>
        <v>#NUM!</v>
      </c>
      <c r="C107" s="171" t="e">
        <f t="shared" si="12"/>
        <v>#NUM!</v>
      </c>
      <c r="D107" s="171" t="e">
        <f t="shared" si="13"/>
        <v>#NUM!</v>
      </c>
      <c r="E107" s="171" t="e">
        <f t="shared" si="14"/>
        <v>#NUM!</v>
      </c>
      <c r="F107" s="171" t="e">
        <f t="shared" si="15"/>
        <v>#NUM!</v>
      </c>
      <c r="G107" s="186">
        <f>IF('prijem - EUR-viac-domacnosti'!$I$120=TRUE,IF($C$11&gt;0,0.00025*C106,0),IF('prijem - EUR-viac-domacnosti'!$I$121=TRUE,IF('prijem - EUR-viac-domacnosti'!$F$121&gt;0,0.00025*C106,0),0))</f>
        <v>0</v>
      </c>
      <c r="L107" s="89">
        <v>91</v>
      </c>
      <c r="M107" s="186" t="e">
        <f t="shared" si="16"/>
        <v>#DIV/0!</v>
      </c>
      <c r="N107" s="171" t="e">
        <f t="shared" si="17"/>
        <v>#DIV/0!</v>
      </c>
      <c r="O107" s="171" t="e">
        <f t="shared" si="10"/>
        <v>#DIV/0!</v>
      </c>
      <c r="P107" s="171" t="e">
        <f t="shared" si="18"/>
        <v>#DIV/0!</v>
      </c>
      <c r="Q107" s="171" t="e">
        <f t="shared" si="19"/>
        <v>#DIV/0!</v>
      </c>
      <c r="R107" s="186">
        <f>IF('prijem - EUR-viac-domacnosti'!$I$120=TRUE,IF($C$11&gt;0,0.00025*N106,0),IF('prijem - EUR-viac-domacnosti'!$I$121=TRUE,IF('prijem - EUR-viac-domacnosti'!$F$121&gt;0,0.00025*N106*-1,0),0))</f>
        <v>0</v>
      </c>
    </row>
    <row r="108" spans="1:18" x14ac:dyDescent="0.2">
      <c r="A108" s="89">
        <v>92</v>
      </c>
      <c r="B108" s="186" t="e">
        <f t="shared" si="11"/>
        <v>#NUM!</v>
      </c>
      <c r="C108" s="171" t="e">
        <f t="shared" si="12"/>
        <v>#NUM!</v>
      </c>
      <c r="D108" s="171" t="e">
        <f t="shared" si="13"/>
        <v>#NUM!</v>
      </c>
      <c r="E108" s="171" t="e">
        <f t="shared" si="14"/>
        <v>#NUM!</v>
      </c>
      <c r="F108" s="171" t="e">
        <f t="shared" si="15"/>
        <v>#NUM!</v>
      </c>
      <c r="G108" s="186">
        <f>IF('prijem - EUR-viac-domacnosti'!$I$120=TRUE,IF($C$11&gt;0,0.00025*C107,0),IF('prijem - EUR-viac-domacnosti'!$I$121=TRUE,IF('prijem - EUR-viac-domacnosti'!$F$121&gt;0,0.00025*C107,0),0))</f>
        <v>0</v>
      </c>
      <c r="L108" s="89">
        <v>92</v>
      </c>
      <c r="M108" s="186" t="e">
        <f t="shared" si="16"/>
        <v>#DIV/0!</v>
      </c>
      <c r="N108" s="171" t="e">
        <f t="shared" si="17"/>
        <v>#DIV/0!</v>
      </c>
      <c r="O108" s="171" t="e">
        <f t="shared" si="10"/>
        <v>#DIV/0!</v>
      </c>
      <c r="P108" s="171" t="e">
        <f t="shared" si="18"/>
        <v>#DIV/0!</v>
      </c>
      <c r="Q108" s="171" t="e">
        <f t="shared" si="19"/>
        <v>#DIV/0!</v>
      </c>
      <c r="R108" s="186">
        <f>IF('prijem - EUR-viac-domacnosti'!$I$120=TRUE,IF($C$11&gt;0,0.00025*N107,0),IF('prijem - EUR-viac-domacnosti'!$I$121=TRUE,IF('prijem - EUR-viac-domacnosti'!$F$121&gt;0,0.00025*N107*-1,0),0))</f>
        <v>0</v>
      </c>
    </row>
    <row r="109" spans="1:18" x14ac:dyDescent="0.2">
      <c r="A109" s="89">
        <v>93</v>
      </c>
      <c r="B109" s="186" t="e">
        <f t="shared" si="11"/>
        <v>#NUM!</v>
      </c>
      <c r="C109" s="171" t="e">
        <f t="shared" si="12"/>
        <v>#NUM!</v>
      </c>
      <c r="D109" s="171" t="e">
        <f t="shared" si="13"/>
        <v>#NUM!</v>
      </c>
      <c r="E109" s="171" t="e">
        <f t="shared" si="14"/>
        <v>#NUM!</v>
      </c>
      <c r="F109" s="171" t="e">
        <f t="shared" si="15"/>
        <v>#NUM!</v>
      </c>
      <c r="G109" s="186">
        <f>IF('prijem - EUR-viac-domacnosti'!$I$120=TRUE,IF($C$11&gt;0,0.00025*C108,0),IF('prijem - EUR-viac-domacnosti'!$I$121=TRUE,IF('prijem - EUR-viac-domacnosti'!$F$121&gt;0,0.00025*C108,0),0))</f>
        <v>0</v>
      </c>
      <c r="L109" s="89">
        <v>93</v>
      </c>
      <c r="M109" s="186" t="e">
        <f t="shared" si="16"/>
        <v>#DIV/0!</v>
      </c>
      <c r="N109" s="171" t="e">
        <f t="shared" si="17"/>
        <v>#DIV/0!</v>
      </c>
      <c r="O109" s="171" t="e">
        <f t="shared" si="10"/>
        <v>#DIV/0!</v>
      </c>
      <c r="P109" s="171" t="e">
        <f t="shared" si="18"/>
        <v>#DIV/0!</v>
      </c>
      <c r="Q109" s="171" t="e">
        <f t="shared" si="19"/>
        <v>#DIV/0!</v>
      </c>
      <c r="R109" s="186">
        <f>IF('prijem - EUR-viac-domacnosti'!$I$120=TRUE,IF($C$11&gt;0,0.00025*N108,0),IF('prijem - EUR-viac-domacnosti'!$I$121=TRUE,IF('prijem - EUR-viac-domacnosti'!$F$121&gt;0,0.00025*N108*-1,0),0))</f>
        <v>0</v>
      </c>
    </row>
    <row r="110" spans="1:18" x14ac:dyDescent="0.2">
      <c r="A110" s="89">
        <v>94</v>
      </c>
      <c r="B110" s="186" t="e">
        <f t="shared" si="11"/>
        <v>#NUM!</v>
      </c>
      <c r="C110" s="171" t="e">
        <f t="shared" si="12"/>
        <v>#NUM!</v>
      </c>
      <c r="D110" s="171" t="e">
        <f t="shared" si="13"/>
        <v>#NUM!</v>
      </c>
      <c r="E110" s="171" t="e">
        <f t="shared" si="14"/>
        <v>#NUM!</v>
      </c>
      <c r="F110" s="171" t="e">
        <f t="shared" si="15"/>
        <v>#NUM!</v>
      </c>
      <c r="G110" s="186">
        <f>IF('prijem - EUR-viac-domacnosti'!$I$120=TRUE,IF($C$11&gt;0,0.00025*C109,0),IF('prijem - EUR-viac-domacnosti'!$I$121=TRUE,IF('prijem - EUR-viac-domacnosti'!$F$121&gt;0,0.00025*C109,0),0))</f>
        <v>0</v>
      </c>
      <c r="L110" s="89">
        <v>94</v>
      </c>
      <c r="M110" s="186" t="e">
        <f t="shared" si="16"/>
        <v>#DIV/0!</v>
      </c>
      <c r="N110" s="171" t="e">
        <f t="shared" si="17"/>
        <v>#DIV/0!</v>
      </c>
      <c r="O110" s="171" t="e">
        <f t="shared" si="10"/>
        <v>#DIV/0!</v>
      </c>
      <c r="P110" s="171" t="e">
        <f t="shared" si="18"/>
        <v>#DIV/0!</v>
      </c>
      <c r="Q110" s="171" t="e">
        <f t="shared" si="19"/>
        <v>#DIV/0!</v>
      </c>
      <c r="R110" s="186">
        <f>IF('prijem - EUR-viac-domacnosti'!$I$120=TRUE,IF($C$11&gt;0,0.00025*N109,0),IF('prijem - EUR-viac-domacnosti'!$I$121=TRUE,IF('prijem - EUR-viac-domacnosti'!$F$121&gt;0,0.00025*N109*-1,0),0))</f>
        <v>0</v>
      </c>
    </row>
    <row r="111" spans="1:18" x14ac:dyDescent="0.2">
      <c r="A111" s="89">
        <v>95</v>
      </c>
      <c r="B111" s="186" t="e">
        <f t="shared" si="11"/>
        <v>#NUM!</v>
      </c>
      <c r="C111" s="171" t="e">
        <f t="shared" si="12"/>
        <v>#NUM!</v>
      </c>
      <c r="D111" s="171" t="e">
        <f t="shared" si="13"/>
        <v>#NUM!</v>
      </c>
      <c r="E111" s="171" t="e">
        <f t="shared" si="14"/>
        <v>#NUM!</v>
      </c>
      <c r="F111" s="171" t="e">
        <f t="shared" si="15"/>
        <v>#NUM!</v>
      </c>
      <c r="G111" s="186">
        <f>IF('prijem - EUR-viac-domacnosti'!$I$120=TRUE,IF($C$11&gt;0,0.00025*C110,0),IF('prijem - EUR-viac-domacnosti'!$I$121=TRUE,IF('prijem - EUR-viac-domacnosti'!$F$121&gt;0,0.00025*C110,0),0))</f>
        <v>0</v>
      </c>
      <c r="L111" s="89">
        <v>95</v>
      </c>
      <c r="M111" s="186" t="e">
        <f t="shared" si="16"/>
        <v>#DIV/0!</v>
      </c>
      <c r="N111" s="171" t="e">
        <f t="shared" si="17"/>
        <v>#DIV/0!</v>
      </c>
      <c r="O111" s="171" t="e">
        <f t="shared" si="10"/>
        <v>#DIV/0!</v>
      </c>
      <c r="P111" s="171" t="e">
        <f t="shared" si="18"/>
        <v>#DIV/0!</v>
      </c>
      <c r="Q111" s="171" t="e">
        <f t="shared" si="19"/>
        <v>#DIV/0!</v>
      </c>
      <c r="R111" s="186">
        <f>IF('prijem - EUR-viac-domacnosti'!$I$120=TRUE,IF($C$11&gt;0,0.00025*N110,0),IF('prijem - EUR-viac-domacnosti'!$I$121=TRUE,IF('prijem - EUR-viac-domacnosti'!$F$121&gt;0,0.00025*N110*-1,0),0))</f>
        <v>0</v>
      </c>
    </row>
    <row r="112" spans="1:18" x14ac:dyDescent="0.2">
      <c r="A112" s="89">
        <v>96</v>
      </c>
      <c r="B112" s="186" t="e">
        <f t="shared" si="11"/>
        <v>#NUM!</v>
      </c>
      <c r="C112" s="171" t="e">
        <f t="shared" si="12"/>
        <v>#NUM!</v>
      </c>
      <c r="D112" s="171" t="e">
        <f t="shared" si="13"/>
        <v>#NUM!</v>
      </c>
      <c r="E112" s="171" t="e">
        <f t="shared" si="14"/>
        <v>#NUM!</v>
      </c>
      <c r="F112" s="171" t="e">
        <f t="shared" si="15"/>
        <v>#NUM!</v>
      </c>
      <c r="G112" s="186">
        <f>IF('prijem - EUR-viac-domacnosti'!$I$120=TRUE,IF($C$11&gt;0,0.00025*C111,0),IF('prijem - EUR-viac-domacnosti'!$I$121=TRUE,IF('prijem - EUR-viac-domacnosti'!$F$121&gt;0,0.00025*C111,0),0))</f>
        <v>0</v>
      </c>
      <c r="L112" s="89">
        <v>96</v>
      </c>
      <c r="M112" s="186" t="e">
        <f t="shared" si="16"/>
        <v>#DIV/0!</v>
      </c>
      <c r="N112" s="171" t="e">
        <f t="shared" si="17"/>
        <v>#DIV/0!</v>
      </c>
      <c r="O112" s="171" t="e">
        <f t="shared" si="10"/>
        <v>#DIV/0!</v>
      </c>
      <c r="P112" s="171" t="e">
        <f t="shared" si="18"/>
        <v>#DIV/0!</v>
      </c>
      <c r="Q112" s="171" t="e">
        <f t="shared" si="19"/>
        <v>#DIV/0!</v>
      </c>
      <c r="R112" s="186">
        <f>IF('prijem - EUR-viac-domacnosti'!$I$120=TRUE,IF($C$11&gt;0,0.00025*N111,0),IF('prijem - EUR-viac-domacnosti'!$I$121=TRUE,IF('prijem - EUR-viac-domacnosti'!$F$121&gt;0,0.00025*N111*-1,0),0))</f>
        <v>0</v>
      </c>
    </row>
    <row r="113" spans="1:18" x14ac:dyDescent="0.2">
      <c r="A113" s="89">
        <v>97</v>
      </c>
      <c r="B113" s="186" t="e">
        <f t="shared" si="11"/>
        <v>#NUM!</v>
      </c>
      <c r="C113" s="171" t="e">
        <f t="shared" si="12"/>
        <v>#NUM!</v>
      </c>
      <c r="D113" s="171" t="e">
        <f t="shared" si="13"/>
        <v>#NUM!</v>
      </c>
      <c r="E113" s="171" t="e">
        <f t="shared" si="14"/>
        <v>#NUM!</v>
      </c>
      <c r="F113" s="171" t="e">
        <f t="shared" si="15"/>
        <v>#NUM!</v>
      </c>
      <c r="G113" s="186">
        <f>IF('prijem - EUR-viac-domacnosti'!$I$120=TRUE,IF($C$11&gt;0,0.00025*C112,0),IF('prijem - EUR-viac-domacnosti'!$I$121=TRUE,IF('prijem - EUR-viac-domacnosti'!$F$121&gt;0,0.00025*C112,0),0))</f>
        <v>0</v>
      </c>
      <c r="L113" s="89">
        <v>97</v>
      </c>
      <c r="M113" s="186" t="e">
        <f t="shared" si="16"/>
        <v>#DIV/0!</v>
      </c>
      <c r="N113" s="171" t="e">
        <f t="shared" si="17"/>
        <v>#DIV/0!</v>
      </c>
      <c r="O113" s="171" t="e">
        <f t="shared" si="10"/>
        <v>#DIV/0!</v>
      </c>
      <c r="P113" s="171" t="e">
        <f t="shared" si="18"/>
        <v>#DIV/0!</v>
      </c>
      <c r="Q113" s="171" t="e">
        <f t="shared" si="19"/>
        <v>#DIV/0!</v>
      </c>
      <c r="R113" s="186">
        <f>IF('prijem - EUR-viac-domacnosti'!$I$120=TRUE,IF($C$11&gt;0,0.00025*N112,0),IF('prijem - EUR-viac-domacnosti'!$I$121=TRUE,IF('prijem - EUR-viac-domacnosti'!$F$121&gt;0,0.00025*N112*-1,0),0))</f>
        <v>0</v>
      </c>
    </row>
    <row r="114" spans="1:18" x14ac:dyDescent="0.2">
      <c r="A114" s="89">
        <v>98</v>
      </c>
      <c r="B114" s="186" t="e">
        <f t="shared" si="11"/>
        <v>#NUM!</v>
      </c>
      <c r="C114" s="171" t="e">
        <f t="shared" si="12"/>
        <v>#NUM!</v>
      </c>
      <c r="D114" s="171" t="e">
        <f t="shared" si="13"/>
        <v>#NUM!</v>
      </c>
      <c r="E114" s="171" t="e">
        <f t="shared" si="14"/>
        <v>#NUM!</v>
      </c>
      <c r="F114" s="171" t="e">
        <f t="shared" si="15"/>
        <v>#NUM!</v>
      </c>
      <c r="G114" s="186">
        <f>IF('prijem - EUR-viac-domacnosti'!$I$120=TRUE,IF($C$11&gt;0,0.00025*C113,0),IF('prijem - EUR-viac-domacnosti'!$I$121=TRUE,IF('prijem - EUR-viac-domacnosti'!$F$121&gt;0,0.00025*C113,0),0))</f>
        <v>0</v>
      </c>
      <c r="L114" s="89">
        <v>98</v>
      </c>
      <c r="M114" s="186" t="e">
        <f t="shared" si="16"/>
        <v>#DIV/0!</v>
      </c>
      <c r="N114" s="171" t="e">
        <f t="shared" si="17"/>
        <v>#DIV/0!</v>
      </c>
      <c r="O114" s="171" t="e">
        <f t="shared" si="10"/>
        <v>#DIV/0!</v>
      </c>
      <c r="P114" s="171" t="e">
        <f t="shared" si="18"/>
        <v>#DIV/0!</v>
      </c>
      <c r="Q114" s="171" t="e">
        <f t="shared" si="19"/>
        <v>#DIV/0!</v>
      </c>
      <c r="R114" s="186">
        <f>IF('prijem - EUR-viac-domacnosti'!$I$120=TRUE,IF($C$11&gt;0,0.00025*N113,0),IF('prijem - EUR-viac-domacnosti'!$I$121=TRUE,IF('prijem - EUR-viac-domacnosti'!$F$121&gt;0,0.00025*N113*-1,0),0))</f>
        <v>0</v>
      </c>
    </row>
    <row r="115" spans="1:18" x14ac:dyDescent="0.2">
      <c r="A115" s="89">
        <v>99</v>
      </c>
      <c r="B115" s="186" t="e">
        <f t="shared" si="11"/>
        <v>#NUM!</v>
      </c>
      <c r="C115" s="171" t="e">
        <f t="shared" si="12"/>
        <v>#NUM!</v>
      </c>
      <c r="D115" s="171" t="e">
        <f t="shared" si="13"/>
        <v>#NUM!</v>
      </c>
      <c r="E115" s="171" t="e">
        <f t="shared" si="14"/>
        <v>#NUM!</v>
      </c>
      <c r="F115" s="171" t="e">
        <f t="shared" si="15"/>
        <v>#NUM!</v>
      </c>
      <c r="G115" s="186">
        <f>IF('prijem - EUR-viac-domacnosti'!$I$120=TRUE,IF($C$11&gt;0,0.00025*C114,0),IF('prijem - EUR-viac-domacnosti'!$I$121=TRUE,IF('prijem - EUR-viac-domacnosti'!$F$121&gt;0,0.00025*C114,0),0))</f>
        <v>0</v>
      </c>
      <c r="L115" s="89">
        <v>99</v>
      </c>
      <c r="M115" s="186" t="e">
        <f t="shared" si="16"/>
        <v>#DIV/0!</v>
      </c>
      <c r="N115" s="171" t="e">
        <f t="shared" si="17"/>
        <v>#DIV/0!</v>
      </c>
      <c r="O115" s="171" t="e">
        <f t="shared" si="10"/>
        <v>#DIV/0!</v>
      </c>
      <c r="P115" s="171" t="e">
        <f t="shared" si="18"/>
        <v>#DIV/0!</v>
      </c>
      <c r="Q115" s="171" t="e">
        <f t="shared" si="19"/>
        <v>#DIV/0!</v>
      </c>
      <c r="R115" s="186">
        <f>IF('prijem - EUR-viac-domacnosti'!$I$120=TRUE,IF($C$11&gt;0,0.00025*N114,0),IF('prijem - EUR-viac-domacnosti'!$I$121=TRUE,IF('prijem - EUR-viac-domacnosti'!$F$121&gt;0,0.00025*N114*-1,0),0))</f>
        <v>0</v>
      </c>
    </row>
    <row r="116" spans="1:18" x14ac:dyDescent="0.2">
      <c r="A116" s="89">
        <v>100</v>
      </c>
      <c r="B116" s="186" t="e">
        <f t="shared" si="11"/>
        <v>#NUM!</v>
      </c>
      <c r="C116" s="171" t="e">
        <f t="shared" si="12"/>
        <v>#NUM!</v>
      </c>
      <c r="D116" s="171" t="e">
        <f t="shared" si="13"/>
        <v>#NUM!</v>
      </c>
      <c r="E116" s="171" t="e">
        <f t="shared" si="14"/>
        <v>#NUM!</v>
      </c>
      <c r="F116" s="171" t="e">
        <f t="shared" si="15"/>
        <v>#NUM!</v>
      </c>
      <c r="G116" s="186">
        <f>IF('prijem - EUR-viac-domacnosti'!$I$120=TRUE,IF($C$11&gt;0,0.00025*C115,0),IF('prijem - EUR-viac-domacnosti'!$I$121=TRUE,IF('prijem - EUR-viac-domacnosti'!$F$121&gt;0,0.00025*C115,0),0))</f>
        <v>0</v>
      </c>
      <c r="L116" s="89">
        <v>100</v>
      </c>
      <c r="M116" s="186" t="e">
        <f t="shared" si="16"/>
        <v>#DIV/0!</v>
      </c>
      <c r="N116" s="171" t="e">
        <f t="shared" si="17"/>
        <v>#DIV/0!</v>
      </c>
      <c r="O116" s="171" t="e">
        <f t="shared" si="10"/>
        <v>#DIV/0!</v>
      </c>
      <c r="P116" s="171" t="e">
        <f t="shared" si="18"/>
        <v>#DIV/0!</v>
      </c>
      <c r="Q116" s="171" t="e">
        <f t="shared" si="19"/>
        <v>#DIV/0!</v>
      </c>
      <c r="R116" s="186">
        <f>IF('prijem - EUR-viac-domacnosti'!$I$120=TRUE,IF($C$11&gt;0,0.00025*N115,0),IF('prijem - EUR-viac-domacnosti'!$I$121=TRUE,IF('prijem - EUR-viac-domacnosti'!$F$121&gt;0,0.00025*N115*-1,0),0))</f>
        <v>0</v>
      </c>
    </row>
    <row r="117" spans="1:18" x14ac:dyDescent="0.2">
      <c r="A117" s="89">
        <v>101</v>
      </c>
      <c r="B117" s="186" t="e">
        <f t="shared" si="11"/>
        <v>#NUM!</v>
      </c>
      <c r="C117" s="171" t="e">
        <f t="shared" si="12"/>
        <v>#NUM!</v>
      </c>
      <c r="D117" s="171" t="e">
        <f t="shared" si="13"/>
        <v>#NUM!</v>
      </c>
      <c r="E117" s="171" t="e">
        <f t="shared" si="14"/>
        <v>#NUM!</v>
      </c>
      <c r="F117" s="171" t="e">
        <f t="shared" si="15"/>
        <v>#NUM!</v>
      </c>
      <c r="G117" s="186">
        <f>IF('prijem - EUR-viac-domacnosti'!$I$120=TRUE,IF($C$11&gt;0,0.00025*C116,0),IF('prijem - EUR-viac-domacnosti'!$I$121=TRUE,IF('prijem - EUR-viac-domacnosti'!$F$121&gt;0,0.00025*C116,0),0))</f>
        <v>0</v>
      </c>
      <c r="L117" s="89">
        <v>101</v>
      </c>
      <c r="M117" s="186" t="e">
        <f t="shared" si="16"/>
        <v>#DIV/0!</v>
      </c>
      <c r="N117" s="171" t="e">
        <f t="shared" si="17"/>
        <v>#DIV/0!</v>
      </c>
      <c r="O117" s="171" t="e">
        <f t="shared" si="10"/>
        <v>#DIV/0!</v>
      </c>
      <c r="P117" s="171" t="e">
        <f t="shared" si="18"/>
        <v>#DIV/0!</v>
      </c>
      <c r="Q117" s="171" t="e">
        <f t="shared" si="19"/>
        <v>#DIV/0!</v>
      </c>
      <c r="R117" s="186">
        <f>IF('prijem - EUR-viac-domacnosti'!$I$120=TRUE,IF($C$11&gt;0,0.00025*N116,0),IF('prijem - EUR-viac-domacnosti'!$I$121=TRUE,IF('prijem - EUR-viac-domacnosti'!$F$121&gt;0,0.00025*N116*-1,0),0))</f>
        <v>0</v>
      </c>
    </row>
    <row r="118" spans="1:18" x14ac:dyDescent="0.2">
      <c r="A118" s="89">
        <v>102</v>
      </c>
      <c r="B118" s="186" t="e">
        <f t="shared" si="11"/>
        <v>#NUM!</v>
      </c>
      <c r="C118" s="171" t="e">
        <f t="shared" si="12"/>
        <v>#NUM!</v>
      </c>
      <c r="D118" s="171" t="e">
        <f t="shared" si="13"/>
        <v>#NUM!</v>
      </c>
      <c r="E118" s="171" t="e">
        <f t="shared" si="14"/>
        <v>#NUM!</v>
      </c>
      <c r="F118" s="171" t="e">
        <f t="shared" si="15"/>
        <v>#NUM!</v>
      </c>
      <c r="G118" s="186">
        <f>IF('prijem - EUR-viac-domacnosti'!$I$120=TRUE,IF($C$11&gt;0,0.00025*C117,0),IF('prijem - EUR-viac-domacnosti'!$I$121=TRUE,IF('prijem - EUR-viac-domacnosti'!$F$121&gt;0,0.00025*C117,0),0))</f>
        <v>0</v>
      </c>
      <c r="L118" s="89">
        <v>102</v>
      </c>
      <c r="M118" s="186" t="e">
        <f t="shared" si="16"/>
        <v>#DIV/0!</v>
      </c>
      <c r="N118" s="171" t="e">
        <f t="shared" si="17"/>
        <v>#DIV/0!</v>
      </c>
      <c r="O118" s="171" t="e">
        <f t="shared" si="10"/>
        <v>#DIV/0!</v>
      </c>
      <c r="P118" s="171" t="e">
        <f t="shared" si="18"/>
        <v>#DIV/0!</v>
      </c>
      <c r="Q118" s="171" t="e">
        <f t="shared" si="19"/>
        <v>#DIV/0!</v>
      </c>
      <c r="R118" s="186">
        <f>IF('prijem - EUR-viac-domacnosti'!$I$120=TRUE,IF($C$11&gt;0,0.00025*N117,0),IF('prijem - EUR-viac-domacnosti'!$I$121=TRUE,IF('prijem - EUR-viac-domacnosti'!$F$121&gt;0,0.00025*N117*-1,0),0))</f>
        <v>0</v>
      </c>
    </row>
    <row r="119" spans="1:18" x14ac:dyDescent="0.2">
      <c r="A119" s="89">
        <v>103</v>
      </c>
      <c r="B119" s="186" t="e">
        <f t="shared" si="11"/>
        <v>#NUM!</v>
      </c>
      <c r="C119" s="171" t="e">
        <f t="shared" si="12"/>
        <v>#NUM!</v>
      </c>
      <c r="D119" s="171" t="e">
        <f t="shared" si="13"/>
        <v>#NUM!</v>
      </c>
      <c r="E119" s="171" t="e">
        <f t="shared" si="14"/>
        <v>#NUM!</v>
      </c>
      <c r="F119" s="171" t="e">
        <f t="shared" si="15"/>
        <v>#NUM!</v>
      </c>
      <c r="G119" s="186">
        <f>IF('prijem - EUR-viac-domacnosti'!$I$120=TRUE,IF($C$11&gt;0,0.00025*C118,0),IF('prijem - EUR-viac-domacnosti'!$I$121=TRUE,IF('prijem - EUR-viac-domacnosti'!$F$121&gt;0,0.00025*C118,0),0))</f>
        <v>0</v>
      </c>
      <c r="L119" s="89">
        <v>103</v>
      </c>
      <c r="M119" s="186" t="e">
        <f t="shared" si="16"/>
        <v>#DIV/0!</v>
      </c>
      <c r="N119" s="171" t="e">
        <f t="shared" si="17"/>
        <v>#DIV/0!</v>
      </c>
      <c r="O119" s="171" t="e">
        <f t="shared" si="10"/>
        <v>#DIV/0!</v>
      </c>
      <c r="P119" s="171" t="e">
        <f t="shared" si="18"/>
        <v>#DIV/0!</v>
      </c>
      <c r="Q119" s="171" t="e">
        <f t="shared" si="19"/>
        <v>#DIV/0!</v>
      </c>
      <c r="R119" s="186">
        <f>IF('prijem - EUR-viac-domacnosti'!$I$120=TRUE,IF($C$11&gt;0,0.00025*N118,0),IF('prijem - EUR-viac-domacnosti'!$I$121=TRUE,IF('prijem - EUR-viac-domacnosti'!$F$121&gt;0,0.00025*N118*-1,0),0))</f>
        <v>0</v>
      </c>
    </row>
    <row r="120" spans="1:18" x14ac:dyDescent="0.2">
      <c r="A120" s="89">
        <v>104</v>
      </c>
      <c r="B120" s="186" t="e">
        <f t="shared" si="11"/>
        <v>#NUM!</v>
      </c>
      <c r="C120" s="171" t="e">
        <f t="shared" si="12"/>
        <v>#NUM!</v>
      </c>
      <c r="D120" s="171" t="e">
        <f t="shared" si="13"/>
        <v>#NUM!</v>
      </c>
      <c r="E120" s="171" t="e">
        <f t="shared" si="14"/>
        <v>#NUM!</v>
      </c>
      <c r="F120" s="171" t="e">
        <f t="shared" si="15"/>
        <v>#NUM!</v>
      </c>
      <c r="G120" s="186">
        <f>IF('prijem - EUR-viac-domacnosti'!$I$120=TRUE,IF($C$11&gt;0,0.00025*C119,0),IF('prijem - EUR-viac-domacnosti'!$I$121=TRUE,IF('prijem - EUR-viac-domacnosti'!$F$121&gt;0,0.00025*C119,0),0))</f>
        <v>0</v>
      </c>
      <c r="L120" s="89">
        <v>104</v>
      </c>
      <c r="M120" s="186" t="e">
        <f t="shared" si="16"/>
        <v>#DIV/0!</v>
      </c>
      <c r="N120" s="171" t="e">
        <f t="shared" si="17"/>
        <v>#DIV/0!</v>
      </c>
      <c r="O120" s="171" t="e">
        <f t="shared" si="10"/>
        <v>#DIV/0!</v>
      </c>
      <c r="P120" s="171" t="e">
        <f t="shared" si="18"/>
        <v>#DIV/0!</v>
      </c>
      <c r="Q120" s="171" t="e">
        <f t="shared" si="19"/>
        <v>#DIV/0!</v>
      </c>
      <c r="R120" s="186">
        <f>IF('prijem - EUR-viac-domacnosti'!$I$120=TRUE,IF($C$11&gt;0,0.00025*N119,0),IF('prijem - EUR-viac-domacnosti'!$I$121=TRUE,IF('prijem - EUR-viac-domacnosti'!$F$121&gt;0,0.00025*N119*-1,0),0))</f>
        <v>0</v>
      </c>
    </row>
    <row r="121" spans="1:18" x14ac:dyDescent="0.2">
      <c r="A121" s="89">
        <v>105</v>
      </c>
      <c r="B121" s="186" t="e">
        <f t="shared" si="11"/>
        <v>#NUM!</v>
      </c>
      <c r="C121" s="171" t="e">
        <f t="shared" si="12"/>
        <v>#NUM!</v>
      </c>
      <c r="D121" s="171" t="e">
        <f t="shared" si="13"/>
        <v>#NUM!</v>
      </c>
      <c r="E121" s="171" t="e">
        <f t="shared" si="14"/>
        <v>#NUM!</v>
      </c>
      <c r="F121" s="171" t="e">
        <f t="shared" si="15"/>
        <v>#NUM!</v>
      </c>
      <c r="G121" s="186">
        <f>IF('prijem - EUR-viac-domacnosti'!$I$120=TRUE,IF($C$11&gt;0,0.00025*C120,0),IF('prijem - EUR-viac-domacnosti'!$I$121=TRUE,IF('prijem - EUR-viac-domacnosti'!$F$121&gt;0,0.00025*C120,0),0))</f>
        <v>0</v>
      </c>
      <c r="L121" s="89">
        <v>105</v>
      </c>
      <c r="M121" s="186" t="e">
        <f t="shared" si="16"/>
        <v>#DIV/0!</v>
      </c>
      <c r="N121" s="171" t="e">
        <f t="shared" si="17"/>
        <v>#DIV/0!</v>
      </c>
      <c r="O121" s="171" t="e">
        <f t="shared" si="10"/>
        <v>#DIV/0!</v>
      </c>
      <c r="P121" s="171" t="e">
        <f t="shared" si="18"/>
        <v>#DIV/0!</v>
      </c>
      <c r="Q121" s="171" t="e">
        <f t="shared" si="19"/>
        <v>#DIV/0!</v>
      </c>
      <c r="R121" s="186">
        <f>IF('prijem - EUR-viac-domacnosti'!$I$120=TRUE,IF($C$11&gt;0,0.00025*N120,0),IF('prijem - EUR-viac-domacnosti'!$I$121=TRUE,IF('prijem - EUR-viac-domacnosti'!$F$121&gt;0,0.00025*N120*-1,0),0))</f>
        <v>0</v>
      </c>
    </row>
    <row r="122" spans="1:18" x14ac:dyDescent="0.2">
      <c r="A122" s="89">
        <v>106</v>
      </c>
      <c r="B122" s="186" t="e">
        <f t="shared" si="11"/>
        <v>#NUM!</v>
      </c>
      <c r="C122" s="171" t="e">
        <f t="shared" si="12"/>
        <v>#NUM!</v>
      </c>
      <c r="D122" s="171" t="e">
        <f t="shared" si="13"/>
        <v>#NUM!</v>
      </c>
      <c r="E122" s="171" t="e">
        <f t="shared" si="14"/>
        <v>#NUM!</v>
      </c>
      <c r="F122" s="171" t="e">
        <f t="shared" si="15"/>
        <v>#NUM!</v>
      </c>
      <c r="G122" s="186">
        <f>IF('prijem - EUR-viac-domacnosti'!$I$120=TRUE,IF($C$11&gt;0,0.00025*C121,0),IF('prijem - EUR-viac-domacnosti'!$I$121=TRUE,IF('prijem - EUR-viac-domacnosti'!$F$121&gt;0,0.00025*C121,0),0))</f>
        <v>0</v>
      </c>
      <c r="L122" s="89">
        <v>106</v>
      </c>
      <c r="M122" s="186" t="e">
        <f t="shared" si="16"/>
        <v>#DIV/0!</v>
      </c>
      <c r="N122" s="171" t="e">
        <f t="shared" si="17"/>
        <v>#DIV/0!</v>
      </c>
      <c r="O122" s="171" t="e">
        <f t="shared" si="10"/>
        <v>#DIV/0!</v>
      </c>
      <c r="P122" s="171" t="e">
        <f t="shared" si="18"/>
        <v>#DIV/0!</v>
      </c>
      <c r="Q122" s="171" t="e">
        <f t="shared" si="19"/>
        <v>#DIV/0!</v>
      </c>
      <c r="R122" s="186">
        <f>IF('prijem - EUR-viac-domacnosti'!$I$120=TRUE,IF($C$11&gt;0,0.00025*N121,0),IF('prijem - EUR-viac-domacnosti'!$I$121=TRUE,IF('prijem - EUR-viac-domacnosti'!$F$121&gt;0,0.00025*N121*-1,0),0))</f>
        <v>0</v>
      </c>
    </row>
    <row r="123" spans="1:18" x14ac:dyDescent="0.2">
      <c r="A123" s="89">
        <v>107</v>
      </c>
      <c r="B123" s="186" t="e">
        <f t="shared" si="11"/>
        <v>#NUM!</v>
      </c>
      <c r="C123" s="171" t="e">
        <f t="shared" si="12"/>
        <v>#NUM!</v>
      </c>
      <c r="D123" s="171" t="e">
        <f t="shared" si="13"/>
        <v>#NUM!</v>
      </c>
      <c r="E123" s="171" t="e">
        <f t="shared" si="14"/>
        <v>#NUM!</v>
      </c>
      <c r="F123" s="171" t="e">
        <f t="shared" si="15"/>
        <v>#NUM!</v>
      </c>
      <c r="G123" s="186">
        <f>IF('prijem - EUR-viac-domacnosti'!$I$120=TRUE,IF($C$11&gt;0,0.00025*C122,0),IF('prijem - EUR-viac-domacnosti'!$I$121=TRUE,IF('prijem - EUR-viac-domacnosti'!$F$121&gt;0,0.00025*C122,0),0))</f>
        <v>0</v>
      </c>
      <c r="L123" s="89">
        <v>107</v>
      </c>
      <c r="M123" s="186" t="e">
        <f t="shared" si="16"/>
        <v>#DIV/0!</v>
      </c>
      <c r="N123" s="171" t="e">
        <f t="shared" si="17"/>
        <v>#DIV/0!</v>
      </c>
      <c r="O123" s="171" t="e">
        <f t="shared" si="10"/>
        <v>#DIV/0!</v>
      </c>
      <c r="P123" s="171" t="e">
        <f t="shared" si="18"/>
        <v>#DIV/0!</v>
      </c>
      <c r="Q123" s="171" t="e">
        <f t="shared" si="19"/>
        <v>#DIV/0!</v>
      </c>
      <c r="R123" s="186">
        <f>IF('prijem - EUR-viac-domacnosti'!$I$120=TRUE,IF($C$11&gt;0,0.00025*N122,0),IF('prijem - EUR-viac-domacnosti'!$I$121=TRUE,IF('prijem - EUR-viac-domacnosti'!$F$121&gt;0,0.00025*N122*-1,0),0))</f>
        <v>0</v>
      </c>
    </row>
    <row r="124" spans="1:18" x14ac:dyDescent="0.2">
      <c r="A124" s="89">
        <v>108</v>
      </c>
      <c r="B124" s="186" t="e">
        <f t="shared" si="11"/>
        <v>#NUM!</v>
      </c>
      <c r="C124" s="171" t="e">
        <f t="shared" si="12"/>
        <v>#NUM!</v>
      </c>
      <c r="D124" s="171" t="e">
        <f t="shared" si="13"/>
        <v>#NUM!</v>
      </c>
      <c r="E124" s="171" t="e">
        <f t="shared" si="14"/>
        <v>#NUM!</v>
      </c>
      <c r="F124" s="171" t="e">
        <f t="shared" si="15"/>
        <v>#NUM!</v>
      </c>
      <c r="G124" s="186">
        <f>IF('prijem - EUR-viac-domacnosti'!$I$120=TRUE,IF($C$11&gt;0,0.00025*C123,0),IF('prijem - EUR-viac-domacnosti'!$I$121=TRUE,IF('prijem - EUR-viac-domacnosti'!$F$121&gt;0,0.00025*C123,0),0))</f>
        <v>0</v>
      </c>
      <c r="L124" s="89">
        <v>108</v>
      </c>
      <c r="M124" s="186" t="e">
        <f t="shared" si="16"/>
        <v>#DIV/0!</v>
      </c>
      <c r="N124" s="171" t="e">
        <f t="shared" si="17"/>
        <v>#DIV/0!</v>
      </c>
      <c r="O124" s="171" t="e">
        <f t="shared" si="10"/>
        <v>#DIV/0!</v>
      </c>
      <c r="P124" s="171" t="e">
        <f t="shared" si="18"/>
        <v>#DIV/0!</v>
      </c>
      <c r="Q124" s="171" t="e">
        <f t="shared" si="19"/>
        <v>#DIV/0!</v>
      </c>
      <c r="R124" s="186">
        <f>IF('prijem - EUR-viac-domacnosti'!$I$120=TRUE,IF($C$11&gt;0,0.00025*N123,0),IF('prijem - EUR-viac-domacnosti'!$I$121=TRUE,IF('prijem - EUR-viac-domacnosti'!$F$121&gt;0,0.00025*N123*-1,0),0))</f>
        <v>0</v>
      </c>
    </row>
    <row r="125" spans="1:18" x14ac:dyDescent="0.2">
      <c r="A125" s="89">
        <v>109</v>
      </c>
      <c r="B125" s="186" t="e">
        <f t="shared" si="11"/>
        <v>#NUM!</v>
      </c>
      <c r="C125" s="171" t="e">
        <f t="shared" si="12"/>
        <v>#NUM!</v>
      </c>
      <c r="D125" s="171" t="e">
        <f t="shared" si="13"/>
        <v>#NUM!</v>
      </c>
      <c r="E125" s="171" t="e">
        <f t="shared" si="14"/>
        <v>#NUM!</v>
      </c>
      <c r="F125" s="171" t="e">
        <f t="shared" si="15"/>
        <v>#NUM!</v>
      </c>
      <c r="G125" s="186">
        <f>IF('prijem - EUR-viac-domacnosti'!$I$120=TRUE,IF($C$11&gt;0,0.00025*C124,0),IF('prijem - EUR-viac-domacnosti'!$I$121=TRUE,IF('prijem - EUR-viac-domacnosti'!$F$121&gt;0,0.00025*C124,0),0))</f>
        <v>0</v>
      </c>
      <c r="L125" s="89">
        <v>109</v>
      </c>
      <c r="M125" s="186" t="e">
        <f t="shared" si="16"/>
        <v>#DIV/0!</v>
      </c>
      <c r="N125" s="171" t="e">
        <f t="shared" si="17"/>
        <v>#DIV/0!</v>
      </c>
      <c r="O125" s="171" t="e">
        <f t="shared" si="10"/>
        <v>#DIV/0!</v>
      </c>
      <c r="P125" s="171" t="e">
        <f t="shared" si="18"/>
        <v>#DIV/0!</v>
      </c>
      <c r="Q125" s="171" t="e">
        <f t="shared" si="19"/>
        <v>#DIV/0!</v>
      </c>
      <c r="R125" s="186">
        <f>IF('prijem - EUR-viac-domacnosti'!$I$120=TRUE,IF($C$11&gt;0,0.00025*N124,0),IF('prijem - EUR-viac-domacnosti'!$I$121=TRUE,IF('prijem - EUR-viac-domacnosti'!$F$121&gt;0,0.00025*N124*-1,0),0))</f>
        <v>0</v>
      </c>
    </row>
    <row r="126" spans="1:18" x14ac:dyDescent="0.2">
      <c r="A126" s="89">
        <v>110</v>
      </c>
      <c r="B126" s="186" t="e">
        <f t="shared" si="11"/>
        <v>#NUM!</v>
      </c>
      <c r="C126" s="171" t="e">
        <f t="shared" si="12"/>
        <v>#NUM!</v>
      </c>
      <c r="D126" s="171" t="e">
        <f t="shared" si="13"/>
        <v>#NUM!</v>
      </c>
      <c r="E126" s="171" t="e">
        <f t="shared" si="14"/>
        <v>#NUM!</v>
      </c>
      <c r="F126" s="171" t="e">
        <f t="shared" si="15"/>
        <v>#NUM!</v>
      </c>
      <c r="G126" s="186">
        <f>IF('prijem - EUR-viac-domacnosti'!$I$120=TRUE,IF($C$11&gt;0,0.00025*C125,0),IF('prijem - EUR-viac-domacnosti'!$I$121=TRUE,IF('prijem - EUR-viac-domacnosti'!$F$121&gt;0,0.00025*C125,0),0))</f>
        <v>0</v>
      </c>
      <c r="L126" s="89">
        <v>110</v>
      </c>
      <c r="M126" s="186" t="e">
        <f t="shared" si="16"/>
        <v>#DIV/0!</v>
      </c>
      <c r="N126" s="171" t="e">
        <f t="shared" si="17"/>
        <v>#DIV/0!</v>
      </c>
      <c r="O126" s="171" t="e">
        <f t="shared" si="10"/>
        <v>#DIV/0!</v>
      </c>
      <c r="P126" s="171" t="e">
        <f t="shared" si="18"/>
        <v>#DIV/0!</v>
      </c>
      <c r="Q126" s="171" t="e">
        <f t="shared" si="19"/>
        <v>#DIV/0!</v>
      </c>
      <c r="R126" s="186">
        <f>IF('prijem - EUR-viac-domacnosti'!$I$120=TRUE,IF($C$11&gt;0,0.00025*N125,0),IF('prijem - EUR-viac-domacnosti'!$I$121=TRUE,IF('prijem - EUR-viac-domacnosti'!$F$121&gt;0,0.00025*N125*-1,0),0))</f>
        <v>0</v>
      </c>
    </row>
    <row r="127" spans="1:18" x14ac:dyDescent="0.2">
      <c r="A127" s="89">
        <v>111</v>
      </c>
      <c r="B127" s="186" t="e">
        <f t="shared" si="11"/>
        <v>#NUM!</v>
      </c>
      <c r="C127" s="171" t="e">
        <f t="shared" si="12"/>
        <v>#NUM!</v>
      </c>
      <c r="D127" s="171" t="e">
        <f t="shared" si="13"/>
        <v>#NUM!</v>
      </c>
      <c r="E127" s="171" t="e">
        <f t="shared" si="14"/>
        <v>#NUM!</v>
      </c>
      <c r="F127" s="171" t="e">
        <f t="shared" si="15"/>
        <v>#NUM!</v>
      </c>
      <c r="G127" s="186">
        <f>IF('prijem - EUR-viac-domacnosti'!$I$120=TRUE,IF($C$11&gt;0,0.00025*C126,0),IF('prijem - EUR-viac-domacnosti'!$I$121=TRUE,IF('prijem - EUR-viac-domacnosti'!$F$121&gt;0,0.00025*C126,0),0))</f>
        <v>0</v>
      </c>
      <c r="L127" s="89">
        <v>111</v>
      </c>
      <c r="M127" s="186" t="e">
        <f t="shared" si="16"/>
        <v>#DIV/0!</v>
      </c>
      <c r="N127" s="171" t="e">
        <f t="shared" si="17"/>
        <v>#DIV/0!</v>
      </c>
      <c r="O127" s="171" t="e">
        <f t="shared" si="10"/>
        <v>#DIV/0!</v>
      </c>
      <c r="P127" s="171" t="e">
        <f t="shared" si="18"/>
        <v>#DIV/0!</v>
      </c>
      <c r="Q127" s="171" t="e">
        <f t="shared" si="19"/>
        <v>#DIV/0!</v>
      </c>
      <c r="R127" s="186">
        <f>IF('prijem - EUR-viac-domacnosti'!$I$120=TRUE,IF($C$11&gt;0,0.00025*N126,0),IF('prijem - EUR-viac-domacnosti'!$I$121=TRUE,IF('prijem - EUR-viac-domacnosti'!$F$121&gt;0,0.00025*N126*-1,0),0))</f>
        <v>0</v>
      </c>
    </row>
    <row r="128" spans="1:18" x14ac:dyDescent="0.2">
      <c r="A128" s="89">
        <v>112</v>
      </c>
      <c r="B128" s="186" t="e">
        <f t="shared" si="11"/>
        <v>#NUM!</v>
      </c>
      <c r="C128" s="171" t="e">
        <f t="shared" si="12"/>
        <v>#NUM!</v>
      </c>
      <c r="D128" s="171" t="e">
        <f t="shared" si="13"/>
        <v>#NUM!</v>
      </c>
      <c r="E128" s="171" t="e">
        <f t="shared" si="14"/>
        <v>#NUM!</v>
      </c>
      <c r="F128" s="171" t="e">
        <f t="shared" si="15"/>
        <v>#NUM!</v>
      </c>
      <c r="G128" s="186">
        <f>IF('prijem - EUR-viac-domacnosti'!$I$120=TRUE,IF($C$11&gt;0,0.00025*C127,0),IF('prijem - EUR-viac-domacnosti'!$I$121=TRUE,IF('prijem - EUR-viac-domacnosti'!$F$121&gt;0,0.00025*C127,0),0))</f>
        <v>0</v>
      </c>
      <c r="L128" s="89">
        <v>112</v>
      </c>
      <c r="M128" s="186" t="e">
        <f t="shared" si="16"/>
        <v>#DIV/0!</v>
      </c>
      <c r="N128" s="171" t="e">
        <f t="shared" si="17"/>
        <v>#DIV/0!</v>
      </c>
      <c r="O128" s="171" t="e">
        <f t="shared" si="10"/>
        <v>#DIV/0!</v>
      </c>
      <c r="P128" s="171" t="e">
        <f t="shared" si="18"/>
        <v>#DIV/0!</v>
      </c>
      <c r="Q128" s="171" t="e">
        <f t="shared" si="19"/>
        <v>#DIV/0!</v>
      </c>
      <c r="R128" s="186">
        <f>IF('prijem - EUR-viac-domacnosti'!$I$120=TRUE,IF($C$11&gt;0,0.00025*N127,0),IF('prijem - EUR-viac-domacnosti'!$I$121=TRUE,IF('prijem - EUR-viac-domacnosti'!$F$121&gt;0,0.00025*N127*-1,0),0))</f>
        <v>0</v>
      </c>
    </row>
    <row r="129" spans="1:18" x14ac:dyDescent="0.2">
      <c r="A129" s="89">
        <v>113</v>
      </c>
      <c r="B129" s="186" t="e">
        <f t="shared" si="11"/>
        <v>#NUM!</v>
      </c>
      <c r="C129" s="171" t="e">
        <f t="shared" si="12"/>
        <v>#NUM!</v>
      </c>
      <c r="D129" s="171" t="e">
        <f t="shared" si="13"/>
        <v>#NUM!</v>
      </c>
      <c r="E129" s="171" t="e">
        <f t="shared" si="14"/>
        <v>#NUM!</v>
      </c>
      <c r="F129" s="171" t="e">
        <f t="shared" si="15"/>
        <v>#NUM!</v>
      </c>
      <c r="G129" s="186">
        <f>IF('prijem - EUR-viac-domacnosti'!$I$120=TRUE,IF($C$11&gt;0,0.00025*C128,0),IF('prijem - EUR-viac-domacnosti'!$I$121=TRUE,IF('prijem - EUR-viac-domacnosti'!$F$121&gt;0,0.00025*C128,0),0))</f>
        <v>0</v>
      </c>
      <c r="L129" s="89">
        <v>113</v>
      </c>
      <c r="M129" s="186" t="e">
        <f t="shared" si="16"/>
        <v>#DIV/0!</v>
      </c>
      <c r="N129" s="171" t="e">
        <f t="shared" si="17"/>
        <v>#DIV/0!</v>
      </c>
      <c r="O129" s="171" t="e">
        <f t="shared" si="10"/>
        <v>#DIV/0!</v>
      </c>
      <c r="P129" s="171" t="e">
        <f t="shared" si="18"/>
        <v>#DIV/0!</v>
      </c>
      <c r="Q129" s="171" t="e">
        <f t="shared" si="19"/>
        <v>#DIV/0!</v>
      </c>
      <c r="R129" s="186">
        <f>IF('prijem - EUR-viac-domacnosti'!$I$120=TRUE,IF($C$11&gt;0,0.00025*N128,0),IF('prijem - EUR-viac-domacnosti'!$I$121=TRUE,IF('prijem - EUR-viac-domacnosti'!$F$121&gt;0,0.00025*N128*-1,0),0))</f>
        <v>0</v>
      </c>
    </row>
    <row r="130" spans="1:18" x14ac:dyDescent="0.2">
      <c r="A130" s="89">
        <v>114</v>
      </c>
      <c r="B130" s="186" t="e">
        <f t="shared" si="11"/>
        <v>#NUM!</v>
      </c>
      <c r="C130" s="171" t="e">
        <f t="shared" si="12"/>
        <v>#NUM!</v>
      </c>
      <c r="D130" s="171" t="e">
        <f t="shared" si="13"/>
        <v>#NUM!</v>
      </c>
      <c r="E130" s="171" t="e">
        <f t="shared" si="14"/>
        <v>#NUM!</v>
      </c>
      <c r="F130" s="171" t="e">
        <f t="shared" si="15"/>
        <v>#NUM!</v>
      </c>
      <c r="G130" s="186">
        <f>IF('prijem - EUR-viac-domacnosti'!$I$120=TRUE,IF($C$11&gt;0,0.00025*C129,0),IF('prijem - EUR-viac-domacnosti'!$I$121=TRUE,IF('prijem - EUR-viac-domacnosti'!$F$121&gt;0,0.00025*C129,0),0))</f>
        <v>0</v>
      </c>
      <c r="L130" s="89">
        <v>114</v>
      </c>
      <c r="M130" s="186" t="e">
        <f t="shared" si="16"/>
        <v>#DIV/0!</v>
      </c>
      <c r="N130" s="171" t="e">
        <f t="shared" si="17"/>
        <v>#DIV/0!</v>
      </c>
      <c r="O130" s="171" t="e">
        <f t="shared" si="10"/>
        <v>#DIV/0!</v>
      </c>
      <c r="P130" s="171" t="e">
        <f t="shared" si="18"/>
        <v>#DIV/0!</v>
      </c>
      <c r="Q130" s="171" t="e">
        <f t="shared" si="19"/>
        <v>#DIV/0!</v>
      </c>
      <c r="R130" s="186">
        <f>IF('prijem - EUR-viac-domacnosti'!$I$120=TRUE,IF($C$11&gt;0,0.00025*N129,0),IF('prijem - EUR-viac-domacnosti'!$I$121=TRUE,IF('prijem - EUR-viac-domacnosti'!$F$121&gt;0,0.00025*N129*-1,0),0))</f>
        <v>0</v>
      </c>
    </row>
    <row r="131" spans="1:18" x14ac:dyDescent="0.2">
      <c r="A131" s="89">
        <v>115</v>
      </c>
      <c r="B131" s="186" t="e">
        <f t="shared" si="11"/>
        <v>#NUM!</v>
      </c>
      <c r="C131" s="171" t="e">
        <f t="shared" si="12"/>
        <v>#NUM!</v>
      </c>
      <c r="D131" s="171" t="e">
        <f t="shared" si="13"/>
        <v>#NUM!</v>
      </c>
      <c r="E131" s="171" t="e">
        <f t="shared" si="14"/>
        <v>#NUM!</v>
      </c>
      <c r="F131" s="171" t="e">
        <f t="shared" si="15"/>
        <v>#NUM!</v>
      </c>
      <c r="G131" s="186">
        <f>IF('prijem - EUR-viac-domacnosti'!$I$120=TRUE,IF($C$11&gt;0,0.00025*C130,0),IF('prijem - EUR-viac-domacnosti'!$I$121=TRUE,IF('prijem - EUR-viac-domacnosti'!$F$121&gt;0,0.00025*C130,0),0))</f>
        <v>0</v>
      </c>
      <c r="L131" s="89">
        <v>115</v>
      </c>
      <c r="M131" s="186" t="e">
        <f t="shared" si="16"/>
        <v>#DIV/0!</v>
      </c>
      <c r="N131" s="171" t="e">
        <f t="shared" si="17"/>
        <v>#DIV/0!</v>
      </c>
      <c r="O131" s="171" t="e">
        <f t="shared" si="10"/>
        <v>#DIV/0!</v>
      </c>
      <c r="P131" s="171" t="e">
        <f t="shared" si="18"/>
        <v>#DIV/0!</v>
      </c>
      <c r="Q131" s="171" t="e">
        <f t="shared" si="19"/>
        <v>#DIV/0!</v>
      </c>
      <c r="R131" s="186">
        <f>IF('prijem - EUR-viac-domacnosti'!$I$120=TRUE,IF($C$11&gt;0,0.00025*N130,0),IF('prijem - EUR-viac-domacnosti'!$I$121=TRUE,IF('prijem - EUR-viac-domacnosti'!$F$121&gt;0,0.00025*N130*-1,0),0))</f>
        <v>0</v>
      </c>
    </row>
    <row r="132" spans="1:18" x14ac:dyDescent="0.2">
      <c r="A132" s="89">
        <v>116</v>
      </c>
      <c r="B132" s="186" t="e">
        <f t="shared" si="11"/>
        <v>#NUM!</v>
      </c>
      <c r="C132" s="171" t="e">
        <f t="shared" si="12"/>
        <v>#NUM!</v>
      </c>
      <c r="D132" s="171" t="e">
        <f t="shared" si="13"/>
        <v>#NUM!</v>
      </c>
      <c r="E132" s="171" t="e">
        <f t="shared" si="14"/>
        <v>#NUM!</v>
      </c>
      <c r="F132" s="171" t="e">
        <f t="shared" si="15"/>
        <v>#NUM!</v>
      </c>
      <c r="G132" s="186">
        <f>IF('prijem - EUR-viac-domacnosti'!$I$120=TRUE,IF($C$11&gt;0,0.00025*C131,0),IF('prijem - EUR-viac-domacnosti'!$I$121=TRUE,IF('prijem - EUR-viac-domacnosti'!$F$121&gt;0,0.00025*C131,0),0))</f>
        <v>0</v>
      </c>
      <c r="L132" s="89">
        <v>116</v>
      </c>
      <c r="M132" s="186" t="e">
        <f t="shared" si="16"/>
        <v>#DIV/0!</v>
      </c>
      <c r="N132" s="171" t="e">
        <f t="shared" si="17"/>
        <v>#DIV/0!</v>
      </c>
      <c r="O132" s="171" t="e">
        <f t="shared" si="10"/>
        <v>#DIV/0!</v>
      </c>
      <c r="P132" s="171" t="e">
        <f t="shared" si="18"/>
        <v>#DIV/0!</v>
      </c>
      <c r="Q132" s="171" t="e">
        <f t="shared" si="19"/>
        <v>#DIV/0!</v>
      </c>
      <c r="R132" s="186">
        <f>IF('prijem - EUR-viac-domacnosti'!$I$120=TRUE,IF($C$11&gt;0,0.00025*N131,0),IF('prijem - EUR-viac-domacnosti'!$I$121=TRUE,IF('prijem - EUR-viac-domacnosti'!$F$121&gt;0,0.00025*N131*-1,0),0))</f>
        <v>0</v>
      </c>
    </row>
    <row r="133" spans="1:18" x14ac:dyDescent="0.2">
      <c r="A133" s="89">
        <v>117</v>
      </c>
      <c r="B133" s="186" t="e">
        <f t="shared" si="11"/>
        <v>#NUM!</v>
      </c>
      <c r="C133" s="171" t="e">
        <f t="shared" si="12"/>
        <v>#NUM!</v>
      </c>
      <c r="D133" s="171" t="e">
        <f t="shared" si="13"/>
        <v>#NUM!</v>
      </c>
      <c r="E133" s="171" t="e">
        <f t="shared" si="14"/>
        <v>#NUM!</v>
      </c>
      <c r="F133" s="171" t="e">
        <f t="shared" si="15"/>
        <v>#NUM!</v>
      </c>
      <c r="G133" s="186">
        <f>IF('prijem - EUR-viac-domacnosti'!$I$120=TRUE,IF($C$11&gt;0,0.00025*C132,0),IF('prijem - EUR-viac-domacnosti'!$I$121=TRUE,IF('prijem - EUR-viac-domacnosti'!$F$121&gt;0,0.00025*C132,0),0))</f>
        <v>0</v>
      </c>
      <c r="L133" s="89">
        <v>117</v>
      </c>
      <c r="M133" s="186" t="e">
        <f t="shared" si="16"/>
        <v>#DIV/0!</v>
      </c>
      <c r="N133" s="171" t="e">
        <f t="shared" si="17"/>
        <v>#DIV/0!</v>
      </c>
      <c r="O133" s="171" t="e">
        <f t="shared" si="10"/>
        <v>#DIV/0!</v>
      </c>
      <c r="P133" s="171" t="e">
        <f t="shared" si="18"/>
        <v>#DIV/0!</v>
      </c>
      <c r="Q133" s="171" t="e">
        <f t="shared" si="19"/>
        <v>#DIV/0!</v>
      </c>
      <c r="R133" s="186">
        <f>IF('prijem - EUR-viac-domacnosti'!$I$120=TRUE,IF($C$11&gt;0,0.00025*N132,0),IF('prijem - EUR-viac-domacnosti'!$I$121=TRUE,IF('prijem - EUR-viac-domacnosti'!$F$121&gt;0,0.00025*N132*-1,0),0))</f>
        <v>0</v>
      </c>
    </row>
    <row r="134" spans="1:18" x14ac:dyDescent="0.2">
      <c r="A134" s="89">
        <v>118</v>
      </c>
      <c r="B134" s="186" t="e">
        <f t="shared" si="11"/>
        <v>#NUM!</v>
      </c>
      <c r="C134" s="171" t="e">
        <f t="shared" si="12"/>
        <v>#NUM!</v>
      </c>
      <c r="D134" s="171" t="e">
        <f t="shared" si="13"/>
        <v>#NUM!</v>
      </c>
      <c r="E134" s="171" t="e">
        <f t="shared" si="14"/>
        <v>#NUM!</v>
      </c>
      <c r="F134" s="171" t="e">
        <f t="shared" si="15"/>
        <v>#NUM!</v>
      </c>
      <c r="G134" s="186">
        <f>IF('prijem - EUR-viac-domacnosti'!$I$120=TRUE,IF($C$11&gt;0,0.00025*C133,0),IF('prijem - EUR-viac-domacnosti'!$I$121=TRUE,IF('prijem - EUR-viac-domacnosti'!$F$121&gt;0,0.00025*C133,0),0))</f>
        <v>0</v>
      </c>
      <c r="L134" s="89">
        <v>118</v>
      </c>
      <c r="M134" s="186" t="e">
        <f t="shared" si="16"/>
        <v>#DIV/0!</v>
      </c>
      <c r="N134" s="171" t="e">
        <f t="shared" si="17"/>
        <v>#DIV/0!</v>
      </c>
      <c r="O134" s="171" t="e">
        <f t="shared" si="10"/>
        <v>#DIV/0!</v>
      </c>
      <c r="P134" s="171" t="e">
        <f t="shared" si="18"/>
        <v>#DIV/0!</v>
      </c>
      <c r="Q134" s="171" t="e">
        <f t="shared" si="19"/>
        <v>#DIV/0!</v>
      </c>
      <c r="R134" s="186">
        <f>IF('prijem - EUR-viac-domacnosti'!$I$120=TRUE,IF($C$11&gt;0,0.00025*N133,0),IF('prijem - EUR-viac-domacnosti'!$I$121=TRUE,IF('prijem - EUR-viac-domacnosti'!$F$121&gt;0,0.00025*N133*-1,0),0))</f>
        <v>0</v>
      </c>
    </row>
    <row r="135" spans="1:18" x14ac:dyDescent="0.2">
      <c r="A135" s="89">
        <v>119</v>
      </c>
      <c r="B135" s="186" t="e">
        <f t="shared" si="11"/>
        <v>#NUM!</v>
      </c>
      <c r="C135" s="171" t="e">
        <f t="shared" si="12"/>
        <v>#NUM!</v>
      </c>
      <c r="D135" s="171" t="e">
        <f t="shared" si="13"/>
        <v>#NUM!</v>
      </c>
      <c r="E135" s="171" t="e">
        <f t="shared" si="14"/>
        <v>#NUM!</v>
      </c>
      <c r="F135" s="171" t="e">
        <f t="shared" si="15"/>
        <v>#NUM!</v>
      </c>
      <c r="G135" s="186">
        <f>IF('prijem - EUR-viac-domacnosti'!$I$120=TRUE,IF($C$11&gt;0,0.00025*C134,0),IF('prijem - EUR-viac-domacnosti'!$I$121=TRUE,IF('prijem - EUR-viac-domacnosti'!$F$121&gt;0,0.00025*C134,0),0))</f>
        <v>0</v>
      </c>
      <c r="L135" s="89">
        <v>119</v>
      </c>
      <c r="M135" s="186" t="e">
        <f t="shared" si="16"/>
        <v>#DIV/0!</v>
      </c>
      <c r="N135" s="171" t="e">
        <f t="shared" si="17"/>
        <v>#DIV/0!</v>
      </c>
      <c r="O135" s="171" t="e">
        <f t="shared" si="10"/>
        <v>#DIV/0!</v>
      </c>
      <c r="P135" s="171" t="e">
        <f t="shared" si="18"/>
        <v>#DIV/0!</v>
      </c>
      <c r="Q135" s="171" t="e">
        <f t="shared" si="19"/>
        <v>#DIV/0!</v>
      </c>
      <c r="R135" s="186">
        <f>IF('prijem - EUR-viac-domacnosti'!$I$120=TRUE,IF($C$11&gt;0,0.00025*N134,0),IF('prijem - EUR-viac-domacnosti'!$I$121=TRUE,IF('prijem - EUR-viac-domacnosti'!$F$121&gt;0,0.00025*N134*-1,0),0))</f>
        <v>0</v>
      </c>
    </row>
    <row r="136" spans="1:18" x14ac:dyDescent="0.2">
      <c r="A136" s="89">
        <v>120</v>
      </c>
      <c r="B136" s="186" t="e">
        <f t="shared" si="11"/>
        <v>#NUM!</v>
      </c>
      <c r="C136" s="171" t="e">
        <f t="shared" si="12"/>
        <v>#NUM!</v>
      </c>
      <c r="D136" s="171" t="e">
        <f t="shared" si="13"/>
        <v>#NUM!</v>
      </c>
      <c r="E136" s="171" t="e">
        <f t="shared" si="14"/>
        <v>#NUM!</v>
      </c>
      <c r="F136" s="171" t="e">
        <f t="shared" si="15"/>
        <v>#NUM!</v>
      </c>
      <c r="G136" s="186">
        <f>IF('prijem - EUR-viac-domacnosti'!$I$120=TRUE,IF($C$11&gt;0,0.00025*C135,0),IF('prijem - EUR-viac-domacnosti'!$I$121=TRUE,IF('prijem - EUR-viac-domacnosti'!$F$121&gt;0,0.00025*C135,0),0))</f>
        <v>0</v>
      </c>
      <c r="L136" s="89">
        <v>120</v>
      </c>
      <c r="M136" s="186" t="e">
        <f t="shared" si="16"/>
        <v>#DIV/0!</v>
      </c>
      <c r="N136" s="171" t="e">
        <f t="shared" si="17"/>
        <v>#DIV/0!</v>
      </c>
      <c r="O136" s="171" t="e">
        <f t="shared" si="10"/>
        <v>#DIV/0!</v>
      </c>
      <c r="P136" s="171" t="e">
        <f t="shared" si="18"/>
        <v>#DIV/0!</v>
      </c>
      <c r="Q136" s="171" t="e">
        <f t="shared" si="19"/>
        <v>#DIV/0!</v>
      </c>
      <c r="R136" s="186">
        <f>IF('prijem - EUR-viac-domacnosti'!$I$120=TRUE,IF($C$11&gt;0,0.00025*N135,0),IF('prijem - EUR-viac-domacnosti'!$I$121=TRUE,IF('prijem - EUR-viac-domacnosti'!$F$121&gt;0,0.00025*N135*-1,0),0))</f>
        <v>0</v>
      </c>
    </row>
    <row r="137" spans="1:18" x14ac:dyDescent="0.2">
      <c r="A137" s="89">
        <v>121</v>
      </c>
      <c r="B137" s="186" t="e">
        <f t="shared" si="11"/>
        <v>#NUM!</v>
      </c>
      <c r="C137" s="171" t="e">
        <f t="shared" si="12"/>
        <v>#NUM!</v>
      </c>
      <c r="D137" s="171" t="e">
        <f t="shared" si="13"/>
        <v>#NUM!</v>
      </c>
      <c r="E137" s="171" t="e">
        <f t="shared" si="14"/>
        <v>#NUM!</v>
      </c>
      <c r="F137" s="171" t="e">
        <f t="shared" si="15"/>
        <v>#NUM!</v>
      </c>
      <c r="G137" s="186">
        <f>IF('prijem - EUR-viac-domacnosti'!$I$120=TRUE,IF($C$11&gt;0,0.00025*C136,0),IF('prijem - EUR-viac-domacnosti'!$I$121=TRUE,IF('prijem - EUR-viac-domacnosti'!$F$121&gt;0,0.00025*C136,0),0))</f>
        <v>0</v>
      </c>
      <c r="L137" s="89">
        <v>121</v>
      </c>
      <c r="M137" s="186" t="e">
        <f t="shared" si="16"/>
        <v>#DIV/0!</v>
      </c>
      <c r="N137" s="171" t="e">
        <f t="shared" si="17"/>
        <v>#DIV/0!</v>
      </c>
      <c r="O137" s="171" t="e">
        <f t="shared" si="10"/>
        <v>#DIV/0!</v>
      </c>
      <c r="P137" s="171" t="e">
        <f t="shared" si="18"/>
        <v>#DIV/0!</v>
      </c>
      <c r="Q137" s="171" t="e">
        <f t="shared" si="19"/>
        <v>#DIV/0!</v>
      </c>
      <c r="R137" s="186">
        <f>IF('prijem - EUR-viac-domacnosti'!$I$120=TRUE,IF($C$11&gt;0,0.00025*N136,0),IF('prijem - EUR-viac-domacnosti'!$I$121=TRUE,IF('prijem - EUR-viac-domacnosti'!$F$121&gt;0,0.00025*N136*-1,0),0))</f>
        <v>0</v>
      </c>
    </row>
    <row r="138" spans="1:18" x14ac:dyDescent="0.2">
      <c r="A138" s="89">
        <v>122</v>
      </c>
      <c r="B138" s="186" t="e">
        <f t="shared" si="11"/>
        <v>#NUM!</v>
      </c>
      <c r="C138" s="171" t="e">
        <f t="shared" si="12"/>
        <v>#NUM!</v>
      </c>
      <c r="D138" s="171" t="e">
        <f t="shared" si="13"/>
        <v>#NUM!</v>
      </c>
      <c r="E138" s="171" t="e">
        <f t="shared" si="14"/>
        <v>#NUM!</v>
      </c>
      <c r="F138" s="171" t="e">
        <f t="shared" si="15"/>
        <v>#NUM!</v>
      </c>
      <c r="G138" s="186">
        <f>IF('prijem - EUR-viac-domacnosti'!$I$120=TRUE,IF($C$11&gt;0,0.00025*C137,0),IF('prijem - EUR-viac-domacnosti'!$I$121=TRUE,IF('prijem - EUR-viac-domacnosti'!$F$121&gt;0,0.00025*C137,0),0))</f>
        <v>0</v>
      </c>
      <c r="L138" s="89">
        <v>122</v>
      </c>
      <c r="M138" s="186" t="e">
        <f t="shared" si="16"/>
        <v>#DIV/0!</v>
      </c>
      <c r="N138" s="171" t="e">
        <f t="shared" si="17"/>
        <v>#DIV/0!</v>
      </c>
      <c r="O138" s="171" t="e">
        <f t="shared" si="10"/>
        <v>#DIV/0!</v>
      </c>
      <c r="P138" s="171" t="e">
        <f t="shared" si="18"/>
        <v>#DIV/0!</v>
      </c>
      <c r="Q138" s="171" t="e">
        <f t="shared" si="19"/>
        <v>#DIV/0!</v>
      </c>
      <c r="R138" s="186">
        <f>IF('prijem - EUR-viac-domacnosti'!$I$120=TRUE,IF($C$11&gt;0,0.00025*N137,0),IF('prijem - EUR-viac-domacnosti'!$I$121=TRUE,IF('prijem - EUR-viac-domacnosti'!$F$121&gt;0,0.00025*N137*-1,0),0))</f>
        <v>0</v>
      </c>
    </row>
    <row r="139" spans="1:18" x14ac:dyDescent="0.2">
      <c r="A139" s="89">
        <v>123</v>
      </c>
      <c r="B139" s="186" t="e">
        <f t="shared" si="11"/>
        <v>#NUM!</v>
      </c>
      <c r="C139" s="171" t="e">
        <f t="shared" si="12"/>
        <v>#NUM!</v>
      </c>
      <c r="D139" s="171" t="e">
        <f t="shared" si="13"/>
        <v>#NUM!</v>
      </c>
      <c r="E139" s="171" t="e">
        <f t="shared" si="14"/>
        <v>#NUM!</v>
      </c>
      <c r="F139" s="171" t="e">
        <f t="shared" si="15"/>
        <v>#NUM!</v>
      </c>
      <c r="G139" s="186">
        <f>IF('prijem - EUR-viac-domacnosti'!$I$120=TRUE,IF($C$11&gt;0,0.00025*C138,0),IF('prijem - EUR-viac-domacnosti'!$I$121=TRUE,IF('prijem - EUR-viac-domacnosti'!$F$121&gt;0,0.00025*C138,0),0))</f>
        <v>0</v>
      </c>
      <c r="L139" s="89">
        <v>123</v>
      </c>
      <c r="M139" s="186" t="e">
        <f t="shared" si="16"/>
        <v>#DIV/0!</v>
      </c>
      <c r="N139" s="171" t="e">
        <f t="shared" si="17"/>
        <v>#DIV/0!</v>
      </c>
      <c r="O139" s="171" t="e">
        <f t="shared" si="10"/>
        <v>#DIV/0!</v>
      </c>
      <c r="P139" s="171" t="e">
        <f t="shared" si="18"/>
        <v>#DIV/0!</v>
      </c>
      <c r="Q139" s="171" t="e">
        <f t="shared" si="19"/>
        <v>#DIV/0!</v>
      </c>
      <c r="R139" s="186">
        <f>IF('prijem - EUR-viac-domacnosti'!$I$120=TRUE,IF($C$11&gt;0,0.00025*N138,0),IF('prijem - EUR-viac-domacnosti'!$I$121=TRUE,IF('prijem - EUR-viac-domacnosti'!$F$121&gt;0,0.00025*N138*-1,0),0))</f>
        <v>0</v>
      </c>
    </row>
    <row r="140" spans="1:18" x14ac:dyDescent="0.2">
      <c r="A140" s="89">
        <v>124</v>
      </c>
      <c r="B140" s="186" t="e">
        <f t="shared" si="11"/>
        <v>#NUM!</v>
      </c>
      <c r="C140" s="171" t="e">
        <f t="shared" si="12"/>
        <v>#NUM!</v>
      </c>
      <c r="D140" s="171" t="e">
        <f t="shared" si="13"/>
        <v>#NUM!</v>
      </c>
      <c r="E140" s="171" t="e">
        <f t="shared" si="14"/>
        <v>#NUM!</v>
      </c>
      <c r="F140" s="171" t="e">
        <f t="shared" si="15"/>
        <v>#NUM!</v>
      </c>
      <c r="G140" s="186">
        <f>IF('prijem - EUR-viac-domacnosti'!$I$120=TRUE,IF($C$11&gt;0,0.00025*C139,0),IF('prijem - EUR-viac-domacnosti'!$I$121=TRUE,IF('prijem - EUR-viac-domacnosti'!$F$121&gt;0,0.00025*C139,0),0))</f>
        <v>0</v>
      </c>
      <c r="L140" s="89">
        <v>124</v>
      </c>
      <c r="M140" s="186" t="e">
        <f t="shared" si="16"/>
        <v>#DIV/0!</v>
      </c>
      <c r="N140" s="171" t="e">
        <f t="shared" si="17"/>
        <v>#DIV/0!</v>
      </c>
      <c r="O140" s="171" t="e">
        <f t="shared" si="10"/>
        <v>#DIV/0!</v>
      </c>
      <c r="P140" s="171" t="e">
        <f t="shared" si="18"/>
        <v>#DIV/0!</v>
      </c>
      <c r="Q140" s="171" t="e">
        <f t="shared" si="19"/>
        <v>#DIV/0!</v>
      </c>
      <c r="R140" s="186">
        <f>IF('prijem - EUR-viac-domacnosti'!$I$120=TRUE,IF($C$11&gt;0,0.00025*N139,0),IF('prijem - EUR-viac-domacnosti'!$I$121=TRUE,IF('prijem - EUR-viac-domacnosti'!$F$121&gt;0,0.00025*N139*-1,0),0))</f>
        <v>0</v>
      </c>
    </row>
    <row r="141" spans="1:18" x14ac:dyDescent="0.2">
      <c r="A141" s="89">
        <v>125</v>
      </c>
      <c r="B141" s="186" t="e">
        <f t="shared" si="11"/>
        <v>#NUM!</v>
      </c>
      <c r="C141" s="171" t="e">
        <f t="shared" si="12"/>
        <v>#NUM!</v>
      </c>
      <c r="D141" s="171" t="e">
        <f t="shared" si="13"/>
        <v>#NUM!</v>
      </c>
      <c r="E141" s="171" t="e">
        <f t="shared" si="14"/>
        <v>#NUM!</v>
      </c>
      <c r="F141" s="171" t="e">
        <f t="shared" si="15"/>
        <v>#NUM!</v>
      </c>
      <c r="G141" s="186">
        <f>IF('prijem - EUR-viac-domacnosti'!$I$120=TRUE,IF($C$11&gt;0,0.00025*C140,0),IF('prijem - EUR-viac-domacnosti'!$I$121=TRUE,IF('prijem - EUR-viac-domacnosti'!$F$121&gt;0,0.00025*C140,0),0))</f>
        <v>0</v>
      </c>
      <c r="L141" s="89">
        <v>125</v>
      </c>
      <c r="M141" s="186" t="e">
        <f t="shared" si="16"/>
        <v>#DIV/0!</v>
      </c>
      <c r="N141" s="171" t="e">
        <f t="shared" si="17"/>
        <v>#DIV/0!</v>
      </c>
      <c r="O141" s="171" t="e">
        <f t="shared" si="10"/>
        <v>#DIV/0!</v>
      </c>
      <c r="P141" s="171" t="e">
        <f t="shared" si="18"/>
        <v>#DIV/0!</v>
      </c>
      <c r="Q141" s="171" t="e">
        <f t="shared" si="19"/>
        <v>#DIV/0!</v>
      </c>
      <c r="R141" s="186">
        <f>IF('prijem - EUR-viac-domacnosti'!$I$120=TRUE,IF($C$11&gt;0,0.00025*N140,0),IF('prijem - EUR-viac-domacnosti'!$I$121=TRUE,IF('prijem - EUR-viac-domacnosti'!$F$121&gt;0,0.00025*N140*-1,0),0))</f>
        <v>0</v>
      </c>
    </row>
    <row r="142" spans="1:18" x14ac:dyDescent="0.2">
      <c r="A142" s="89">
        <v>126</v>
      </c>
      <c r="B142" s="186" t="e">
        <f t="shared" si="11"/>
        <v>#NUM!</v>
      </c>
      <c r="C142" s="171" t="e">
        <f t="shared" si="12"/>
        <v>#NUM!</v>
      </c>
      <c r="D142" s="171" t="e">
        <f t="shared" si="13"/>
        <v>#NUM!</v>
      </c>
      <c r="E142" s="171" t="e">
        <f t="shared" si="14"/>
        <v>#NUM!</v>
      </c>
      <c r="F142" s="171" t="e">
        <f t="shared" si="15"/>
        <v>#NUM!</v>
      </c>
      <c r="G142" s="186">
        <f>IF('prijem - EUR-viac-domacnosti'!$I$120=TRUE,IF($C$11&gt;0,0.00025*C141,0),IF('prijem - EUR-viac-domacnosti'!$I$121=TRUE,IF('prijem - EUR-viac-domacnosti'!$F$121&gt;0,0.00025*C141,0),0))</f>
        <v>0</v>
      </c>
      <c r="L142" s="89">
        <v>126</v>
      </c>
      <c r="M142" s="186" t="e">
        <f t="shared" si="16"/>
        <v>#DIV/0!</v>
      </c>
      <c r="N142" s="171" t="e">
        <f t="shared" si="17"/>
        <v>#DIV/0!</v>
      </c>
      <c r="O142" s="171" t="e">
        <f t="shared" si="10"/>
        <v>#DIV/0!</v>
      </c>
      <c r="P142" s="171" t="e">
        <f t="shared" si="18"/>
        <v>#DIV/0!</v>
      </c>
      <c r="Q142" s="171" t="e">
        <f t="shared" si="19"/>
        <v>#DIV/0!</v>
      </c>
      <c r="R142" s="186">
        <f>IF('prijem - EUR-viac-domacnosti'!$I$120=TRUE,IF($C$11&gt;0,0.00025*N141,0),IF('prijem - EUR-viac-domacnosti'!$I$121=TRUE,IF('prijem - EUR-viac-domacnosti'!$F$121&gt;0,0.00025*N141*-1,0),0))</f>
        <v>0</v>
      </c>
    </row>
    <row r="143" spans="1:18" x14ac:dyDescent="0.2">
      <c r="A143" s="89">
        <v>127</v>
      </c>
      <c r="B143" s="186" t="e">
        <f t="shared" si="11"/>
        <v>#NUM!</v>
      </c>
      <c r="C143" s="171" t="e">
        <f t="shared" si="12"/>
        <v>#NUM!</v>
      </c>
      <c r="D143" s="171" t="e">
        <f t="shared" si="13"/>
        <v>#NUM!</v>
      </c>
      <c r="E143" s="171" t="e">
        <f t="shared" si="14"/>
        <v>#NUM!</v>
      </c>
      <c r="F143" s="171" t="e">
        <f t="shared" si="15"/>
        <v>#NUM!</v>
      </c>
      <c r="G143" s="186">
        <f>IF('prijem - EUR-viac-domacnosti'!$I$120=TRUE,IF($C$11&gt;0,0.00025*C142,0),IF('prijem - EUR-viac-domacnosti'!$I$121=TRUE,IF('prijem - EUR-viac-domacnosti'!$F$121&gt;0,0.00025*C142,0),0))</f>
        <v>0</v>
      </c>
      <c r="L143" s="89">
        <v>127</v>
      </c>
      <c r="M143" s="186" t="e">
        <f t="shared" si="16"/>
        <v>#DIV/0!</v>
      </c>
      <c r="N143" s="171" t="e">
        <f t="shared" si="17"/>
        <v>#DIV/0!</v>
      </c>
      <c r="O143" s="171" t="e">
        <f t="shared" si="10"/>
        <v>#DIV/0!</v>
      </c>
      <c r="P143" s="171" t="e">
        <f t="shared" si="18"/>
        <v>#DIV/0!</v>
      </c>
      <c r="Q143" s="171" t="e">
        <f t="shared" si="19"/>
        <v>#DIV/0!</v>
      </c>
      <c r="R143" s="186">
        <f>IF('prijem - EUR-viac-domacnosti'!$I$120=TRUE,IF($C$11&gt;0,0.00025*N142,0),IF('prijem - EUR-viac-domacnosti'!$I$121=TRUE,IF('prijem - EUR-viac-domacnosti'!$F$121&gt;0,0.00025*N142*-1,0),0))</f>
        <v>0</v>
      </c>
    </row>
    <row r="144" spans="1:18" x14ac:dyDescent="0.2">
      <c r="A144" s="89">
        <v>128</v>
      </c>
      <c r="B144" s="186" t="e">
        <f t="shared" si="11"/>
        <v>#NUM!</v>
      </c>
      <c r="C144" s="171" t="e">
        <f t="shared" si="12"/>
        <v>#NUM!</v>
      </c>
      <c r="D144" s="171" t="e">
        <f t="shared" si="13"/>
        <v>#NUM!</v>
      </c>
      <c r="E144" s="171" t="e">
        <f t="shared" si="14"/>
        <v>#NUM!</v>
      </c>
      <c r="F144" s="171" t="e">
        <f t="shared" si="15"/>
        <v>#NUM!</v>
      </c>
      <c r="G144" s="186">
        <f>IF('prijem - EUR-viac-domacnosti'!$I$120=TRUE,IF($C$11&gt;0,0.00025*C143,0),IF('prijem - EUR-viac-domacnosti'!$I$121=TRUE,IF('prijem - EUR-viac-domacnosti'!$F$121&gt;0,0.00025*C143,0),0))</f>
        <v>0</v>
      </c>
      <c r="L144" s="89">
        <v>128</v>
      </c>
      <c r="M144" s="186" t="e">
        <f t="shared" si="16"/>
        <v>#DIV/0!</v>
      </c>
      <c r="N144" s="171" t="e">
        <f t="shared" si="17"/>
        <v>#DIV/0!</v>
      </c>
      <c r="O144" s="171" t="e">
        <f t="shared" si="10"/>
        <v>#DIV/0!</v>
      </c>
      <c r="P144" s="171" t="e">
        <f t="shared" si="18"/>
        <v>#DIV/0!</v>
      </c>
      <c r="Q144" s="171" t="e">
        <f t="shared" si="19"/>
        <v>#DIV/0!</v>
      </c>
      <c r="R144" s="186">
        <f>IF('prijem - EUR-viac-domacnosti'!$I$120=TRUE,IF($C$11&gt;0,0.00025*N143,0),IF('prijem - EUR-viac-domacnosti'!$I$121=TRUE,IF('prijem - EUR-viac-domacnosti'!$F$121&gt;0,0.00025*N143*-1,0),0))</f>
        <v>0</v>
      </c>
    </row>
    <row r="145" spans="1:18" x14ac:dyDescent="0.2">
      <c r="A145" s="89">
        <v>129</v>
      </c>
      <c r="B145" s="186" t="e">
        <f t="shared" si="11"/>
        <v>#NUM!</v>
      </c>
      <c r="C145" s="171" t="e">
        <f t="shared" si="12"/>
        <v>#NUM!</v>
      </c>
      <c r="D145" s="171" t="e">
        <f t="shared" si="13"/>
        <v>#NUM!</v>
      </c>
      <c r="E145" s="171" t="e">
        <f t="shared" si="14"/>
        <v>#NUM!</v>
      </c>
      <c r="F145" s="171" t="e">
        <f t="shared" si="15"/>
        <v>#NUM!</v>
      </c>
      <c r="G145" s="186">
        <f>IF('prijem - EUR-viac-domacnosti'!$I$120=TRUE,IF($C$11&gt;0,0.00025*C144,0),IF('prijem - EUR-viac-domacnosti'!$I$121=TRUE,IF('prijem - EUR-viac-domacnosti'!$F$121&gt;0,0.00025*C144,0),0))</f>
        <v>0</v>
      </c>
      <c r="L145" s="89">
        <v>129</v>
      </c>
      <c r="M145" s="186" t="e">
        <f t="shared" si="16"/>
        <v>#DIV/0!</v>
      </c>
      <c r="N145" s="171" t="e">
        <f t="shared" si="17"/>
        <v>#DIV/0!</v>
      </c>
      <c r="O145" s="171" t="e">
        <f t="shared" ref="O145:O208" si="20">$N$16/$N$5</f>
        <v>#DIV/0!</v>
      </c>
      <c r="P145" s="171" t="e">
        <f t="shared" si="18"/>
        <v>#DIV/0!</v>
      </c>
      <c r="Q145" s="171" t="e">
        <f t="shared" si="19"/>
        <v>#DIV/0!</v>
      </c>
      <c r="R145" s="186">
        <f>IF('prijem - EUR-viac-domacnosti'!$I$120=TRUE,IF($C$11&gt;0,0.00025*N144,0),IF('prijem - EUR-viac-domacnosti'!$I$121=TRUE,IF('prijem - EUR-viac-domacnosti'!$F$121&gt;0,0.00025*N144*-1,0),0))</f>
        <v>0</v>
      </c>
    </row>
    <row r="146" spans="1:18" x14ac:dyDescent="0.2">
      <c r="A146" s="89">
        <v>130</v>
      </c>
      <c r="B146" s="186" t="e">
        <f t="shared" ref="B146:B209" si="21">IF(C145&gt;0.00001,F146-G146,0)</f>
        <v>#NUM!</v>
      </c>
      <c r="C146" s="171" t="e">
        <f t="shared" ref="C146:C209" si="22">MAX(C145-D146,0)</f>
        <v>#NUM!</v>
      </c>
      <c r="D146" s="171" t="e">
        <f t="shared" ref="D146:D209" si="23">(F146-E146)*-1</f>
        <v>#NUM!</v>
      </c>
      <c r="E146" s="171" t="e">
        <f t="shared" ref="E146:E209" si="24">IPMT($C$4/12,1,$C$5,C145)</f>
        <v>#NUM!</v>
      </c>
      <c r="F146" s="171" t="e">
        <f t="shared" ref="F146:F209" si="25">PMT($C$4/12,$C$5,$C$3)</f>
        <v>#NUM!</v>
      </c>
      <c r="G146" s="186">
        <f>IF('prijem - EUR-viac-domacnosti'!$I$120=TRUE,IF($C$11&gt;0,0.00025*C145,0),IF('prijem - EUR-viac-domacnosti'!$I$121=TRUE,IF('prijem - EUR-viac-domacnosti'!$F$121&gt;0,0.00025*C145,0),0))</f>
        <v>0</v>
      </c>
      <c r="L146" s="89">
        <v>130</v>
      </c>
      <c r="M146" s="186" t="e">
        <f t="shared" ref="M146:M209" si="26">IF(N145&gt;0.00001,Q146-R146,0)*-1</f>
        <v>#DIV/0!</v>
      </c>
      <c r="N146" s="171" t="e">
        <f t="shared" ref="N146:N209" si="27">MAX(N145-O146,0)</f>
        <v>#DIV/0!</v>
      </c>
      <c r="O146" s="171" t="e">
        <f t="shared" si="20"/>
        <v>#DIV/0!</v>
      </c>
      <c r="P146" s="171" t="e">
        <f t="shared" ref="P146:P209" si="28">N145*$N$4/12</f>
        <v>#DIV/0!</v>
      </c>
      <c r="Q146" s="171" t="e">
        <f t="shared" ref="Q146:Q209" si="29">P146+O146</f>
        <v>#DIV/0!</v>
      </c>
      <c r="R146" s="186">
        <f>IF('prijem - EUR-viac-domacnosti'!$I$120=TRUE,IF($C$11&gt;0,0.00025*N145,0),IF('prijem - EUR-viac-domacnosti'!$I$121=TRUE,IF('prijem - EUR-viac-domacnosti'!$F$121&gt;0,0.00025*N145*-1,0),0))</f>
        <v>0</v>
      </c>
    </row>
    <row r="147" spans="1:18" x14ac:dyDescent="0.2">
      <c r="A147" s="89">
        <v>131</v>
      </c>
      <c r="B147" s="186" t="e">
        <f t="shared" si="21"/>
        <v>#NUM!</v>
      </c>
      <c r="C147" s="171" t="e">
        <f t="shared" si="22"/>
        <v>#NUM!</v>
      </c>
      <c r="D147" s="171" t="e">
        <f t="shared" si="23"/>
        <v>#NUM!</v>
      </c>
      <c r="E147" s="171" t="e">
        <f t="shared" si="24"/>
        <v>#NUM!</v>
      </c>
      <c r="F147" s="171" t="e">
        <f t="shared" si="25"/>
        <v>#NUM!</v>
      </c>
      <c r="G147" s="186">
        <f>IF('prijem - EUR-viac-domacnosti'!$I$120=TRUE,IF($C$11&gt;0,0.00025*C146,0),IF('prijem - EUR-viac-domacnosti'!$I$121=TRUE,IF('prijem - EUR-viac-domacnosti'!$F$121&gt;0,0.00025*C146,0),0))</f>
        <v>0</v>
      </c>
      <c r="L147" s="89">
        <v>131</v>
      </c>
      <c r="M147" s="186" t="e">
        <f t="shared" si="26"/>
        <v>#DIV/0!</v>
      </c>
      <c r="N147" s="171" t="e">
        <f t="shared" si="27"/>
        <v>#DIV/0!</v>
      </c>
      <c r="O147" s="171" t="e">
        <f t="shared" si="20"/>
        <v>#DIV/0!</v>
      </c>
      <c r="P147" s="171" t="e">
        <f t="shared" si="28"/>
        <v>#DIV/0!</v>
      </c>
      <c r="Q147" s="171" t="e">
        <f t="shared" si="29"/>
        <v>#DIV/0!</v>
      </c>
      <c r="R147" s="186">
        <f>IF('prijem - EUR-viac-domacnosti'!$I$120=TRUE,IF($C$11&gt;0,0.00025*N146,0),IF('prijem - EUR-viac-domacnosti'!$I$121=TRUE,IF('prijem - EUR-viac-domacnosti'!$F$121&gt;0,0.00025*N146*-1,0),0))</f>
        <v>0</v>
      </c>
    </row>
    <row r="148" spans="1:18" x14ac:dyDescent="0.2">
      <c r="A148" s="89">
        <v>132</v>
      </c>
      <c r="B148" s="186" t="e">
        <f t="shared" si="21"/>
        <v>#NUM!</v>
      </c>
      <c r="C148" s="171" t="e">
        <f t="shared" si="22"/>
        <v>#NUM!</v>
      </c>
      <c r="D148" s="171" t="e">
        <f t="shared" si="23"/>
        <v>#NUM!</v>
      </c>
      <c r="E148" s="171" t="e">
        <f t="shared" si="24"/>
        <v>#NUM!</v>
      </c>
      <c r="F148" s="171" t="e">
        <f t="shared" si="25"/>
        <v>#NUM!</v>
      </c>
      <c r="G148" s="186">
        <f>IF('prijem - EUR-viac-domacnosti'!$I$120=TRUE,IF($C$11&gt;0,0.00025*C147,0),IF('prijem - EUR-viac-domacnosti'!$I$121=TRUE,IF('prijem - EUR-viac-domacnosti'!$F$121&gt;0,0.00025*C147,0),0))</f>
        <v>0</v>
      </c>
      <c r="L148" s="89">
        <v>132</v>
      </c>
      <c r="M148" s="186" t="e">
        <f t="shared" si="26"/>
        <v>#DIV/0!</v>
      </c>
      <c r="N148" s="171" t="e">
        <f t="shared" si="27"/>
        <v>#DIV/0!</v>
      </c>
      <c r="O148" s="171" t="e">
        <f t="shared" si="20"/>
        <v>#DIV/0!</v>
      </c>
      <c r="P148" s="171" t="e">
        <f t="shared" si="28"/>
        <v>#DIV/0!</v>
      </c>
      <c r="Q148" s="171" t="e">
        <f t="shared" si="29"/>
        <v>#DIV/0!</v>
      </c>
      <c r="R148" s="186">
        <f>IF('prijem - EUR-viac-domacnosti'!$I$120=TRUE,IF($C$11&gt;0,0.00025*N147,0),IF('prijem - EUR-viac-domacnosti'!$I$121=TRUE,IF('prijem - EUR-viac-domacnosti'!$F$121&gt;0,0.00025*N147*-1,0),0))</f>
        <v>0</v>
      </c>
    </row>
    <row r="149" spans="1:18" x14ac:dyDescent="0.2">
      <c r="A149" s="89">
        <v>133</v>
      </c>
      <c r="B149" s="186" t="e">
        <f t="shared" si="21"/>
        <v>#NUM!</v>
      </c>
      <c r="C149" s="171" t="e">
        <f t="shared" si="22"/>
        <v>#NUM!</v>
      </c>
      <c r="D149" s="171" t="e">
        <f t="shared" si="23"/>
        <v>#NUM!</v>
      </c>
      <c r="E149" s="171" t="e">
        <f t="shared" si="24"/>
        <v>#NUM!</v>
      </c>
      <c r="F149" s="171" t="e">
        <f t="shared" si="25"/>
        <v>#NUM!</v>
      </c>
      <c r="G149" s="186">
        <f>IF('prijem - EUR-viac-domacnosti'!$I$120=TRUE,IF($C$11&gt;0,0.00025*C148,0),IF('prijem - EUR-viac-domacnosti'!$I$121=TRUE,IF('prijem - EUR-viac-domacnosti'!$F$121&gt;0,0.00025*C148,0),0))</f>
        <v>0</v>
      </c>
      <c r="L149" s="89">
        <v>133</v>
      </c>
      <c r="M149" s="186" t="e">
        <f t="shared" si="26"/>
        <v>#DIV/0!</v>
      </c>
      <c r="N149" s="171" t="e">
        <f t="shared" si="27"/>
        <v>#DIV/0!</v>
      </c>
      <c r="O149" s="171" t="e">
        <f t="shared" si="20"/>
        <v>#DIV/0!</v>
      </c>
      <c r="P149" s="171" t="e">
        <f t="shared" si="28"/>
        <v>#DIV/0!</v>
      </c>
      <c r="Q149" s="171" t="e">
        <f t="shared" si="29"/>
        <v>#DIV/0!</v>
      </c>
      <c r="R149" s="186">
        <f>IF('prijem - EUR-viac-domacnosti'!$I$120=TRUE,IF($C$11&gt;0,0.00025*N148,0),IF('prijem - EUR-viac-domacnosti'!$I$121=TRUE,IF('prijem - EUR-viac-domacnosti'!$F$121&gt;0,0.00025*N148*-1,0),0))</f>
        <v>0</v>
      </c>
    </row>
    <row r="150" spans="1:18" x14ac:dyDescent="0.2">
      <c r="A150" s="89">
        <v>134</v>
      </c>
      <c r="B150" s="186" t="e">
        <f t="shared" si="21"/>
        <v>#NUM!</v>
      </c>
      <c r="C150" s="171" t="e">
        <f t="shared" si="22"/>
        <v>#NUM!</v>
      </c>
      <c r="D150" s="171" t="e">
        <f t="shared" si="23"/>
        <v>#NUM!</v>
      </c>
      <c r="E150" s="171" t="e">
        <f t="shared" si="24"/>
        <v>#NUM!</v>
      </c>
      <c r="F150" s="171" t="e">
        <f t="shared" si="25"/>
        <v>#NUM!</v>
      </c>
      <c r="G150" s="186">
        <f>IF('prijem - EUR-viac-domacnosti'!$I$120=TRUE,IF($C$11&gt;0,0.00025*C149,0),IF('prijem - EUR-viac-domacnosti'!$I$121=TRUE,IF('prijem - EUR-viac-domacnosti'!$F$121&gt;0,0.00025*C149,0),0))</f>
        <v>0</v>
      </c>
      <c r="L150" s="89">
        <v>134</v>
      </c>
      <c r="M150" s="186" t="e">
        <f t="shared" si="26"/>
        <v>#DIV/0!</v>
      </c>
      <c r="N150" s="171" t="e">
        <f t="shared" si="27"/>
        <v>#DIV/0!</v>
      </c>
      <c r="O150" s="171" t="e">
        <f t="shared" si="20"/>
        <v>#DIV/0!</v>
      </c>
      <c r="P150" s="171" t="e">
        <f t="shared" si="28"/>
        <v>#DIV/0!</v>
      </c>
      <c r="Q150" s="171" t="e">
        <f t="shared" si="29"/>
        <v>#DIV/0!</v>
      </c>
      <c r="R150" s="186">
        <f>IF('prijem - EUR-viac-domacnosti'!$I$120=TRUE,IF($C$11&gt;0,0.00025*N149,0),IF('prijem - EUR-viac-domacnosti'!$I$121=TRUE,IF('prijem - EUR-viac-domacnosti'!$F$121&gt;0,0.00025*N149*-1,0),0))</f>
        <v>0</v>
      </c>
    </row>
    <row r="151" spans="1:18" x14ac:dyDescent="0.2">
      <c r="A151" s="89">
        <v>135</v>
      </c>
      <c r="B151" s="186" t="e">
        <f t="shared" si="21"/>
        <v>#NUM!</v>
      </c>
      <c r="C151" s="171" t="e">
        <f t="shared" si="22"/>
        <v>#NUM!</v>
      </c>
      <c r="D151" s="171" t="e">
        <f t="shared" si="23"/>
        <v>#NUM!</v>
      </c>
      <c r="E151" s="171" t="e">
        <f t="shared" si="24"/>
        <v>#NUM!</v>
      </c>
      <c r="F151" s="171" t="e">
        <f t="shared" si="25"/>
        <v>#NUM!</v>
      </c>
      <c r="G151" s="186">
        <f>IF('prijem - EUR-viac-domacnosti'!$I$120=TRUE,IF($C$11&gt;0,0.00025*C150,0),IF('prijem - EUR-viac-domacnosti'!$I$121=TRUE,IF('prijem - EUR-viac-domacnosti'!$F$121&gt;0,0.00025*C150,0),0))</f>
        <v>0</v>
      </c>
      <c r="L151" s="89">
        <v>135</v>
      </c>
      <c r="M151" s="186" t="e">
        <f t="shared" si="26"/>
        <v>#DIV/0!</v>
      </c>
      <c r="N151" s="171" t="e">
        <f t="shared" si="27"/>
        <v>#DIV/0!</v>
      </c>
      <c r="O151" s="171" t="e">
        <f t="shared" si="20"/>
        <v>#DIV/0!</v>
      </c>
      <c r="P151" s="171" t="e">
        <f t="shared" si="28"/>
        <v>#DIV/0!</v>
      </c>
      <c r="Q151" s="171" t="e">
        <f t="shared" si="29"/>
        <v>#DIV/0!</v>
      </c>
      <c r="R151" s="186">
        <f>IF('prijem - EUR-viac-domacnosti'!$I$120=TRUE,IF($C$11&gt;0,0.00025*N150,0),IF('prijem - EUR-viac-domacnosti'!$I$121=TRUE,IF('prijem - EUR-viac-domacnosti'!$F$121&gt;0,0.00025*N150*-1,0),0))</f>
        <v>0</v>
      </c>
    </row>
    <row r="152" spans="1:18" x14ac:dyDescent="0.2">
      <c r="A152" s="89">
        <v>136</v>
      </c>
      <c r="B152" s="186" t="e">
        <f t="shared" si="21"/>
        <v>#NUM!</v>
      </c>
      <c r="C152" s="171" t="e">
        <f t="shared" si="22"/>
        <v>#NUM!</v>
      </c>
      <c r="D152" s="171" t="e">
        <f t="shared" si="23"/>
        <v>#NUM!</v>
      </c>
      <c r="E152" s="171" t="e">
        <f t="shared" si="24"/>
        <v>#NUM!</v>
      </c>
      <c r="F152" s="171" t="e">
        <f t="shared" si="25"/>
        <v>#NUM!</v>
      </c>
      <c r="G152" s="186">
        <f>IF('prijem - EUR-viac-domacnosti'!$I$120=TRUE,IF($C$11&gt;0,0.00025*C151,0),IF('prijem - EUR-viac-domacnosti'!$I$121=TRUE,IF('prijem - EUR-viac-domacnosti'!$F$121&gt;0,0.00025*C151,0),0))</f>
        <v>0</v>
      </c>
      <c r="L152" s="89">
        <v>136</v>
      </c>
      <c r="M152" s="186" t="e">
        <f t="shared" si="26"/>
        <v>#DIV/0!</v>
      </c>
      <c r="N152" s="171" t="e">
        <f t="shared" si="27"/>
        <v>#DIV/0!</v>
      </c>
      <c r="O152" s="171" t="e">
        <f t="shared" si="20"/>
        <v>#DIV/0!</v>
      </c>
      <c r="P152" s="171" t="e">
        <f t="shared" si="28"/>
        <v>#DIV/0!</v>
      </c>
      <c r="Q152" s="171" t="e">
        <f t="shared" si="29"/>
        <v>#DIV/0!</v>
      </c>
      <c r="R152" s="186">
        <f>IF('prijem - EUR-viac-domacnosti'!$I$120=TRUE,IF($C$11&gt;0,0.00025*N151,0),IF('prijem - EUR-viac-domacnosti'!$I$121=TRUE,IF('prijem - EUR-viac-domacnosti'!$F$121&gt;0,0.00025*N151*-1,0),0))</f>
        <v>0</v>
      </c>
    </row>
    <row r="153" spans="1:18" x14ac:dyDescent="0.2">
      <c r="A153" s="89">
        <v>137</v>
      </c>
      <c r="B153" s="186" t="e">
        <f t="shared" si="21"/>
        <v>#NUM!</v>
      </c>
      <c r="C153" s="171" t="e">
        <f t="shared" si="22"/>
        <v>#NUM!</v>
      </c>
      <c r="D153" s="171" t="e">
        <f t="shared" si="23"/>
        <v>#NUM!</v>
      </c>
      <c r="E153" s="171" t="e">
        <f t="shared" si="24"/>
        <v>#NUM!</v>
      </c>
      <c r="F153" s="171" t="e">
        <f t="shared" si="25"/>
        <v>#NUM!</v>
      </c>
      <c r="G153" s="186">
        <f>IF('prijem - EUR-viac-domacnosti'!$I$120=TRUE,IF($C$11&gt;0,0.00025*C152,0),IF('prijem - EUR-viac-domacnosti'!$I$121=TRUE,IF('prijem - EUR-viac-domacnosti'!$F$121&gt;0,0.00025*C152,0),0))</f>
        <v>0</v>
      </c>
      <c r="L153" s="89">
        <v>137</v>
      </c>
      <c r="M153" s="186" t="e">
        <f t="shared" si="26"/>
        <v>#DIV/0!</v>
      </c>
      <c r="N153" s="171" t="e">
        <f t="shared" si="27"/>
        <v>#DIV/0!</v>
      </c>
      <c r="O153" s="171" t="e">
        <f t="shared" si="20"/>
        <v>#DIV/0!</v>
      </c>
      <c r="P153" s="171" t="e">
        <f t="shared" si="28"/>
        <v>#DIV/0!</v>
      </c>
      <c r="Q153" s="171" t="e">
        <f t="shared" si="29"/>
        <v>#DIV/0!</v>
      </c>
      <c r="R153" s="186">
        <f>IF('prijem - EUR-viac-domacnosti'!$I$120=TRUE,IF($C$11&gt;0,0.00025*N152,0),IF('prijem - EUR-viac-domacnosti'!$I$121=TRUE,IF('prijem - EUR-viac-domacnosti'!$F$121&gt;0,0.00025*N152*-1,0),0))</f>
        <v>0</v>
      </c>
    </row>
    <row r="154" spans="1:18" x14ac:dyDescent="0.2">
      <c r="A154" s="89">
        <v>138</v>
      </c>
      <c r="B154" s="186" t="e">
        <f t="shared" si="21"/>
        <v>#NUM!</v>
      </c>
      <c r="C154" s="171" t="e">
        <f t="shared" si="22"/>
        <v>#NUM!</v>
      </c>
      <c r="D154" s="171" t="e">
        <f t="shared" si="23"/>
        <v>#NUM!</v>
      </c>
      <c r="E154" s="171" t="e">
        <f t="shared" si="24"/>
        <v>#NUM!</v>
      </c>
      <c r="F154" s="171" t="e">
        <f t="shared" si="25"/>
        <v>#NUM!</v>
      </c>
      <c r="G154" s="186">
        <f>IF('prijem - EUR-viac-domacnosti'!$I$120=TRUE,IF($C$11&gt;0,0.00025*C153,0),IF('prijem - EUR-viac-domacnosti'!$I$121=TRUE,IF('prijem - EUR-viac-domacnosti'!$F$121&gt;0,0.00025*C153,0),0))</f>
        <v>0</v>
      </c>
      <c r="L154" s="89">
        <v>138</v>
      </c>
      <c r="M154" s="186" t="e">
        <f t="shared" si="26"/>
        <v>#DIV/0!</v>
      </c>
      <c r="N154" s="171" t="e">
        <f t="shared" si="27"/>
        <v>#DIV/0!</v>
      </c>
      <c r="O154" s="171" t="e">
        <f t="shared" si="20"/>
        <v>#DIV/0!</v>
      </c>
      <c r="P154" s="171" t="e">
        <f t="shared" si="28"/>
        <v>#DIV/0!</v>
      </c>
      <c r="Q154" s="171" t="e">
        <f t="shared" si="29"/>
        <v>#DIV/0!</v>
      </c>
      <c r="R154" s="186">
        <f>IF('prijem - EUR-viac-domacnosti'!$I$120=TRUE,IF($C$11&gt;0,0.00025*N153,0),IF('prijem - EUR-viac-domacnosti'!$I$121=TRUE,IF('prijem - EUR-viac-domacnosti'!$F$121&gt;0,0.00025*N153*-1,0),0))</f>
        <v>0</v>
      </c>
    </row>
    <row r="155" spans="1:18" x14ac:dyDescent="0.2">
      <c r="A155" s="89">
        <v>139</v>
      </c>
      <c r="B155" s="186" t="e">
        <f t="shared" si="21"/>
        <v>#NUM!</v>
      </c>
      <c r="C155" s="171" t="e">
        <f t="shared" si="22"/>
        <v>#NUM!</v>
      </c>
      <c r="D155" s="171" t="e">
        <f t="shared" si="23"/>
        <v>#NUM!</v>
      </c>
      <c r="E155" s="171" t="e">
        <f t="shared" si="24"/>
        <v>#NUM!</v>
      </c>
      <c r="F155" s="171" t="e">
        <f t="shared" si="25"/>
        <v>#NUM!</v>
      </c>
      <c r="G155" s="186">
        <f>IF('prijem - EUR-viac-domacnosti'!$I$120=TRUE,IF($C$11&gt;0,0.00025*C154,0),IF('prijem - EUR-viac-domacnosti'!$I$121=TRUE,IF('prijem - EUR-viac-domacnosti'!$F$121&gt;0,0.00025*C154,0),0))</f>
        <v>0</v>
      </c>
      <c r="L155" s="89">
        <v>139</v>
      </c>
      <c r="M155" s="186" t="e">
        <f t="shared" si="26"/>
        <v>#DIV/0!</v>
      </c>
      <c r="N155" s="171" t="e">
        <f t="shared" si="27"/>
        <v>#DIV/0!</v>
      </c>
      <c r="O155" s="171" t="e">
        <f t="shared" si="20"/>
        <v>#DIV/0!</v>
      </c>
      <c r="P155" s="171" t="e">
        <f t="shared" si="28"/>
        <v>#DIV/0!</v>
      </c>
      <c r="Q155" s="171" t="e">
        <f t="shared" si="29"/>
        <v>#DIV/0!</v>
      </c>
      <c r="R155" s="186">
        <f>IF('prijem - EUR-viac-domacnosti'!$I$120=TRUE,IF($C$11&gt;0,0.00025*N154,0),IF('prijem - EUR-viac-domacnosti'!$I$121=TRUE,IF('prijem - EUR-viac-domacnosti'!$F$121&gt;0,0.00025*N154*-1,0),0))</f>
        <v>0</v>
      </c>
    </row>
    <row r="156" spans="1:18" x14ac:dyDescent="0.2">
      <c r="A156" s="89">
        <v>140</v>
      </c>
      <c r="B156" s="186" t="e">
        <f t="shared" si="21"/>
        <v>#NUM!</v>
      </c>
      <c r="C156" s="171" t="e">
        <f t="shared" si="22"/>
        <v>#NUM!</v>
      </c>
      <c r="D156" s="171" t="e">
        <f t="shared" si="23"/>
        <v>#NUM!</v>
      </c>
      <c r="E156" s="171" t="e">
        <f t="shared" si="24"/>
        <v>#NUM!</v>
      </c>
      <c r="F156" s="171" t="e">
        <f t="shared" si="25"/>
        <v>#NUM!</v>
      </c>
      <c r="G156" s="186">
        <f>IF('prijem - EUR-viac-domacnosti'!$I$120=TRUE,IF($C$11&gt;0,0.00025*C155,0),IF('prijem - EUR-viac-domacnosti'!$I$121=TRUE,IF('prijem - EUR-viac-domacnosti'!$F$121&gt;0,0.00025*C155,0),0))</f>
        <v>0</v>
      </c>
      <c r="L156" s="89">
        <v>140</v>
      </c>
      <c r="M156" s="186" t="e">
        <f t="shared" si="26"/>
        <v>#DIV/0!</v>
      </c>
      <c r="N156" s="171" t="e">
        <f t="shared" si="27"/>
        <v>#DIV/0!</v>
      </c>
      <c r="O156" s="171" t="e">
        <f t="shared" si="20"/>
        <v>#DIV/0!</v>
      </c>
      <c r="P156" s="171" t="e">
        <f t="shared" si="28"/>
        <v>#DIV/0!</v>
      </c>
      <c r="Q156" s="171" t="e">
        <f t="shared" si="29"/>
        <v>#DIV/0!</v>
      </c>
      <c r="R156" s="186">
        <f>IF('prijem - EUR-viac-domacnosti'!$I$120=TRUE,IF($C$11&gt;0,0.00025*N155,0),IF('prijem - EUR-viac-domacnosti'!$I$121=TRUE,IF('prijem - EUR-viac-domacnosti'!$F$121&gt;0,0.00025*N155*-1,0),0))</f>
        <v>0</v>
      </c>
    </row>
    <row r="157" spans="1:18" x14ac:dyDescent="0.2">
      <c r="A157" s="89">
        <v>141</v>
      </c>
      <c r="B157" s="186" t="e">
        <f t="shared" si="21"/>
        <v>#NUM!</v>
      </c>
      <c r="C157" s="171" t="e">
        <f t="shared" si="22"/>
        <v>#NUM!</v>
      </c>
      <c r="D157" s="171" t="e">
        <f t="shared" si="23"/>
        <v>#NUM!</v>
      </c>
      <c r="E157" s="171" t="e">
        <f t="shared" si="24"/>
        <v>#NUM!</v>
      </c>
      <c r="F157" s="171" t="e">
        <f t="shared" si="25"/>
        <v>#NUM!</v>
      </c>
      <c r="G157" s="186">
        <f>IF('prijem - EUR-viac-domacnosti'!$I$120=TRUE,IF($C$11&gt;0,0.00025*C156,0),IF('prijem - EUR-viac-domacnosti'!$I$121=TRUE,IF('prijem - EUR-viac-domacnosti'!$F$121&gt;0,0.00025*C156,0),0))</f>
        <v>0</v>
      </c>
      <c r="L157" s="89">
        <v>141</v>
      </c>
      <c r="M157" s="186" t="e">
        <f t="shared" si="26"/>
        <v>#DIV/0!</v>
      </c>
      <c r="N157" s="171" t="e">
        <f t="shared" si="27"/>
        <v>#DIV/0!</v>
      </c>
      <c r="O157" s="171" t="e">
        <f t="shared" si="20"/>
        <v>#DIV/0!</v>
      </c>
      <c r="P157" s="171" t="e">
        <f t="shared" si="28"/>
        <v>#DIV/0!</v>
      </c>
      <c r="Q157" s="171" t="e">
        <f t="shared" si="29"/>
        <v>#DIV/0!</v>
      </c>
      <c r="R157" s="186">
        <f>IF('prijem - EUR-viac-domacnosti'!$I$120=TRUE,IF($C$11&gt;0,0.00025*N156,0),IF('prijem - EUR-viac-domacnosti'!$I$121=TRUE,IF('prijem - EUR-viac-domacnosti'!$F$121&gt;0,0.00025*N156*-1,0),0))</f>
        <v>0</v>
      </c>
    </row>
    <row r="158" spans="1:18" x14ac:dyDescent="0.2">
      <c r="A158" s="89">
        <v>142</v>
      </c>
      <c r="B158" s="186" t="e">
        <f t="shared" si="21"/>
        <v>#NUM!</v>
      </c>
      <c r="C158" s="171" t="e">
        <f t="shared" si="22"/>
        <v>#NUM!</v>
      </c>
      <c r="D158" s="171" t="e">
        <f t="shared" si="23"/>
        <v>#NUM!</v>
      </c>
      <c r="E158" s="171" t="e">
        <f t="shared" si="24"/>
        <v>#NUM!</v>
      </c>
      <c r="F158" s="171" t="e">
        <f t="shared" si="25"/>
        <v>#NUM!</v>
      </c>
      <c r="G158" s="186">
        <f>IF('prijem - EUR-viac-domacnosti'!$I$120=TRUE,IF($C$11&gt;0,0.00025*C157,0),IF('prijem - EUR-viac-domacnosti'!$I$121=TRUE,IF('prijem - EUR-viac-domacnosti'!$F$121&gt;0,0.00025*C157,0),0))</f>
        <v>0</v>
      </c>
      <c r="L158" s="89">
        <v>142</v>
      </c>
      <c r="M158" s="186" t="e">
        <f t="shared" si="26"/>
        <v>#DIV/0!</v>
      </c>
      <c r="N158" s="171" t="e">
        <f t="shared" si="27"/>
        <v>#DIV/0!</v>
      </c>
      <c r="O158" s="171" t="e">
        <f t="shared" si="20"/>
        <v>#DIV/0!</v>
      </c>
      <c r="P158" s="171" t="e">
        <f t="shared" si="28"/>
        <v>#DIV/0!</v>
      </c>
      <c r="Q158" s="171" t="e">
        <f t="shared" si="29"/>
        <v>#DIV/0!</v>
      </c>
      <c r="R158" s="186">
        <f>IF('prijem - EUR-viac-domacnosti'!$I$120=TRUE,IF($C$11&gt;0,0.00025*N157,0),IF('prijem - EUR-viac-domacnosti'!$I$121=TRUE,IF('prijem - EUR-viac-domacnosti'!$F$121&gt;0,0.00025*N157*-1,0),0))</f>
        <v>0</v>
      </c>
    </row>
    <row r="159" spans="1:18" x14ac:dyDescent="0.2">
      <c r="A159" s="89">
        <v>143</v>
      </c>
      <c r="B159" s="186" t="e">
        <f t="shared" si="21"/>
        <v>#NUM!</v>
      </c>
      <c r="C159" s="171" t="e">
        <f t="shared" si="22"/>
        <v>#NUM!</v>
      </c>
      <c r="D159" s="171" t="e">
        <f t="shared" si="23"/>
        <v>#NUM!</v>
      </c>
      <c r="E159" s="171" t="e">
        <f t="shared" si="24"/>
        <v>#NUM!</v>
      </c>
      <c r="F159" s="171" t="e">
        <f t="shared" si="25"/>
        <v>#NUM!</v>
      </c>
      <c r="G159" s="186">
        <f>IF('prijem - EUR-viac-domacnosti'!$I$120=TRUE,IF($C$11&gt;0,0.00025*C158,0),IF('prijem - EUR-viac-domacnosti'!$I$121=TRUE,IF('prijem - EUR-viac-domacnosti'!$F$121&gt;0,0.00025*C158,0),0))</f>
        <v>0</v>
      </c>
      <c r="L159" s="89">
        <v>143</v>
      </c>
      <c r="M159" s="186" t="e">
        <f t="shared" si="26"/>
        <v>#DIV/0!</v>
      </c>
      <c r="N159" s="171" t="e">
        <f t="shared" si="27"/>
        <v>#DIV/0!</v>
      </c>
      <c r="O159" s="171" t="e">
        <f t="shared" si="20"/>
        <v>#DIV/0!</v>
      </c>
      <c r="P159" s="171" t="e">
        <f t="shared" si="28"/>
        <v>#DIV/0!</v>
      </c>
      <c r="Q159" s="171" t="e">
        <f t="shared" si="29"/>
        <v>#DIV/0!</v>
      </c>
      <c r="R159" s="186">
        <f>IF('prijem - EUR-viac-domacnosti'!$I$120=TRUE,IF($C$11&gt;0,0.00025*N158,0),IF('prijem - EUR-viac-domacnosti'!$I$121=TRUE,IF('prijem - EUR-viac-domacnosti'!$F$121&gt;0,0.00025*N158*-1,0),0))</f>
        <v>0</v>
      </c>
    </row>
    <row r="160" spans="1:18" x14ac:dyDescent="0.2">
      <c r="A160" s="89">
        <v>144</v>
      </c>
      <c r="B160" s="186" t="e">
        <f t="shared" si="21"/>
        <v>#NUM!</v>
      </c>
      <c r="C160" s="171" t="e">
        <f t="shared" si="22"/>
        <v>#NUM!</v>
      </c>
      <c r="D160" s="171" t="e">
        <f t="shared" si="23"/>
        <v>#NUM!</v>
      </c>
      <c r="E160" s="171" t="e">
        <f t="shared" si="24"/>
        <v>#NUM!</v>
      </c>
      <c r="F160" s="171" t="e">
        <f t="shared" si="25"/>
        <v>#NUM!</v>
      </c>
      <c r="G160" s="186">
        <f>IF('prijem - EUR-viac-domacnosti'!$I$120=TRUE,IF($C$11&gt;0,0.00025*C159,0),IF('prijem - EUR-viac-domacnosti'!$I$121=TRUE,IF('prijem - EUR-viac-domacnosti'!$F$121&gt;0,0.00025*C159,0),0))</f>
        <v>0</v>
      </c>
      <c r="L160" s="89">
        <v>144</v>
      </c>
      <c r="M160" s="186" t="e">
        <f t="shared" si="26"/>
        <v>#DIV/0!</v>
      </c>
      <c r="N160" s="171" t="e">
        <f t="shared" si="27"/>
        <v>#DIV/0!</v>
      </c>
      <c r="O160" s="171" t="e">
        <f t="shared" si="20"/>
        <v>#DIV/0!</v>
      </c>
      <c r="P160" s="171" t="e">
        <f t="shared" si="28"/>
        <v>#DIV/0!</v>
      </c>
      <c r="Q160" s="171" t="e">
        <f t="shared" si="29"/>
        <v>#DIV/0!</v>
      </c>
      <c r="R160" s="186">
        <f>IF('prijem - EUR-viac-domacnosti'!$I$120=TRUE,IF($C$11&gt;0,0.00025*N159,0),IF('prijem - EUR-viac-domacnosti'!$I$121=TRUE,IF('prijem - EUR-viac-domacnosti'!$F$121&gt;0,0.00025*N159*-1,0),0))</f>
        <v>0</v>
      </c>
    </row>
    <row r="161" spans="1:18" x14ac:dyDescent="0.2">
      <c r="A161" s="89">
        <v>145</v>
      </c>
      <c r="B161" s="186" t="e">
        <f t="shared" si="21"/>
        <v>#NUM!</v>
      </c>
      <c r="C161" s="171" t="e">
        <f t="shared" si="22"/>
        <v>#NUM!</v>
      </c>
      <c r="D161" s="171" t="e">
        <f t="shared" si="23"/>
        <v>#NUM!</v>
      </c>
      <c r="E161" s="171" t="e">
        <f t="shared" si="24"/>
        <v>#NUM!</v>
      </c>
      <c r="F161" s="171" t="e">
        <f t="shared" si="25"/>
        <v>#NUM!</v>
      </c>
      <c r="G161" s="186">
        <f>IF('prijem - EUR-viac-domacnosti'!$I$120=TRUE,IF($C$11&gt;0,0.00025*C160,0),IF('prijem - EUR-viac-domacnosti'!$I$121=TRUE,IF('prijem - EUR-viac-domacnosti'!$F$121&gt;0,0.00025*C160,0),0))</f>
        <v>0</v>
      </c>
      <c r="L161" s="89">
        <v>145</v>
      </c>
      <c r="M161" s="186" t="e">
        <f t="shared" si="26"/>
        <v>#DIV/0!</v>
      </c>
      <c r="N161" s="171" t="e">
        <f t="shared" si="27"/>
        <v>#DIV/0!</v>
      </c>
      <c r="O161" s="171" t="e">
        <f t="shared" si="20"/>
        <v>#DIV/0!</v>
      </c>
      <c r="P161" s="171" t="e">
        <f t="shared" si="28"/>
        <v>#DIV/0!</v>
      </c>
      <c r="Q161" s="171" t="e">
        <f t="shared" si="29"/>
        <v>#DIV/0!</v>
      </c>
      <c r="R161" s="186">
        <f>IF('prijem - EUR-viac-domacnosti'!$I$120=TRUE,IF($C$11&gt;0,0.00025*N160,0),IF('prijem - EUR-viac-domacnosti'!$I$121=TRUE,IF('prijem - EUR-viac-domacnosti'!$F$121&gt;0,0.00025*N160*-1,0),0))</f>
        <v>0</v>
      </c>
    </row>
    <row r="162" spans="1:18" x14ac:dyDescent="0.2">
      <c r="A162" s="89">
        <v>146</v>
      </c>
      <c r="B162" s="186" t="e">
        <f t="shared" si="21"/>
        <v>#NUM!</v>
      </c>
      <c r="C162" s="171" t="e">
        <f t="shared" si="22"/>
        <v>#NUM!</v>
      </c>
      <c r="D162" s="171" t="e">
        <f t="shared" si="23"/>
        <v>#NUM!</v>
      </c>
      <c r="E162" s="171" t="e">
        <f t="shared" si="24"/>
        <v>#NUM!</v>
      </c>
      <c r="F162" s="171" t="e">
        <f t="shared" si="25"/>
        <v>#NUM!</v>
      </c>
      <c r="G162" s="186">
        <f>IF('prijem - EUR-viac-domacnosti'!$I$120=TRUE,IF($C$11&gt;0,0.00025*C161,0),IF('prijem - EUR-viac-domacnosti'!$I$121=TRUE,IF('prijem - EUR-viac-domacnosti'!$F$121&gt;0,0.00025*C161,0),0))</f>
        <v>0</v>
      </c>
      <c r="L162" s="89">
        <v>146</v>
      </c>
      <c r="M162" s="186" t="e">
        <f t="shared" si="26"/>
        <v>#DIV/0!</v>
      </c>
      <c r="N162" s="171" t="e">
        <f t="shared" si="27"/>
        <v>#DIV/0!</v>
      </c>
      <c r="O162" s="171" t="e">
        <f t="shared" si="20"/>
        <v>#DIV/0!</v>
      </c>
      <c r="P162" s="171" t="e">
        <f t="shared" si="28"/>
        <v>#DIV/0!</v>
      </c>
      <c r="Q162" s="171" t="e">
        <f t="shared" si="29"/>
        <v>#DIV/0!</v>
      </c>
      <c r="R162" s="186">
        <f>IF('prijem - EUR-viac-domacnosti'!$I$120=TRUE,IF($C$11&gt;0,0.00025*N161,0),IF('prijem - EUR-viac-domacnosti'!$I$121=TRUE,IF('prijem - EUR-viac-domacnosti'!$F$121&gt;0,0.00025*N161*-1,0),0))</f>
        <v>0</v>
      </c>
    </row>
    <row r="163" spans="1:18" x14ac:dyDescent="0.2">
      <c r="A163" s="89">
        <v>147</v>
      </c>
      <c r="B163" s="186" t="e">
        <f t="shared" si="21"/>
        <v>#NUM!</v>
      </c>
      <c r="C163" s="171" t="e">
        <f t="shared" si="22"/>
        <v>#NUM!</v>
      </c>
      <c r="D163" s="171" t="e">
        <f t="shared" si="23"/>
        <v>#NUM!</v>
      </c>
      <c r="E163" s="171" t="e">
        <f t="shared" si="24"/>
        <v>#NUM!</v>
      </c>
      <c r="F163" s="171" t="e">
        <f t="shared" si="25"/>
        <v>#NUM!</v>
      </c>
      <c r="G163" s="186">
        <f>IF('prijem - EUR-viac-domacnosti'!$I$120=TRUE,IF($C$11&gt;0,0.00025*C162,0),IF('prijem - EUR-viac-domacnosti'!$I$121=TRUE,IF('prijem - EUR-viac-domacnosti'!$F$121&gt;0,0.00025*C162,0),0))</f>
        <v>0</v>
      </c>
      <c r="L163" s="89">
        <v>147</v>
      </c>
      <c r="M163" s="186" t="e">
        <f t="shared" si="26"/>
        <v>#DIV/0!</v>
      </c>
      <c r="N163" s="171" t="e">
        <f t="shared" si="27"/>
        <v>#DIV/0!</v>
      </c>
      <c r="O163" s="171" t="e">
        <f t="shared" si="20"/>
        <v>#DIV/0!</v>
      </c>
      <c r="P163" s="171" t="e">
        <f t="shared" si="28"/>
        <v>#DIV/0!</v>
      </c>
      <c r="Q163" s="171" t="e">
        <f t="shared" si="29"/>
        <v>#DIV/0!</v>
      </c>
      <c r="R163" s="186">
        <f>IF('prijem - EUR-viac-domacnosti'!$I$120=TRUE,IF($C$11&gt;0,0.00025*N162,0),IF('prijem - EUR-viac-domacnosti'!$I$121=TRUE,IF('prijem - EUR-viac-domacnosti'!$F$121&gt;0,0.00025*N162*-1,0),0))</f>
        <v>0</v>
      </c>
    </row>
    <row r="164" spans="1:18" x14ac:dyDescent="0.2">
      <c r="A164" s="89">
        <v>148</v>
      </c>
      <c r="B164" s="186" t="e">
        <f t="shared" si="21"/>
        <v>#NUM!</v>
      </c>
      <c r="C164" s="171" t="e">
        <f t="shared" si="22"/>
        <v>#NUM!</v>
      </c>
      <c r="D164" s="171" t="e">
        <f t="shared" si="23"/>
        <v>#NUM!</v>
      </c>
      <c r="E164" s="171" t="e">
        <f t="shared" si="24"/>
        <v>#NUM!</v>
      </c>
      <c r="F164" s="171" t="e">
        <f t="shared" si="25"/>
        <v>#NUM!</v>
      </c>
      <c r="G164" s="186">
        <f>IF('prijem - EUR-viac-domacnosti'!$I$120=TRUE,IF($C$11&gt;0,0.00025*C163,0),IF('prijem - EUR-viac-domacnosti'!$I$121=TRUE,IF('prijem - EUR-viac-domacnosti'!$F$121&gt;0,0.00025*C163,0),0))</f>
        <v>0</v>
      </c>
      <c r="L164" s="89">
        <v>148</v>
      </c>
      <c r="M164" s="186" t="e">
        <f t="shared" si="26"/>
        <v>#DIV/0!</v>
      </c>
      <c r="N164" s="171" t="e">
        <f t="shared" si="27"/>
        <v>#DIV/0!</v>
      </c>
      <c r="O164" s="171" t="e">
        <f t="shared" si="20"/>
        <v>#DIV/0!</v>
      </c>
      <c r="P164" s="171" t="e">
        <f t="shared" si="28"/>
        <v>#DIV/0!</v>
      </c>
      <c r="Q164" s="171" t="e">
        <f t="shared" si="29"/>
        <v>#DIV/0!</v>
      </c>
      <c r="R164" s="186">
        <f>IF('prijem - EUR-viac-domacnosti'!$I$120=TRUE,IF($C$11&gt;0,0.00025*N163,0),IF('prijem - EUR-viac-domacnosti'!$I$121=TRUE,IF('prijem - EUR-viac-domacnosti'!$F$121&gt;0,0.00025*N163*-1,0),0))</f>
        <v>0</v>
      </c>
    </row>
    <row r="165" spans="1:18" x14ac:dyDescent="0.2">
      <c r="A165" s="89">
        <v>149</v>
      </c>
      <c r="B165" s="186" t="e">
        <f t="shared" si="21"/>
        <v>#NUM!</v>
      </c>
      <c r="C165" s="171" t="e">
        <f t="shared" si="22"/>
        <v>#NUM!</v>
      </c>
      <c r="D165" s="171" t="e">
        <f t="shared" si="23"/>
        <v>#NUM!</v>
      </c>
      <c r="E165" s="171" t="e">
        <f t="shared" si="24"/>
        <v>#NUM!</v>
      </c>
      <c r="F165" s="171" t="e">
        <f t="shared" si="25"/>
        <v>#NUM!</v>
      </c>
      <c r="G165" s="186">
        <f>IF('prijem - EUR-viac-domacnosti'!$I$120=TRUE,IF($C$11&gt;0,0.00025*C164,0),IF('prijem - EUR-viac-domacnosti'!$I$121=TRUE,IF('prijem - EUR-viac-domacnosti'!$F$121&gt;0,0.00025*C164,0),0))</f>
        <v>0</v>
      </c>
      <c r="L165" s="89">
        <v>149</v>
      </c>
      <c r="M165" s="186" t="e">
        <f t="shared" si="26"/>
        <v>#DIV/0!</v>
      </c>
      <c r="N165" s="171" t="e">
        <f t="shared" si="27"/>
        <v>#DIV/0!</v>
      </c>
      <c r="O165" s="171" t="e">
        <f t="shared" si="20"/>
        <v>#DIV/0!</v>
      </c>
      <c r="P165" s="171" t="e">
        <f t="shared" si="28"/>
        <v>#DIV/0!</v>
      </c>
      <c r="Q165" s="171" t="e">
        <f t="shared" si="29"/>
        <v>#DIV/0!</v>
      </c>
      <c r="R165" s="186">
        <f>IF('prijem - EUR-viac-domacnosti'!$I$120=TRUE,IF($C$11&gt;0,0.00025*N164,0),IF('prijem - EUR-viac-domacnosti'!$I$121=TRUE,IF('prijem - EUR-viac-domacnosti'!$F$121&gt;0,0.00025*N164*-1,0),0))</f>
        <v>0</v>
      </c>
    </row>
    <row r="166" spans="1:18" x14ac:dyDescent="0.2">
      <c r="A166" s="89">
        <v>150</v>
      </c>
      <c r="B166" s="186" t="e">
        <f t="shared" si="21"/>
        <v>#NUM!</v>
      </c>
      <c r="C166" s="171" t="e">
        <f t="shared" si="22"/>
        <v>#NUM!</v>
      </c>
      <c r="D166" s="171" t="e">
        <f t="shared" si="23"/>
        <v>#NUM!</v>
      </c>
      <c r="E166" s="171" t="e">
        <f t="shared" si="24"/>
        <v>#NUM!</v>
      </c>
      <c r="F166" s="171" t="e">
        <f t="shared" si="25"/>
        <v>#NUM!</v>
      </c>
      <c r="G166" s="186">
        <f>IF('prijem - EUR-viac-domacnosti'!$I$120=TRUE,IF($C$11&gt;0,0.00025*C165,0),IF('prijem - EUR-viac-domacnosti'!$I$121=TRUE,IF('prijem - EUR-viac-domacnosti'!$F$121&gt;0,0.00025*C165,0),0))</f>
        <v>0</v>
      </c>
      <c r="L166" s="89">
        <v>150</v>
      </c>
      <c r="M166" s="186" t="e">
        <f t="shared" si="26"/>
        <v>#DIV/0!</v>
      </c>
      <c r="N166" s="171" t="e">
        <f t="shared" si="27"/>
        <v>#DIV/0!</v>
      </c>
      <c r="O166" s="171" t="e">
        <f t="shared" si="20"/>
        <v>#DIV/0!</v>
      </c>
      <c r="P166" s="171" t="e">
        <f t="shared" si="28"/>
        <v>#DIV/0!</v>
      </c>
      <c r="Q166" s="171" t="e">
        <f t="shared" si="29"/>
        <v>#DIV/0!</v>
      </c>
      <c r="R166" s="186">
        <f>IF('prijem - EUR-viac-domacnosti'!$I$120=TRUE,IF($C$11&gt;0,0.00025*N165,0),IF('prijem - EUR-viac-domacnosti'!$I$121=TRUE,IF('prijem - EUR-viac-domacnosti'!$F$121&gt;0,0.00025*N165*-1,0),0))</f>
        <v>0</v>
      </c>
    </row>
    <row r="167" spans="1:18" x14ac:dyDescent="0.2">
      <c r="A167" s="89">
        <v>151</v>
      </c>
      <c r="B167" s="186" t="e">
        <f t="shared" si="21"/>
        <v>#NUM!</v>
      </c>
      <c r="C167" s="171" t="e">
        <f t="shared" si="22"/>
        <v>#NUM!</v>
      </c>
      <c r="D167" s="171" t="e">
        <f t="shared" si="23"/>
        <v>#NUM!</v>
      </c>
      <c r="E167" s="171" t="e">
        <f t="shared" si="24"/>
        <v>#NUM!</v>
      </c>
      <c r="F167" s="171" t="e">
        <f t="shared" si="25"/>
        <v>#NUM!</v>
      </c>
      <c r="G167" s="186">
        <f>IF('prijem - EUR-viac-domacnosti'!$I$120=TRUE,IF($C$11&gt;0,0.00025*C166,0),IF('prijem - EUR-viac-domacnosti'!$I$121=TRUE,IF('prijem - EUR-viac-domacnosti'!$F$121&gt;0,0.00025*C166,0),0))</f>
        <v>0</v>
      </c>
      <c r="L167" s="89">
        <v>151</v>
      </c>
      <c r="M167" s="186" t="e">
        <f t="shared" si="26"/>
        <v>#DIV/0!</v>
      </c>
      <c r="N167" s="171" t="e">
        <f t="shared" si="27"/>
        <v>#DIV/0!</v>
      </c>
      <c r="O167" s="171" t="e">
        <f t="shared" si="20"/>
        <v>#DIV/0!</v>
      </c>
      <c r="P167" s="171" t="e">
        <f t="shared" si="28"/>
        <v>#DIV/0!</v>
      </c>
      <c r="Q167" s="171" t="e">
        <f t="shared" si="29"/>
        <v>#DIV/0!</v>
      </c>
      <c r="R167" s="186">
        <f>IF('prijem - EUR-viac-domacnosti'!$I$120=TRUE,IF($C$11&gt;0,0.00025*N166,0),IF('prijem - EUR-viac-domacnosti'!$I$121=TRUE,IF('prijem - EUR-viac-domacnosti'!$F$121&gt;0,0.00025*N166*-1,0),0))</f>
        <v>0</v>
      </c>
    </row>
    <row r="168" spans="1:18" x14ac:dyDescent="0.2">
      <c r="A168" s="89">
        <v>152</v>
      </c>
      <c r="B168" s="186" t="e">
        <f t="shared" si="21"/>
        <v>#NUM!</v>
      </c>
      <c r="C168" s="171" t="e">
        <f t="shared" si="22"/>
        <v>#NUM!</v>
      </c>
      <c r="D168" s="171" t="e">
        <f t="shared" si="23"/>
        <v>#NUM!</v>
      </c>
      <c r="E168" s="171" t="e">
        <f t="shared" si="24"/>
        <v>#NUM!</v>
      </c>
      <c r="F168" s="171" t="e">
        <f t="shared" si="25"/>
        <v>#NUM!</v>
      </c>
      <c r="G168" s="186">
        <f>IF('prijem - EUR-viac-domacnosti'!$I$120=TRUE,IF($C$11&gt;0,0.00025*C167,0),IF('prijem - EUR-viac-domacnosti'!$I$121=TRUE,IF('prijem - EUR-viac-domacnosti'!$F$121&gt;0,0.00025*C167,0),0))</f>
        <v>0</v>
      </c>
      <c r="L168" s="89">
        <v>152</v>
      </c>
      <c r="M168" s="186" t="e">
        <f t="shared" si="26"/>
        <v>#DIV/0!</v>
      </c>
      <c r="N168" s="171" t="e">
        <f t="shared" si="27"/>
        <v>#DIV/0!</v>
      </c>
      <c r="O168" s="171" t="e">
        <f t="shared" si="20"/>
        <v>#DIV/0!</v>
      </c>
      <c r="P168" s="171" t="e">
        <f t="shared" si="28"/>
        <v>#DIV/0!</v>
      </c>
      <c r="Q168" s="171" t="e">
        <f t="shared" si="29"/>
        <v>#DIV/0!</v>
      </c>
      <c r="R168" s="186">
        <f>IF('prijem - EUR-viac-domacnosti'!$I$120=TRUE,IF($C$11&gt;0,0.00025*N167,0),IF('prijem - EUR-viac-domacnosti'!$I$121=TRUE,IF('prijem - EUR-viac-domacnosti'!$F$121&gt;0,0.00025*N167*-1,0),0))</f>
        <v>0</v>
      </c>
    </row>
    <row r="169" spans="1:18" x14ac:dyDescent="0.2">
      <c r="A169" s="89">
        <v>153</v>
      </c>
      <c r="B169" s="186" t="e">
        <f t="shared" si="21"/>
        <v>#NUM!</v>
      </c>
      <c r="C169" s="171" t="e">
        <f t="shared" si="22"/>
        <v>#NUM!</v>
      </c>
      <c r="D169" s="171" t="e">
        <f t="shared" si="23"/>
        <v>#NUM!</v>
      </c>
      <c r="E169" s="171" t="e">
        <f t="shared" si="24"/>
        <v>#NUM!</v>
      </c>
      <c r="F169" s="171" t="e">
        <f t="shared" si="25"/>
        <v>#NUM!</v>
      </c>
      <c r="G169" s="186">
        <f>IF('prijem - EUR-viac-domacnosti'!$I$120=TRUE,IF($C$11&gt;0,0.00025*C168,0),IF('prijem - EUR-viac-domacnosti'!$I$121=TRUE,IF('prijem - EUR-viac-domacnosti'!$F$121&gt;0,0.00025*C168,0),0))</f>
        <v>0</v>
      </c>
      <c r="L169" s="89">
        <v>153</v>
      </c>
      <c r="M169" s="186" t="e">
        <f t="shared" si="26"/>
        <v>#DIV/0!</v>
      </c>
      <c r="N169" s="171" t="e">
        <f t="shared" si="27"/>
        <v>#DIV/0!</v>
      </c>
      <c r="O169" s="171" t="e">
        <f t="shared" si="20"/>
        <v>#DIV/0!</v>
      </c>
      <c r="P169" s="171" t="e">
        <f t="shared" si="28"/>
        <v>#DIV/0!</v>
      </c>
      <c r="Q169" s="171" t="e">
        <f t="shared" si="29"/>
        <v>#DIV/0!</v>
      </c>
      <c r="R169" s="186">
        <f>IF('prijem - EUR-viac-domacnosti'!$I$120=TRUE,IF($C$11&gt;0,0.00025*N168,0),IF('prijem - EUR-viac-domacnosti'!$I$121=TRUE,IF('prijem - EUR-viac-domacnosti'!$F$121&gt;0,0.00025*N168*-1,0),0))</f>
        <v>0</v>
      </c>
    </row>
    <row r="170" spans="1:18" x14ac:dyDescent="0.2">
      <c r="A170" s="89">
        <v>154</v>
      </c>
      <c r="B170" s="186" t="e">
        <f t="shared" si="21"/>
        <v>#NUM!</v>
      </c>
      <c r="C170" s="171" t="e">
        <f t="shared" si="22"/>
        <v>#NUM!</v>
      </c>
      <c r="D170" s="171" t="e">
        <f t="shared" si="23"/>
        <v>#NUM!</v>
      </c>
      <c r="E170" s="171" t="e">
        <f t="shared" si="24"/>
        <v>#NUM!</v>
      </c>
      <c r="F170" s="171" t="e">
        <f t="shared" si="25"/>
        <v>#NUM!</v>
      </c>
      <c r="G170" s="186">
        <f>IF('prijem - EUR-viac-domacnosti'!$I$120=TRUE,IF($C$11&gt;0,0.00025*C169,0),IF('prijem - EUR-viac-domacnosti'!$I$121=TRUE,IF('prijem - EUR-viac-domacnosti'!$F$121&gt;0,0.00025*C169,0),0))</f>
        <v>0</v>
      </c>
      <c r="L170" s="89">
        <v>154</v>
      </c>
      <c r="M170" s="186" t="e">
        <f t="shared" si="26"/>
        <v>#DIV/0!</v>
      </c>
      <c r="N170" s="171" t="e">
        <f t="shared" si="27"/>
        <v>#DIV/0!</v>
      </c>
      <c r="O170" s="171" t="e">
        <f t="shared" si="20"/>
        <v>#DIV/0!</v>
      </c>
      <c r="P170" s="171" t="e">
        <f t="shared" si="28"/>
        <v>#DIV/0!</v>
      </c>
      <c r="Q170" s="171" t="e">
        <f t="shared" si="29"/>
        <v>#DIV/0!</v>
      </c>
      <c r="R170" s="186">
        <f>IF('prijem - EUR-viac-domacnosti'!$I$120=TRUE,IF($C$11&gt;0,0.00025*N169,0),IF('prijem - EUR-viac-domacnosti'!$I$121=TRUE,IF('prijem - EUR-viac-domacnosti'!$F$121&gt;0,0.00025*N169*-1,0),0))</f>
        <v>0</v>
      </c>
    </row>
    <row r="171" spans="1:18" x14ac:dyDescent="0.2">
      <c r="A171" s="89">
        <v>155</v>
      </c>
      <c r="B171" s="186" t="e">
        <f t="shared" si="21"/>
        <v>#NUM!</v>
      </c>
      <c r="C171" s="171" t="e">
        <f t="shared" si="22"/>
        <v>#NUM!</v>
      </c>
      <c r="D171" s="171" t="e">
        <f t="shared" si="23"/>
        <v>#NUM!</v>
      </c>
      <c r="E171" s="171" t="e">
        <f t="shared" si="24"/>
        <v>#NUM!</v>
      </c>
      <c r="F171" s="171" t="e">
        <f t="shared" si="25"/>
        <v>#NUM!</v>
      </c>
      <c r="G171" s="186">
        <f>IF('prijem - EUR-viac-domacnosti'!$I$120=TRUE,IF($C$11&gt;0,0.00025*C170,0),IF('prijem - EUR-viac-domacnosti'!$I$121=TRUE,IF('prijem - EUR-viac-domacnosti'!$F$121&gt;0,0.00025*C170,0),0))</f>
        <v>0</v>
      </c>
      <c r="L171" s="89">
        <v>155</v>
      </c>
      <c r="M171" s="186" t="e">
        <f t="shared" si="26"/>
        <v>#DIV/0!</v>
      </c>
      <c r="N171" s="171" t="e">
        <f t="shared" si="27"/>
        <v>#DIV/0!</v>
      </c>
      <c r="O171" s="171" t="e">
        <f t="shared" si="20"/>
        <v>#DIV/0!</v>
      </c>
      <c r="P171" s="171" t="e">
        <f t="shared" si="28"/>
        <v>#DIV/0!</v>
      </c>
      <c r="Q171" s="171" t="e">
        <f t="shared" si="29"/>
        <v>#DIV/0!</v>
      </c>
      <c r="R171" s="186">
        <f>IF('prijem - EUR-viac-domacnosti'!$I$120=TRUE,IF($C$11&gt;0,0.00025*N170,0),IF('prijem - EUR-viac-domacnosti'!$I$121=TRUE,IF('prijem - EUR-viac-domacnosti'!$F$121&gt;0,0.00025*N170*-1,0),0))</f>
        <v>0</v>
      </c>
    </row>
    <row r="172" spans="1:18" x14ac:dyDescent="0.2">
      <c r="A172" s="89">
        <v>156</v>
      </c>
      <c r="B172" s="186" t="e">
        <f t="shared" si="21"/>
        <v>#NUM!</v>
      </c>
      <c r="C172" s="171" t="e">
        <f t="shared" si="22"/>
        <v>#NUM!</v>
      </c>
      <c r="D172" s="171" t="e">
        <f t="shared" si="23"/>
        <v>#NUM!</v>
      </c>
      <c r="E172" s="171" t="e">
        <f t="shared" si="24"/>
        <v>#NUM!</v>
      </c>
      <c r="F172" s="171" t="e">
        <f t="shared" si="25"/>
        <v>#NUM!</v>
      </c>
      <c r="G172" s="186">
        <f>IF('prijem - EUR-viac-domacnosti'!$I$120=TRUE,IF($C$11&gt;0,0.00025*C171,0),IF('prijem - EUR-viac-domacnosti'!$I$121=TRUE,IF('prijem - EUR-viac-domacnosti'!$F$121&gt;0,0.00025*C171,0),0))</f>
        <v>0</v>
      </c>
      <c r="L172" s="89">
        <v>156</v>
      </c>
      <c r="M172" s="186" t="e">
        <f t="shared" si="26"/>
        <v>#DIV/0!</v>
      </c>
      <c r="N172" s="171" t="e">
        <f t="shared" si="27"/>
        <v>#DIV/0!</v>
      </c>
      <c r="O172" s="171" t="e">
        <f t="shared" si="20"/>
        <v>#DIV/0!</v>
      </c>
      <c r="P172" s="171" t="e">
        <f t="shared" si="28"/>
        <v>#DIV/0!</v>
      </c>
      <c r="Q172" s="171" t="e">
        <f t="shared" si="29"/>
        <v>#DIV/0!</v>
      </c>
      <c r="R172" s="186">
        <f>IF('prijem - EUR-viac-domacnosti'!$I$120=TRUE,IF($C$11&gt;0,0.00025*N171,0),IF('prijem - EUR-viac-domacnosti'!$I$121=TRUE,IF('prijem - EUR-viac-domacnosti'!$F$121&gt;0,0.00025*N171*-1,0),0))</f>
        <v>0</v>
      </c>
    </row>
    <row r="173" spans="1:18" x14ac:dyDescent="0.2">
      <c r="A173" s="89">
        <v>157</v>
      </c>
      <c r="B173" s="186" t="e">
        <f t="shared" si="21"/>
        <v>#NUM!</v>
      </c>
      <c r="C173" s="171" t="e">
        <f t="shared" si="22"/>
        <v>#NUM!</v>
      </c>
      <c r="D173" s="171" t="e">
        <f t="shared" si="23"/>
        <v>#NUM!</v>
      </c>
      <c r="E173" s="171" t="e">
        <f t="shared" si="24"/>
        <v>#NUM!</v>
      </c>
      <c r="F173" s="171" t="e">
        <f t="shared" si="25"/>
        <v>#NUM!</v>
      </c>
      <c r="G173" s="186">
        <f>IF('prijem - EUR-viac-domacnosti'!$I$120=TRUE,IF($C$11&gt;0,0.00025*C172,0),IF('prijem - EUR-viac-domacnosti'!$I$121=TRUE,IF('prijem - EUR-viac-domacnosti'!$F$121&gt;0,0.00025*C172,0),0))</f>
        <v>0</v>
      </c>
      <c r="L173" s="89">
        <v>157</v>
      </c>
      <c r="M173" s="186" t="e">
        <f t="shared" si="26"/>
        <v>#DIV/0!</v>
      </c>
      <c r="N173" s="171" t="e">
        <f t="shared" si="27"/>
        <v>#DIV/0!</v>
      </c>
      <c r="O173" s="171" t="e">
        <f t="shared" si="20"/>
        <v>#DIV/0!</v>
      </c>
      <c r="P173" s="171" t="e">
        <f t="shared" si="28"/>
        <v>#DIV/0!</v>
      </c>
      <c r="Q173" s="171" t="e">
        <f t="shared" si="29"/>
        <v>#DIV/0!</v>
      </c>
      <c r="R173" s="186">
        <f>IF('prijem - EUR-viac-domacnosti'!$I$120=TRUE,IF($C$11&gt;0,0.00025*N172,0),IF('prijem - EUR-viac-domacnosti'!$I$121=TRUE,IF('prijem - EUR-viac-domacnosti'!$F$121&gt;0,0.00025*N172*-1,0),0))</f>
        <v>0</v>
      </c>
    </row>
    <row r="174" spans="1:18" x14ac:dyDescent="0.2">
      <c r="A174" s="89">
        <v>158</v>
      </c>
      <c r="B174" s="186" t="e">
        <f t="shared" si="21"/>
        <v>#NUM!</v>
      </c>
      <c r="C174" s="171" t="e">
        <f t="shared" si="22"/>
        <v>#NUM!</v>
      </c>
      <c r="D174" s="171" t="e">
        <f t="shared" si="23"/>
        <v>#NUM!</v>
      </c>
      <c r="E174" s="171" t="e">
        <f t="shared" si="24"/>
        <v>#NUM!</v>
      </c>
      <c r="F174" s="171" t="e">
        <f t="shared" si="25"/>
        <v>#NUM!</v>
      </c>
      <c r="G174" s="186">
        <f>IF('prijem - EUR-viac-domacnosti'!$I$120=TRUE,IF($C$11&gt;0,0.00025*C173,0),IF('prijem - EUR-viac-domacnosti'!$I$121=TRUE,IF('prijem - EUR-viac-domacnosti'!$F$121&gt;0,0.00025*C173,0),0))</f>
        <v>0</v>
      </c>
      <c r="L174" s="89">
        <v>158</v>
      </c>
      <c r="M174" s="186" t="e">
        <f t="shared" si="26"/>
        <v>#DIV/0!</v>
      </c>
      <c r="N174" s="171" t="e">
        <f t="shared" si="27"/>
        <v>#DIV/0!</v>
      </c>
      <c r="O174" s="171" t="e">
        <f t="shared" si="20"/>
        <v>#DIV/0!</v>
      </c>
      <c r="P174" s="171" t="e">
        <f t="shared" si="28"/>
        <v>#DIV/0!</v>
      </c>
      <c r="Q174" s="171" t="e">
        <f t="shared" si="29"/>
        <v>#DIV/0!</v>
      </c>
      <c r="R174" s="186">
        <f>IF('prijem - EUR-viac-domacnosti'!$I$120=TRUE,IF($C$11&gt;0,0.00025*N173,0),IF('prijem - EUR-viac-domacnosti'!$I$121=TRUE,IF('prijem - EUR-viac-domacnosti'!$F$121&gt;0,0.00025*N173*-1,0),0))</f>
        <v>0</v>
      </c>
    </row>
    <row r="175" spans="1:18" x14ac:dyDescent="0.2">
      <c r="A175" s="89">
        <v>159</v>
      </c>
      <c r="B175" s="186" t="e">
        <f t="shared" si="21"/>
        <v>#NUM!</v>
      </c>
      <c r="C175" s="171" t="e">
        <f t="shared" si="22"/>
        <v>#NUM!</v>
      </c>
      <c r="D175" s="171" t="e">
        <f t="shared" si="23"/>
        <v>#NUM!</v>
      </c>
      <c r="E175" s="171" t="e">
        <f t="shared" si="24"/>
        <v>#NUM!</v>
      </c>
      <c r="F175" s="171" t="e">
        <f t="shared" si="25"/>
        <v>#NUM!</v>
      </c>
      <c r="G175" s="186">
        <f>IF('prijem - EUR-viac-domacnosti'!$I$120=TRUE,IF($C$11&gt;0,0.00025*C174,0),IF('prijem - EUR-viac-domacnosti'!$I$121=TRUE,IF('prijem - EUR-viac-domacnosti'!$F$121&gt;0,0.00025*C174,0),0))</f>
        <v>0</v>
      </c>
      <c r="L175" s="89">
        <v>159</v>
      </c>
      <c r="M175" s="186" t="e">
        <f t="shared" si="26"/>
        <v>#DIV/0!</v>
      </c>
      <c r="N175" s="171" t="e">
        <f t="shared" si="27"/>
        <v>#DIV/0!</v>
      </c>
      <c r="O175" s="171" t="e">
        <f t="shared" si="20"/>
        <v>#DIV/0!</v>
      </c>
      <c r="P175" s="171" t="e">
        <f t="shared" si="28"/>
        <v>#DIV/0!</v>
      </c>
      <c r="Q175" s="171" t="e">
        <f t="shared" si="29"/>
        <v>#DIV/0!</v>
      </c>
      <c r="R175" s="186">
        <f>IF('prijem - EUR-viac-domacnosti'!$I$120=TRUE,IF($C$11&gt;0,0.00025*N174,0),IF('prijem - EUR-viac-domacnosti'!$I$121=TRUE,IF('prijem - EUR-viac-domacnosti'!$F$121&gt;0,0.00025*N174*-1,0),0))</f>
        <v>0</v>
      </c>
    </row>
    <row r="176" spans="1:18" x14ac:dyDescent="0.2">
      <c r="A176" s="89">
        <v>160</v>
      </c>
      <c r="B176" s="186" t="e">
        <f t="shared" si="21"/>
        <v>#NUM!</v>
      </c>
      <c r="C176" s="171" t="e">
        <f t="shared" si="22"/>
        <v>#NUM!</v>
      </c>
      <c r="D176" s="171" t="e">
        <f t="shared" si="23"/>
        <v>#NUM!</v>
      </c>
      <c r="E176" s="171" t="e">
        <f t="shared" si="24"/>
        <v>#NUM!</v>
      </c>
      <c r="F176" s="171" t="e">
        <f t="shared" si="25"/>
        <v>#NUM!</v>
      </c>
      <c r="G176" s="186">
        <f>IF('prijem - EUR-viac-domacnosti'!$I$120=TRUE,IF($C$11&gt;0,0.00025*C175,0),IF('prijem - EUR-viac-domacnosti'!$I$121=TRUE,IF('prijem - EUR-viac-domacnosti'!$F$121&gt;0,0.00025*C175,0),0))</f>
        <v>0</v>
      </c>
      <c r="L176" s="89">
        <v>160</v>
      </c>
      <c r="M176" s="186" t="e">
        <f t="shared" si="26"/>
        <v>#DIV/0!</v>
      </c>
      <c r="N176" s="171" t="e">
        <f t="shared" si="27"/>
        <v>#DIV/0!</v>
      </c>
      <c r="O176" s="171" t="e">
        <f t="shared" si="20"/>
        <v>#DIV/0!</v>
      </c>
      <c r="P176" s="171" t="e">
        <f t="shared" si="28"/>
        <v>#DIV/0!</v>
      </c>
      <c r="Q176" s="171" t="e">
        <f t="shared" si="29"/>
        <v>#DIV/0!</v>
      </c>
      <c r="R176" s="186">
        <f>IF('prijem - EUR-viac-domacnosti'!$I$120=TRUE,IF($C$11&gt;0,0.00025*N175,0),IF('prijem - EUR-viac-domacnosti'!$I$121=TRUE,IF('prijem - EUR-viac-domacnosti'!$F$121&gt;0,0.00025*N175*-1,0),0))</f>
        <v>0</v>
      </c>
    </row>
    <row r="177" spans="1:18" x14ac:dyDescent="0.2">
      <c r="A177" s="89">
        <v>161</v>
      </c>
      <c r="B177" s="186" t="e">
        <f t="shared" si="21"/>
        <v>#NUM!</v>
      </c>
      <c r="C177" s="171" t="e">
        <f t="shared" si="22"/>
        <v>#NUM!</v>
      </c>
      <c r="D177" s="171" t="e">
        <f t="shared" si="23"/>
        <v>#NUM!</v>
      </c>
      <c r="E177" s="171" t="e">
        <f t="shared" si="24"/>
        <v>#NUM!</v>
      </c>
      <c r="F177" s="171" t="e">
        <f t="shared" si="25"/>
        <v>#NUM!</v>
      </c>
      <c r="G177" s="186">
        <f>IF('prijem - EUR-viac-domacnosti'!$I$120=TRUE,IF($C$11&gt;0,0.00025*C176,0),IF('prijem - EUR-viac-domacnosti'!$I$121=TRUE,IF('prijem - EUR-viac-domacnosti'!$F$121&gt;0,0.00025*C176,0),0))</f>
        <v>0</v>
      </c>
      <c r="L177" s="89">
        <v>161</v>
      </c>
      <c r="M177" s="186" t="e">
        <f t="shared" si="26"/>
        <v>#DIV/0!</v>
      </c>
      <c r="N177" s="171" t="e">
        <f t="shared" si="27"/>
        <v>#DIV/0!</v>
      </c>
      <c r="O177" s="171" t="e">
        <f t="shared" si="20"/>
        <v>#DIV/0!</v>
      </c>
      <c r="P177" s="171" t="e">
        <f t="shared" si="28"/>
        <v>#DIV/0!</v>
      </c>
      <c r="Q177" s="171" t="e">
        <f t="shared" si="29"/>
        <v>#DIV/0!</v>
      </c>
      <c r="R177" s="186">
        <f>IF('prijem - EUR-viac-domacnosti'!$I$120=TRUE,IF($C$11&gt;0,0.00025*N176,0),IF('prijem - EUR-viac-domacnosti'!$I$121=TRUE,IF('prijem - EUR-viac-domacnosti'!$F$121&gt;0,0.00025*N176*-1,0),0))</f>
        <v>0</v>
      </c>
    </row>
    <row r="178" spans="1:18" x14ac:dyDescent="0.2">
      <c r="A178" s="89">
        <v>162</v>
      </c>
      <c r="B178" s="186" t="e">
        <f t="shared" si="21"/>
        <v>#NUM!</v>
      </c>
      <c r="C178" s="171" t="e">
        <f t="shared" si="22"/>
        <v>#NUM!</v>
      </c>
      <c r="D178" s="171" t="e">
        <f t="shared" si="23"/>
        <v>#NUM!</v>
      </c>
      <c r="E178" s="171" t="e">
        <f t="shared" si="24"/>
        <v>#NUM!</v>
      </c>
      <c r="F178" s="171" t="e">
        <f t="shared" si="25"/>
        <v>#NUM!</v>
      </c>
      <c r="G178" s="186">
        <f>IF('prijem - EUR-viac-domacnosti'!$I$120=TRUE,IF($C$11&gt;0,0.00025*C177,0),IF('prijem - EUR-viac-domacnosti'!$I$121=TRUE,IF('prijem - EUR-viac-domacnosti'!$F$121&gt;0,0.00025*C177,0),0))</f>
        <v>0</v>
      </c>
      <c r="L178" s="89">
        <v>162</v>
      </c>
      <c r="M178" s="186" t="e">
        <f t="shared" si="26"/>
        <v>#DIV/0!</v>
      </c>
      <c r="N178" s="171" t="e">
        <f t="shared" si="27"/>
        <v>#DIV/0!</v>
      </c>
      <c r="O178" s="171" t="e">
        <f t="shared" si="20"/>
        <v>#DIV/0!</v>
      </c>
      <c r="P178" s="171" t="e">
        <f t="shared" si="28"/>
        <v>#DIV/0!</v>
      </c>
      <c r="Q178" s="171" t="e">
        <f t="shared" si="29"/>
        <v>#DIV/0!</v>
      </c>
      <c r="R178" s="186">
        <f>IF('prijem - EUR-viac-domacnosti'!$I$120=TRUE,IF($C$11&gt;0,0.00025*N177,0),IF('prijem - EUR-viac-domacnosti'!$I$121=TRUE,IF('prijem - EUR-viac-domacnosti'!$F$121&gt;0,0.00025*N177*-1,0),0))</f>
        <v>0</v>
      </c>
    </row>
    <row r="179" spans="1:18" x14ac:dyDescent="0.2">
      <c r="A179" s="89">
        <v>163</v>
      </c>
      <c r="B179" s="186" t="e">
        <f t="shared" si="21"/>
        <v>#NUM!</v>
      </c>
      <c r="C179" s="171" t="e">
        <f t="shared" si="22"/>
        <v>#NUM!</v>
      </c>
      <c r="D179" s="171" t="e">
        <f t="shared" si="23"/>
        <v>#NUM!</v>
      </c>
      <c r="E179" s="171" t="e">
        <f t="shared" si="24"/>
        <v>#NUM!</v>
      </c>
      <c r="F179" s="171" t="e">
        <f t="shared" si="25"/>
        <v>#NUM!</v>
      </c>
      <c r="G179" s="186">
        <f>IF('prijem - EUR-viac-domacnosti'!$I$120=TRUE,IF($C$11&gt;0,0.00025*C178,0),IF('prijem - EUR-viac-domacnosti'!$I$121=TRUE,IF('prijem - EUR-viac-domacnosti'!$F$121&gt;0,0.00025*C178,0),0))</f>
        <v>0</v>
      </c>
      <c r="L179" s="89">
        <v>163</v>
      </c>
      <c r="M179" s="186" t="e">
        <f t="shared" si="26"/>
        <v>#DIV/0!</v>
      </c>
      <c r="N179" s="171" t="e">
        <f t="shared" si="27"/>
        <v>#DIV/0!</v>
      </c>
      <c r="O179" s="171" t="e">
        <f t="shared" si="20"/>
        <v>#DIV/0!</v>
      </c>
      <c r="P179" s="171" t="e">
        <f t="shared" si="28"/>
        <v>#DIV/0!</v>
      </c>
      <c r="Q179" s="171" t="e">
        <f t="shared" si="29"/>
        <v>#DIV/0!</v>
      </c>
      <c r="R179" s="186">
        <f>IF('prijem - EUR-viac-domacnosti'!$I$120=TRUE,IF($C$11&gt;0,0.00025*N178,0),IF('prijem - EUR-viac-domacnosti'!$I$121=TRUE,IF('prijem - EUR-viac-domacnosti'!$F$121&gt;0,0.00025*N178*-1,0),0))</f>
        <v>0</v>
      </c>
    </row>
    <row r="180" spans="1:18" x14ac:dyDescent="0.2">
      <c r="A180" s="89">
        <v>164</v>
      </c>
      <c r="B180" s="186" t="e">
        <f t="shared" si="21"/>
        <v>#NUM!</v>
      </c>
      <c r="C180" s="171" t="e">
        <f t="shared" si="22"/>
        <v>#NUM!</v>
      </c>
      <c r="D180" s="171" t="e">
        <f t="shared" si="23"/>
        <v>#NUM!</v>
      </c>
      <c r="E180" s="171" t="e">
        <f t="shared" si="24"/>
        <v>#NUM!</v>
      </c>
      <c r="F180" s="171" t="e">
        <f t="shared" si="25"/>
        <v>#NUM!</v>
      </c>
      <c r="G180" s="186">
        <f>IF('prijem - EUR-viac-domacnosti'!$I$120=TRUE,IF($C$11&gt;0,0.00025*C179,0),IF('prijem - EUR-viac-domacnosti'!$I$121=TRUE,IF('prijem - EUR-viac-domacnosti'!$F$121&gt;0,0.00025*C179,0),0))</f>
        <v>0</v>
      </c>
      <c r="L180" s="89">
        <v>164</v>
      </c>
      <c r="M180" s="186" t="e">
        <f t="shared" si="26"/>
        <v>#DIV/0!</v>
      </c>
      <c r="N180" s="171" t="e">
        <f t="shared" si="27"/>
        <v>#DIV/0!</v>
      </c>
      <c r="O180" s="171" t="e">
        <f t="shared" si="20"/>
        <v>#DIV/0!</v>
      </c>
      <c r="P180" s="171" t="e">
        <f t="shared" si="28"/>
        <v>#DIV/0!</v>
      </c>
      <c r="Q180" s="171" t="e">
        <f t="shared" si="29"/>
        <v>#DIV/0!</v>
      </c>
      <c r="R180" s="186">
        <f>IF('prijem - EUR-viac-domacnosti'!$I$120=TRUE,IF($C$11&gt;0,0.00025*N179,0),IF('prijem - EUR-viac-domacnosti'!$I$121=TRUE,IF('prijem - EUR-viac-domacnosti'!$F$121&gt;0,0.00025*N179*-1,0),0))</f>
        <v>0</v>
      </c>
    </row>
    <row r="181" spans="1:18" x14ac:dyDescent="0.2">
      <c r="A181" s="89">
        <v>165</v>
      </c>
      <c r="B181" s="186" t="e">
        <f t="shared" si="21"/>
        <v>#NUM!</v>
      </c>
      <c r="C181" s="171" t="e">
        <f t="shared" si="22"/>
        <v>#NUM!</v>
      </c>
      <c r="D181" s="171" t="e">
        <f t="shared" si="23"/>
        <v>#NUM!</v>
      </c>
      <c r="E181" s="171" t="e">
        <f t="shared" si="24"/>
        <v>#NUM!</v>
      </c>
      <c r="F181" s="171" t="e">
        <f t="shared" si="25"/>
        <v>#NUM!</v>
      </c>
      <c r="G181" s="186">
        <f>IF('prijem - EUR-viac-domacnosti'!$I$120=TRUE,IF($C$11&gt;0,0.00025*C180,0),IF('prijem - EUR-viac-domacnosti'!$I$121=TRUE,IF('prijem - EUR-viac-domacnosti'!$F$121&gt;0,0.00025*C180,0),0))</f>
        <v>0</v>
      </c>
      <c r="L181" s="89">
        <v>165</v>
      </c>
      <c r="M181" s="186" t="e">
        <f t="shared" si="26"/>
        <v>#DIV/0!</v>
      </c>
      <c r="N181" s="171" t="e">
        <f t="shared" si="27"/>
        <v>#DIV/0!</v>
      </c>
      <c r="O181" s="171" t="e">
        <f t="shared" si="20"/>
        <v>#DIV/0!</v>
      </c>
      <c r="P181" s="171" t="e">
        <f t="shared" si="28"/>
        <v>#DIV/0!</v>
      </c>
      <c r="Q181" s="171" t="e">
        <f t="shared" si="29"/>
        <v>#DIV/0!</v>
      </c>
      <c r="R181" s="186">
        <f>IF('prijem - EUR-viac-domacnosti'!$I$120=TRUE,IF($C$11&gt;0,0.00025*N180,0),IF('prijem - EUR-viac-domacnosti'!$I$121=TRUE,IF('prijem - EUR-viac-domacnosti'!$F$121&gt;0,0.00025*N180*-1,0),0))</f>
        <v>0</v>
      </c>
    </row>
    <row r="182" spans="1:18" x14ac:dyDescent="0.2">
      <c r="A182" s="89">
        <v>166</v>
      </c>
      <c r="B182" s="186" t="e">
        <f t="shared" si="21"/>
        <v>#NUM!</v>
      </c>
      <c r="C182" s="171" t="e">
        <f t="shared" si="22"/>
        <v>#NUM!</v>
      </c>
      <c r="D182" s="171" t="e">
        <f t="shared" si="23"/>
        <v>#NUM!</v>
      </c>
      <c r="E182" s="171" t="e">
        <f t="shared" si="24"/>
        <v>#NUM!</v>
      </c>
      <c r="F182" s="171" t="e">
        <f t="shared" si="25"/>
        <v>#NUM!</v>
      </c>
      <c r="G182" s="186">
        <f>IF('prijem - EUR-viac-domacnosti'!$I$120=TRUE,IF($C$11&gt;0,0.00025*C181,0),IF('prijem - EUR-viac-domacnosti'!$I$121=TRUE,IF('prijem - EUR-viac-domacnosti'!$F$121&gt;0,0.00025*C181,0),0))</f>
        <v>0</v>
      </c>
      <c r="L182" s="89">
        <v>166</v>
      </c>
      <c r="M182" s="186" t="e">
        <f t="shared" si="26"/>
        <v>#DIV/0!</v>
      </c>
      <c r="N182" s="171" t="e">
        <f t="shared" si="27"/>
        <v>#DIV/0!</v>
      </c>
      <c r="O182" s="171" t="e">
        <f t="shared" si="20"/>
        <v>#DIV/0!</v>
      </c>
      <c r="P182" s="171" t="e">
        <f t="shared" si="28"/>
        <v>#DIV/0!</v>
      </c>
      <c r="Q182" s="171" t="e">
        <f t="shared" si="29"/>
        <v>#DIV/0!</v>
      </c>
      <c r="R182" s="186">
        <f>IF('prijem - EUR-viac-domacnosti'!$I$120=TRUE,IF($C$11&gt;0,0.00025*N181,0),IF('prijem - EUR-viac-domacnosti'!$I$121=TRUE,IF('prijem - EUR-viac-domacnosti'!$F$121&gt;0,0.00025*N181*-1,0),0))</f>
        <v>0</v>
      </c>
    </row>
    <row r="183" spans="1:18" x14ac:dyDescent="0.2">
      <c r="A183" s="89">
        <v>167</v>
      </c>
      <c r="B183" s="186" t="e">
        <f t="shared" si="21"/>
        <v>#NUM!</v>
      </c>
      <c r="C183" s="171" t="e">
        <f t="shared" si="22"/>
        <v>#NUM!</v>
      </c>
      <c r="D183" s="171" t="e">
        <f t="shared" si="23"/>
        <v>#NUM!</v>
      </c>
      <c r="E183" s="171" t="e">
        <f t="shared" si="24"/>
        <v>#NUM!</v>
      </c>
      <c r="F183" s="171" t="e">
        <f t="shared" si="25"/>
        <v>#NUM!</v>
      </c>
      <c r="G183" s="186">
        <f>IF('prijem - EUR-viac-domacnosti'!$I$120=TRUE,IF($C$11&gt;0,0.00025*C182,0),IF('prijem - EUR-viac-domacnosti'!$I$121=TRUE,IF('prijem - EUR-viac-domacnosti'!$F$121&gt;0,0.00025*C182,0),0))</f>
        <v>0</v>
      </c>
      <c r="L183" s="89">
        <v>167</v>
      </c>
      <c r="M183" s="186" t="e">
        <f t="shared" si="26"/>
        <v>#DIV/0!</v>
      </c>
      <c r="N183" s="171" t="e">
        <f t="shared" si="27"/>
        <v>#DIV/0!</v>
      </c>
      <c r="O183" s="171" t="e">
        <f t="shared" si="20"/>
        <v>#DIV/0!</v>
      </c>
      <c r="P183" s="171" t="e">
        <f t="shared" si="28"/>
        <v>#DIV/0!</v>
      </c>
      <c r="Q183" s="171" t="e">
        <f t="shared" si="29"/>
        <v>#DIV/0!</v>
      </c>
      <c r="R183" s="186">
        <f>IF('prijem - EUR-viac-domacnosti'!$I$120=TRUE,IF($C$11&gt;0,0.00025*N182,0),IF('prijem - EUR-viac-domacnosti'!$I$121=TRUE,IF('prijem - EUR-viac-domacnosti'!$F$121&gt;0,0.00025*N182*-1,0),0))</f>
        <v>0</v>
      </c>
    </row>
    <row r="184" spans="1:18" x14ac:dyDescent="0.2">
      <c r="A184" s="89">
        <v>168</v>
      </c>
      <c r="B184" s="186" t="e">
        <f t="shared" si="21"/>
        <v>#NUM!</v>
      </c>
      <c r="C184" s="171" t="e">
        <f t="shared" si="22"/>
        <v>#NUM!</v>
      </c>
      <c r="D184" s="171" t="e">
        <f t="shared" si="23"/>
        <v>#NUM!</v>
      </c>
      <c r="E184" s="171" t="e">
        <f t="shared" si="24"/>
        <v>#NUM!</v>
      </c>
      <c r="F184" s="171" t="e">
        <f t="shared" si="25"/>
        <v>#NUM!</v>
      </c>
      <c r="G184" s="186">
        <f>IF('prijem - EUR-viac-domacnosti'!$I$120=TRUE,IF($C$11&gt;0,0.00025*C183,0),IF('prijem - EUR-viac-domacnosti'!$I$121=TRUE,IF('prijem - EUR-viac-domacnosti'!$F$121&gt;0,0.00025*C183,0),0))</f>
        <v>0</v>
      </c>
      <c r="L184" s="89">
        <v>168</v>
      </c>
      <c r="M184" s="186" t="e">
        <f t="shared" si="26"/>
        <v>#DIV/0!</v>
      </c>
      <c r="N184" s="171" t="e">
        <f t="shared" si="27"/>
        <v>#DIV/0!</v>
      </c>
      <c r="O184" s="171" t="e">
        <f t="shared" si="20"/>
        <v>#DIV/0!</v>
      </c>
      <c r="P184" s="171" t="e">
        <f t="shared" si="28"/>
        <v>#DIV/0!</v>
      </c>
      <c r="Q184" s="171" t="e">
        <f t="shared" si="29"/>
        <v>#DIV/0!</v>
      </c>
      <c r="R184" s="186">
        <f>IF('prijem - EUR-viac-domacnosti'!$I$120=TRUE,IF($C$11&gt;0,0.00025*N183,0),IF('prijem - EUR-viac-domacnosti'!$I$121=TRUE,IF('prijem - EUR-viac-domacnosti'!$F$121&gt;0,0.00025*N183*-1,0),0))</f>
        <v>0</v>
      </c>
    </row>
    <row r="185" spans="1:18" x14ac:dyDescent="0.2">
      <c r="A185" s="89">
        <v>169</v>
      </c>
      <c r="B185" s="186" t="e">
        <f t="shared" si="21"/>
        <v>#NUM!</v>
      </c>
      <c r="C185" s="171" t="e">
        <f t="shared" si="22"/>
        <v>#NUM!</v>
      </c>
      <c r="D185" s="171" t="e">
        <f t="shared" si="23"/>
        <v>#NUM!</v>
      </c>
      <c r="E185" s="171" t="e">
        <f t="shared" si="24"/>
        <v>#NUM!</v>
      </c>
      <c r="F185" s="171" t="e">
        <f t="shared" si="25"/>
        <v>#NUM!</v>
      </c>
      <c r="G185" s="186">
        <f>IF('prijem - EUR-viac-domacnosti'!$I$120=TRUE,IF($C$11&gt;0,0.00025*C184,0),IF('prijem - EUR-viac-domacnosti'!$I$121=TRUE,IF('prijem - EUR-viac-domacnosti'!$F$121&gt;0,0.00025*C184,0),0))</f>
        <v>0</v>
      </c>
      <c r="L185" s="89">
        <v>169</v>
      </c>
      <c r="M185" s="186" t="e">
        <f t="shared" si="26"/>
        <v>#DIV/0!</v>
      </c>
      <c r="N185" s="171" t="e">
        <f t="shared" si="27"/>
        <v>#DIV/0!</v>
      </c>
      <c r="O185" s="171" t="e">
        <f t="shared" si="20"/>
        <v>#DIV/0!</v>
      </c>
      <c r="P185" s="171" t="e">
        <f t="shared" si="28"/>
        <v>#DIV/0!</v>
      </c>
      <c r="Q185" s="171" t="e">
        <f t="shared" si="29"/>
        <v>#DIV/0!</v>
      </c>
      <c r="R185" s="186">
        <f>IF('prijem - EUR-viac-domacnosti'!$I$120=TRUE,IF($C$11&gt;0,0.00025*N184,0),IF('prijem - EUR-viac-domacnosti'!$I$121=TRUE,IF('prijem - EUR-viac-domacnosti'!$F$121&gt;0,0.00025*N184*-1,0),0))</f>
        <v>0</v>
      </c>
    </row>
    <row r="186" spans="1:18" x14ac:dyDescent="0.2">
      <c r="A186" s="89">
        <v>170</v>
      </c>
      <c r="B186" s="186" t="e">
        <f t="shared" si="21"/>
        <v>#NUM!</v>
      </c>
      <c r="C186" s="171" t="e">
        <f t="shared" si="22"/>
        <v>#NUM!</v>
      </c>
      <c r="D186" s="171" t="e">
        <f t="shared" si="23"/>
        <v>#NUM!</v>
      </c>
      <c r="E186" s="171" t="e">
        <f t="shared" si="24"/>
        <v>#NUM!</v>
      </c>
      <c r="F186" s="171" t="e">
        <f t="shared" si="25"/>
        <v>#NUM!</v>
      </c>
      <c r="G186" s="186">
        <f>IF('prijem - EUR-viac-domacnosti'!$I$120=TRUE,IF($C$11&gt;0,0.00025*C185,0),IF('prijem - EUR-viac-domacnosti'!$I$121=TRUE,IF('prijem - EUR-viac-domacnosti'!$F$121&gt;0,0.00025*C185,0),0))</f>
        <v>0</v>
      </c>
      <c r="L186" s="89">
        <v>170</v>
      </c>
      <c r="M186" s="186" t="e">
        <f t="shared" si="26"/>
        <v>#DIV/0!</v>
      </c>
      <c r="N186" s="171" t="e">
        <f t="shared" si="27"/>
        <v>#DIV/0!</v>
      </c>
      <c r="O186" s="171" t="e">
        <f t="shared" si="20"/>
        <v>#DIV/0!</v>
      </c>
      <c r="P186" s="171" t="e">
        <f t="shared" si="28"/>
        <v>#DIV/0!</v>
      </c>
      <c r="Q186" s="171" t="e">
        <f t="shared" si="29"/>
        <v>#DIV/0!</v>
      </c>
      <c r="R186" s="186">
        <f>IF('prijem - EUR-viac-domacnosti'!$I$120=TRUE,IF($C$11&gt;0,0.00025*N185,0),IF('prijem - EUR-viac-domacnosti'!$I$121=TRUE,IF('prijem - EUR-viac-domacnosti'!$F$121&gt;0,0.00025*N185*-1,0),0))</f>
        <v>0</v>
      </c>
    </row>
    <row r="187" spans="1:18" x14ac:dyDescent="0.2">
      <c r="A187" s="89">
        <v>171</v>
      </c>
      <c r="B187" s="186" t="e">
        <f t="shared" si="21"/>
        <v>#NUM!</v>
      </c>
      <c r="C187" s="171" t="e">
        <f t="shared" si="22"/>
        <v>#NUM!</v>
      </c>
      <c r="D187" s="171" t="e">
        <f t="shared" si="23"/>
        <v>#NUM!</v>
      </c>
      <c r="E187" s="171" t="e">
        <f t="shared" si="24"/>
        <v>#NUM!</v>
      </c>
      <c r="F187" s="171" t="e">
        <f t="shared" si="25"/>
        <v>#NUM!</v>
      </c>
      <c r="G187" s="186">
        <f>IF('prijem - EUR-viac-domacnosti'!$I$120=TRUE,IF($C$11&gt;0,0.00025*C186,0),IF('prijem - EUR-viac-domacnosti'!$I$121=TRUE,IF('prijem - EUR-viac-domacnosti'!$F$121&gt;0,0.00025*C186,0),0))</f>
        <v>0</v>
      </c>
      <c r="L187" s="89">
        <v>171</v>
      </c>
      <c r="M187" s="186" t="e">
        <f t="shared" si="26"/>
        <v>#DIV/0!</v>
      </c>
      <c r="N187" s="171" t="e">
        <f t="shared" si="27"/>
        <v>#DIV/0!</v>
      </c>
      <c r="O187" s="171" t="e">
        <f t="shared" si="20"/>
        <v>#DIV/0!</v>
      </c>
      <c r="P187" s="171" t="e">
        <f t="shared" si="28"/>
        <v>#DIV/0!</v>
      </c>
      <c r="Q187" s="171" t="e">
        <f t="shared" si="29"/>
        <v>#DIV/0!</v>
      </c>
      <c r="R187" s="186">
        <f>IF('prijem - EUR-viac-domacnosti'!$I$120=TRUE,IF($C$11&gt;0,0.00025*N186,0),IF('prijem - EUR-viac-domacnosti'!$I$121=TRUE,IF('prijem - EUR-viac-domacnosti'!$F$121&gt;0,0.00025*N186*-1,0),0))</f>
        <v>0</v>
      </c>
    </row>
    <row r="188" spans="1:18" x14ac:dyDescent="0.2">
      <c r="A188" s="89">
        <v>172</v>
      </c>
      <c r="B188" s="186" t="e">
        <f t="shared" si="21"/>
        <v>#NUM!</v>
      </c>
      <c r="C188" s="171" t="e">
        <f t="shared" si="22"/>
        <v>#NUM!</v>
      </c>
      <c r="D188" s="171" t="e">
        <f t="shared" si="23"/>
        <v>#NUM!</v>
      </c>
      <c r="E188" s="171" t="e">
        <f t="shared" si="24"/>
        <v>#NUM!</v>
      </c>
      <c r="F188" s="171" t="e">
        <f t="shared" si="25"/>
        <v>#NUM!</v>
      </c>
      <c r="G188" s="186">
        <f>IF('prijem - EUR-viac-domacnosti'!$I$120=TRUE,IF($C$11&gt;0,0.00025*C187,0),IF('prijem - EUR-viac-domacnosti'!$I$121=TRUE,IF('prijem - EUR-viac-domacnosti'!$F$121&gt;0,0.00025*C187,0),0))</f>
        <v>0</v>
      </c>
      <c r="L188" s="89">
        <v>172</v>
      </c>
      <c r="M188" s="186" t="e">
        <f t="shared" si="26"/>
        <v>#DIV/0!</v>
      </c>
      <c r="N188" s="171" t="e">
        <f t="shared" si="27"/>
        <v>#DIV/0!</v>
      </c>
      <c r="O188" s="171" t="e">
        <f t="shared" si="20"/>
        <v>#DIV/0!</v>
      </c>
      <c r="P188" s="171" t="e">
        <f t="shared" si="28"/>
        <v>#DIV/0!</v>
      </c>
      <c r="Q188" s="171" t="e">
        <f t="shared" si="29"/>
        <v>#DIV/0!</v>
      </c>
      <c r="R188" s="186">
        <f>IF('prijem - EUR-viac-domacnosti'!$I$120=TRUE,IF($C$11&gt;0,0.00025*N187,0),IF('prijem - EUR-viac-domacnosti'!$I$121=TRUE,IF('prijem - EUR-viac-domacnosti'!$F$121&gt;0,0.00025*N187*-1,0),0))</f>
        <v>0</v>
      </c>
    </row>
    <row r="189" spans="1:18" x14ac:dyDescent="0.2">
      <c r="A189" s="89">
        <v>173</v>
      </c>
      <c r="B189" s="186" t="e">
        <f t="shared" si="21"/>
        <v>#NUM!</v>
      </c>
      <c r="C189" s="171" t="e">
        <f t="shared" si="22"/>
        <v>#NUM!</v>
      </c>
      <c r="D189" s="171" t="e">
        <f t="shared" si="23"/>
        <v>#NUM!</v>
      </c>
      <c r="E189" s="171" t="e">
        <f t="shared" si="24"/>
        <v>#NUM!</v>
      </c>
      <c r="F189" s="171" t="e">
        <f t="shared" si="25"/>
        <v>#NUM!</v>
      </c>
      <c r="G189" s="186">
        <f>IF('prijem - EUR-viac-domacnosti'!$I$120=TRUE,IF($C$11&gt;0,0.00025*C188,0),IF('prijem - EUR-viac-domacnosti'!$I$121=TRUE,IF('prijem - EUR-viac-domacnosti'!$F$121&gt;0,0.00025*C188,0),0))</f>
        <v>0</v>
      </c>
      <c r="L189" s="89">
        <v>173</v>
      </c>
      <c r="M189" s="186" t="e">
        <f t="shared" si="26"/>
        <v>#DIV/0!</v>
      </c>
      <c r="N189" s="171" t="e">
        <f t="shared" si="27"/>
        <v>#DIV/0!</v>
      </c>
      <c r="O189" s="171" t="e">
        <f t="shared" si="20"/>
        <v>#DIV/0!</v>
      </c>
      <c r="P189" s="171" t="e">
        <f t="shared" si="28"/>
        <v>#DIV/0!</v>
      </c>
      <c r="Q189" s="171" t="e">
        <f t="shared" si="29"/>
        <v>#DIV/0!</v>
      </c>
      <c r="R189" s="186">
        <f>IF('prijem - EUR-viac-domacnosti'!$I$120=TRUE,IF($C$11&gt;0,0.00025*N188,0),IF('prijem - EUR-viac-domacnosti'!$I$121=TRUE,IF('prijem - EUR-viac-domacnosti'!$F$121&gt;0,0.00025*N188*-1,0),0))</f>
        <v>0</v>
      </c>
    </row>
    <row r="190" spans="1:18" x14ac:dyDescent="0.2">
      <c r="A190" s="89">
        <v>174</v>
      </c>
      <c r="B190" s="186" t="e">
        <f t="shared" si="21"/>
        <v>#NUM!</v>
      </c>
      <c r="C190" s="171" t="e">
        <f t="shared" si="22"/>
        <v>#NUM!</v>
      </c>
      <c r="D190" s="171" t="e">
        <f t="shared" si="23"/>
        <v>#NUM!</v>
      </c>
      <c r="E190" s="171" t="e">
        <f t="shared" si="24"/>
        <v>#NUM!</v>
      </c>
      <c r="F190" s="171" t="e">
        <f t="shared" si="25"/>
        <v>#NUM!</v>
      </c>
      <c r="G190" s="186">
        <f>IF('prijem - EUR-viac-domacnosti'!$I$120=TRUE,IF($C$11&gt;0,0.00025*C189,0),IF('prijem - EUR-viac-domacnosti'!$I$121=TRUE,IF('prijem - EUR-viac-domacnosti'!$F$121&gt;0,0.00025*C189,0),0))</f>
        <v>0</v>
      </c>
      <c r="L190" s="89">
        <v>174</v>
      </c>
      <c r="M190" s="186" t="e">
        <f t="shared" si="26"/>
        <v>#DIV/0!</v>
      </c>
      <c r="N190" s="171" t="e">
        <f t="shared" si="27"/>
        <v>#DIV/0!</v>
      </c>
      <c r="O190" s="171" t="e">
        <f t="shared" si="20"/>
        <v>#DIV/0!</v>
      </c>
      <c r="P190" s="171" t="e">
        <f t="shared" si="28"/>
        <v>#DIV/0!</v>
      </c>
      <c r="Q190" s="171" t="e">
        <f t="shared" si="29"/>
        <v>#DIV/0!</v>
      </c>
      <c r="R190" s="186">
        <f>IF('prijem - EUR-viac-domacnosti'!$I$120=TRUE,IF($C$11&gt;0,0.00025*N189,0),IF('prijem - EUR-viac-domacnosti'!$I$121=TRUE,IF('prijem - EUR-viac-domacnosti'!$F$121&gt;0,0.00025*N189*-1,0),0))</f>
        <v>0</v>
      </c>
    </row>
    <row r="191" spans="1:18" x14ac:dyDescent="0.2">
      <c r="A191" s="89">
        <v>175</v>
      </c>
      <c r="B191" s="186" t="e">
        <f t="shared" si="21"/>
        <v>#NUM!</v>
      </c>
      <c r="C191" s="171" t="e">
        <f t="shared" si="22"/>
        <v>#NUM!</v>
      </c>
      <c r="D191" s="171" t="e">
        <f t="shared" si="23"/>
        <v>#NUM!</v>
      </c>
      <c r="E191" s="171" t="e">
        <f t="shared" si="24"/>
        <v>#NUM!</v>
      </c>
      <c r="F191" s="171" t="e">
        <f t="shared" si="25"/>
        <v>#NUM!</v>
      </c>
      <c r="G191" s="186">
        <f>IF('prijem - EUR-viac-domacnosti'!$I$120=TRUE,IF($C$11&gt;0,0.00025*C190,0),IF('prijem - EUR-viac-domacnosti'!$I$121=TRUE,IF('prijem - EUR-viac-domacnosti'!$F$121&gt;0,0.00025*C190,0),0))</f>
        <v>0</v>
      </c>
      <c r="L191" s="89">
        <v>175</v>
      </c>
      <c r="M191" s="186" t="e">
        <f t="shared" si="26"/>
        <v>#DIV/0!</v>
      </c>
      <c r="N191" s="171" t="e">
        <f t="shared" si="27"/>
        <v>#DIV/0!</v>
      </c>
      <c r="O191" s="171" t="e">
        <f t="shared" si="20"/>
        <v>#DIV/0!</v>
      </c>
      <c r="P191" s="171" t="e">
        <f t="shared" si="28"/>
        <v>#DIV/0!</v>
      </c>
      <c r="Q191" s="171" t="e">
        <f t="shared" si="29"/>
        <v>#DIV/0!</v>
      </c>
      <c r="R191" s="186">
        <f>IF('prijem - EUR-viac-domacnosti'!$I$120=TRUE,IF($C$11&gt;0,0.00025*N190,0),IF('prijem - EUR-viac-domacnosti'!$I$121=TRUE,IF('prijem - EUR-viac-domacnosti'!$F$121&gt;0,0.00025*N190*-1,0),0))</f>
        <v>0</v>
      </c>
    </row>
    <row r="192" spans="1:18" x14ac:dyDescent="0.2">
      <c r="A192" s="89">
        <v>176</v>
      </c>
      <c r="B192" s="186" t="e">
        <f t="shared" si="21"/>
        <v>#NUM!</v>
      </c>
      <c r="C192" s="171" t="e">
        <f t="shared" si="22"/>
        <v>#NUM!</v>
      </c>
      <c r="D192" s="171" t="e">
        <f t="shared" si="23"/>
        <v>#NUM!</v>
      </c>
      <c r="E192" s="171" t="e">
        <f t="shared" si="24"/>
        <v>#NUM!</v>
      </c>
      <c r="F192" s="171" t="e">
        <f t="shared" si="25"/>
        <v>#NUM!</v>
      </c>
      <c r="G192" s="186">
        <f>IF('prijem - EUR-viac-domacnosti'!$I$120=TRUE,IF($C$11&gt;0,0.00025*C191,0),IF('prijem - EUR-viac-domacnosti'!$I$121=TRUE,IF('prijem - EUR-viac-domacnosti'!$F$121&gt;0,0.00025*C191,0),0))</f>
        <v>0</v>
      </c>
      <c r="L192" s="89">
        <v>176</v>
      </c>
      <c r="M192" s="186" t="e">
        <f t="shared" si="26"/>
        <v>#DIV/0!</v>
      </c>
      <c r="N192" s="171" t="e">
        <f t="shared" si="27"/>
        <v>#DIV/0!</v>
      </c>
      <c r="O192" s="171" t="e">
        <f t="shared" si="20"/>
        <v>#DIV/0!</v>
      </c>
      <c r="P192" s="171" t="e">
        <f t="shared" si="28"/>
        <v>#DIV/0!</v>
      </c>
      <c r="Q192" s="171" t="e">
        <f t="shared" si="29"/>
        <v>#DIV/0!</v>
      </c>
      <c r="R192" s="186">
        <f>IF('prijem - EUR-viac-domacnosti'!$I$120=TRUE,IF($C$11&gt;0,0.00025*N191,0),IF('prijem - EUR-viac-domacnosti'!$I$121=TRUE,IF('prijem - EUR-viac-domacnosti'!$F$121&gt;0,0.00025*N191*-1,0),0))</f>
        <v>0</v>
      </c>
    </row>
    <row r="193" spans="1:18" x14ac:dyDescent="0.2">
      <c r="A193" s="89">
        <v>177</v>
      </c>
      <c r="B193" s="186" t="e">
        <f t="shared" si="21"/>
        <v>#NUM!</v>
      </c>
      <c r="C193" s="171" t="e">
        <f t="shared" si="22"/>
        <v>#NUM!</v>
      </c>
      <c r="D193" s="171" t="e">
        <f t="shared" si="23"/>
        <v>#NUM!</v>
      </c>
      <c r="E193" s="171" t="e">
        <f t="shared" si="24"/>
        <v>#NUM!</v>
      </c>
      <c r="F193" s="171" t="e">
        <f t="shared" si="25"/>
        <v>#NUM!</v>
      </c>
      <c r="G193" s="186">
        <f>IF('prijem - EUR-viac-domacnosti'!$I$120=TRUE,IF($C$11&gt;0,0.00025*C192,0),IF('prijem - EUR-viac-domacnosti'!$I$121=TRUE,IF('prijem - EUR-viac-domacnosti'!$F$121&gt;0,0.00025*C192,0),0))</f>
        <v>0</v>
      </c>
      <c r="L193" s="89">
        <v>177</v>
      </c>
      <c r="M193" s="186" t="e">
        <f t="shared" si="26"/>
        <v>#DIV/0!</v>
      </c>
      <c r="N193" s="171" t="e">
        <f t="shared" si="27"/>
        <v>#DIV/0!</v>
      </c>
      <c r="O193" s="171" t="e">
        <f t="shared" si="20"/>
        <v>#DIV/0!</v>
      </c>
      <c r="P193" s="171" t="e">
        <f t="shared" si="28"/>
        <v>#DIV/0!</v>
      </c>
      <c r="Q193" s="171" t="e">
        <f t="shared" si="29"/>
        <v>#DIV/0!</v>
      </c>
      <c r="R193" s="186">
        <f>IF('prijem - EUR-viac-domacnosti'!$I$120=TRUE,IF($C$11&gt;0,0.00025*N192,0),IF('prijem - EUR-viac-domacnosti'!$I$121=TRUE,IF('prijem - EUR-viac-domacnosti'!$F$121&gt;0,0.00025*N192*-1,0),0))</f>
        <v>0</v>
      </c>
    </row>
    <row r="194" spans="1:18" x14ac:dyDescent="0.2">
      <c r="A194" s="89">
        <v>178</v>
      </c>
      <c r="B194" s="186" t="e">
        <f t="shared" si="21"/>
        <v>#NUM!</v>
      </c>
      <c r="C194" s="171" t="e">
        <f t="shared" si="22"/>
        <v>#NUM!</v>
      </c>
      <c r="D194" s="171" t="e">
        <f t="shared" si="23"/>
        <v>#NUM!</v>
      </c>
      <c r="E194" s="171" t="e">
        <f t="shared" si="24"/>
        <v>#NUM!</v>
      </c>
      <c r="F194" s="171" t="e">
        <f t="shared" si="25"/>
        <v>#NUM!</v>
      </c>
      <c r="G194" s="186">
        <f>IF('prijem - EUR-viac-domacnosti'!$I$120=TRUE,IF($C$11&gt;0,0.00025*C193,0),IF('prijem - EUR-viac-domacnosti'!$I$121=TRUE,IF('prijem - EUR-viac-domacnosti'!$F$121&gt;0,0.00025*C193,0),0))</f>
        <v>0</v>
      </c>
      <c r="L194" s="89">
        <v>178</v>
      </c>
      <c r="M194" s="186" t="e">
        <f t="shared" si="26"/>
        <v>#DIV/0!</v>
      </c>
      <c r="N194" s="171" t="e">
        <f t="shared" si="27"/>
        <v>#DIV/0!</v>
      </c>
      <c r="O194" s="171" t="e">
        <f t="shared" si="20"/>
        <v>#DIV/0!</v>
      </c>
      <c r="P194" s="171" t="e">
        <f t="shared" si="28"/>
        <v>#DIV/0!</v>
      </c>
      <c r="Q194" s="171" t="e">
        <f t="shared" si="29"/>
        <v>#DIV/0!</v>
      </c>
      <c r="R194" s="186">
        <f>IF('prijem - EUR-viac-domacnosti'!$I$120=TRUE,IF($C$11&gt;0,0.00025*N193,0),IF('prijem - EUR-viac-domacnosti'!$I$121=TRUE,IF('prijem - EUR-viac-domacnosti'!$F$121&gt;0,0.00025*N193*-1,0),0))</f>
        <v>0</v>
      </c>
    </row>
    <row r="195" spans="1:18" x14ac:dyDescent="0.2">
      <c r="A195" s="89">
        <v>179</v>
      </c>
      <c r="B195" s="186" t="e">
        <f t="shared" si="21"/>
        <v>#NUM!</v>
      </c>
      <c r="C195" s="171" t="e">
        <f t="shared" si="22"/>
        <v>#NUM!</v>
      </c>
      <c r="D195" s="171" t="e">
        <f t="shared" si="23"/>
        <v>#NUM!</v>
      </c>
      <c r="E195" s="171" t="e">
        <f t="shared" si="24"/>
        <v>#NUM!</v>
      </c>
      <c r="F195" s="171" t="e">
        <f t="shared" si="25"/>
        <v>#NUM!</v>
      </c>
      <c r="G195" s="186">
        <f>IF('prijem - EUR-viac-domacnosti'!$I$120=TRUE,IF($C$11&gt;0,0.00025*C194,0),IF('prijem - EUR-viac-domacnosti'!$I$121=TRUE,IF('prijem - EUR-viac-domacnosti'!$F$121&gt;0,0.00025*C194,0),0))</f>
        <v>0</v>
      </c>
      <c r="L195" s="89">
        <v>179</v>
      </c>
      <c r="M195" s="186" t="e">
        <f t="shared" si="26"/>
        <v>#DIV/0!</v>
      </c>
      <c r="N195" s="171" t="e">
        <f t="shared" si="27"/>
        <v>#DIV/0!</v>
      </c>
      <c r="O195" s="171" t="e">
        <f t="shared" si="20"/>
        <v>#DIV/0!</v>
      </c>
      <c r="P195" s="171" t="e">
        <f t="shared" si="28"/>
        <v>#DIV/0!</v>
      </c>
      <c r="Q195" s="171" t="e">
        <f t="shared" si="29"/>
        <v>#DIV/0!</v>
      </c>
      <c r="R195" s="186">
        <f>IF('prijem - EUR-viac-domacnosti'!$I$120=TRUE,IF($C$11&gt;0,0.00025*N194,0),IF('prijem - EUR-viac-domacnosti'!$I$121=TRUE,IF('prijem - EUR-viac-domacnosti'!$F$121&gt;0,0.00025*N194*-1,0),0))</f>
        <v>0</v>
      </c>
    </row>
    <row r="196" spans="1:18" x14ac:dyDescent="0.2">
      <c r="A196" s="89">
        <v>180</v>
      </c>
      <c r="B196" s="186" t="e">
        <f t="shared" si="21"/>
        <v>#NUM!</v>
      </c>
      <c r="C196" s="171" t="e">
        <f t="shared" si="22"/>
        <v>#NUM!</v>
      </c>
      <c r="D196" s="171" t="e">
        <f t="shared" si="23"/>
        <v>#NUM!</v>
      </c>
      <c r="E196" s="171" t="e">
        <f t="shared" si="24"/>
        <v>#NUM!</v>
      </c>
      <c r="F196" s="171" t="e">
        <f t="shared" si="25"/>
        <v>#NUM!</v>
      </c>
      <c r="G196" s="186">
        <f>IF('prijem - EUR-viac-domacnosti'!$I$120=TRUE,IF($C$11&gt;0,0.00025*C195,0),IF('prijem - EUR-viac-domacnosti'!$I$121=TRUE,IF('prijem - EUR-viac-domacnosti'!$F$121&gt;0,0.00025*C195,0),0))</f>
        <v>0</v>
      </c>
      <c r="L196" s="89">
        <v>180</v>
      </c>
      <c r="M196" s="186" t="e">
        <f t="shared" si="26"/>
        <v>#DIV/0!</v>
      </c>
      <c r="N196" s="171" t="e">
        <f t="shared" si="27"/>
        <v>#DIV/0!</v>
      </c>
      <c r="O196" s="171" t="e">
        <f t="shared" si="20"/>
        <v>#DIV/0!</v>
      </c>
      <c r="P196" s="171" t="e">
        <f t="shared" si="28"/>
        <v>#DIV/0!</v>
      </c>
      <c r="Q196" s="171" t="e">
        <f t="shared" si="29"/>
        <v>#DIV/0!</v>
      </c>
      <c r="R196" s="186">
        <f>IF('prijem - EUR-viac-domacnosti'!$I$120=TRUE,IF($C$11&gt;0,0.00025*N195,0),IF('prijem - EUR-viac-domacnosti'!$I$121=TRUE,IF('prijem - EUR-viac-domacnosti'!$F$121&gt;0,0.00025*N195*-1,0),0))</f>
        <v>0</v>
      </c>
    </row>
    <row r="197" spans="1:18" x14ac:dyDescent="0.2">
      <c r="A197" s="89">
        <v>181</v>
      </c>
      <c r="B197" s="186" t="e">
        <f t="shared" si="21"/>
        <v>#NUM!</v>
      </c>
      <c r="C197" s="171" t="e">
        <f t="shared" si="22"/>
        <v>#NUM!</v>
      </c>
      <c r="D197" s="171" t="e">
        <f t="shared" si="23"/>
        <v>#NUM!</v>
      </c>
      <c r="E197" s="171" t="e">
        <f t="shared" si="24"/>
        <v>#NUM!</v>
      </c>
      <c r="F197" s="171" t="e">
        <f t="shared" si="25"/>
        <v>#NUM!</v>
      </c>
      <c r="G197" s="186">
        <f>IF('prijem - EUR-viac-domacnosti'!$I$120=TRUE,IF($C$11&gt;0,0.00025*C196,0),IF('prijem - EUR-viac-domacnosti'!$I$121=TRUE,IF('prijem - EUR-viac-domacnosti'!$F$121&gt;0,0.00025*C196,0),0))</f>
        <v>0</v>
      </c>
      <c r="L197" s="89">
        <v>181</v>
      </c>
      <c r="M197" s="186" t="e">
        <f t="shared" si="26"/>
        <v>#DIV/0!</v>
      </c>
      <c r="N197" s="171" t="e">
        <f t="shared" si="27"/>
        <v>#DIV/0!</v>
      </c>
      <c r="O197" s="171" t="e">
        <f t="shared" si="20"/>
        <v>#DIV/0!</v>
      </c>
      <c r="P197" s="171" t="e">
        <f t="shared" si="28"/>
        <v>#DIV/0!</v>
      </c>
      <c r="Q197" s="171" t="e">
        <f t="shared" si="29"/>
        <v>#DIV/0!</v>
      </c>
      <c r="R197" s="186">
        <f>IF('prijem - EUR-viac-domacnosti'!$I$120=TRUE,IF($C$11&gt;0,0.00025*N196,0),IF('prijem - EUR-viac-domacnosti'!$I$121=TRUE,IF('prijem - EUR-viac-domacnosti'!$F$121&gt;0,0.00025*N196*-1,0),0))</f>
        <v>0</v>
      </c>
    </row>
    <row r="198" spans="1:18" x14ac:dyDescent="0.2">
      <c r="A198" s="89">
        <v>182</v>
      </c>
      <c r="B198" s="186" t="e">
        <f t="shared" si="21"/>
        <v>#NUM!</v>
      </c>
      <c r="C198" s="171" t="e">
        <f t="shared" si="22"/>
        <v>#NUM!</v>
      </c>
      <c r="D198" s="171" t="e">
        <f t="shared" si="23"/>
        <v>#NUM!</v>
      </c>
      <c r="E198" s="171" t="e">
        <f t="shared" si="24"/>
        <v>#NUM!</v>
      </c>
      <c r="F198" s="171" t="e">
        <f t="shared" si="25"/>
        <v>#NUM!</v>
      </c>
      <c r="G198" s="186">
        <f>IF('prijem - EUR-viac-domacnosti'!$I$120=TRUE,IF($C$11&gt;0,0.00025*C197,0),IF('prijem - EUR-viac-domacnosti'!$I$121=TRUE,IF('prijem - EUR-viac-domacnosti'!$F$121&gt;0,0.00025*C197,0),0))</f>
        <v>0</v>
      </c>
      <c r="L198" s="89">
        <v>182</v>
      </c>
      <c r="M198" s="186" t="e">
        <f t="shared" si="26"/>
        <v>#DIV/0!</v>
      </c>
      <c r="N198" s="171" t="e">
        <f t="shared" si="27"/>
        <v>#DIV/0!</v>
      </c>
      <c r="O198" s="171" t="e">
        <f t="shared" si="20"/>
        <v>#DIV/0!</v>
      </c>
      <c r="P198" s="171" t="e">
        <f t="shared" si="28"/>
        <v>#DIV/0!</v>
      </c>
      <c r="Q198" s="171" t="e">
        <f t="shared" si="29"/>
        <v>#DIV/0!</v>
      </c>
      <c r="R198" s="186">
        <f>IF('prijem - EUR-viac-domacnosti'!$I$120=TRUE,IF($C$11&gt;0,0.00025*N197,0),IF('prijem - EUR-viac-domacnosti'!$I$121=TRUE,IF('prijem - EUR-viac-domacnosti'!$F$121&gt;0,0.00025*N197*-1,0),0))</f>
        <v>0</v>
      </c>
    </row>
    <row r="199" spans="1:18" x14ac:dyDescent="0.2">
      <c r="A199" s="89">
        <v>183</v>
      </c>
      <c r="B199" s="186" t="e">
        <f t="shared" si="21"/>
        <v>#NUM!</v>
      </c>
      <c r="C199" s="171" t="e">
        <f t="shared" si="22"/>
        <v>#NUM!</v>
      </c>
      <c r="D199" s="171" t="e">
        <f t="shared" si="23"/>
        <v>#NUM!</v>
      </c>
      <c r="E199" s="171" t="e">
        <f t="shared" si="24"/>
        <v>#NUM!</v>
      </c>
      <c r="F199" s="171" t="e">
        <f t="shared" si="25"/>
        <v>#NUM!</v>
      </c>
      <c r="G199" s="186">
        <f>IF('prijem - EUR-viac-domacnosti'!$I$120=TRUE,IF($C$11&gt;0,0.00025*C198,0),IF('prijem - EUR-viac-domacnosti'!$I$121=TRUE,IF('prijem - EUR-viac-domacnosti'!$F$121&gt;0,0.00025*C198,0),0))</f>
        <v>0</v>
      </c>
      <c r="L199" s="89">
        <v>183</v>
      </c>
      <c r="M199" s="186" t="e">
        <f t="shared" si="26"/>
        <v>#DIV/0!</v>
      </c>
      <c r="N199" s="171" t="e">
        <f t="shared" si="27"/>
        <v>#DIV/0!</v>
      </c>
      <c r="O199" s="171" t="e">
        <f t="shared" si="20"/>
        <v>#DIV/0!</v>
      </c>
      <c r="P199" s="171" t="e">
        <f t="shared" si="28"/>
        <v>#DIV/0!</v>
      </c>
      <c r="Q199" s="171" t="e">
        <f t="shared" si="29"/>
        <v>#DIV/0!</v>
      </c>
      <c r="R199" s="186">
        <f>IF('prijem - EUR-viac-domacnosti'!$I$120=TRUE,IF($C$11&gt;0,0.00025*N198,0),IF('prijem - EUR-viac-domacnosti'!$I$121=TRUE,IF('prijem - EUR-viac-domacnosti'!$F$121&gt;0,0.00025*N198*-1,0),0))</f>
        <v>0</v>
      </c>
    </row>
    <row r="200" spans="1:18" x14ac:dyDescent="0.2">
      <c r="A200" s="89">
        <v>184</v>
      </c>
      <c r="B200" s="186" t="e">
        <f t="shared" si="21"/>
        <v>#NUM!</v>
      </c>
      <c r="C200" s="171" t="e">
        <f t="shared" si="22"/>
        <v>#NUM!</v>
      </c>
      <c r="D200" s="171" t="e">
        <f t="shared" si="23"/>
        <v>#NUM!</v>
      </c>
      <c r="E200" s="171" t="e">
        <f t="shared" si="24"/>
        <v>#NUM!</v>
      </c>
      <c r="F200" s="171" t="e">
        <f t="shared" si="25"/>
        <v>#NUM!</v>
      </c>
      <c r="G200" s="186">
        <f>IF('prijem - EUR-viac-domacnosti'!$I$120=TRUE,IF($C$11&gt;0,0.00025*C199,0),IF('prijem - EUR-viac-domacnosti'!$I$121=TRUE,IF('prijem - EUR-viac-domacnosti'!$F$121&gt;0,0.00025*C199,0),0))</f>
        <v>0</v>
      </c>
      <c r="L200" s="89">
        <v>184</v>
      </c>
      <c r="M200" s="186" t="e">
        <f t="shared" si="26"/>
        <v>#DIV/0!</v>
      </c>
      <c r="N200" s="171" t="e">
        <f t="shared" si="27"/>
        <v>#DIV/0!</v>
      </c>
      <c r="O200" s="171" t="e">
        <f t="shared" si="20"/>
        <v>#DIV/0!</v>
      </c>
      <c r="P200" s="171" t="e">
        <f t="shared" si="28"/>
        <v>#DIV/0!</v>
      </c>
      <c r="Q200" s="171" t="e">
        <f t="shared" si="29"/>
        <v>#DIV/0!</v>
      </c>
      <c r="R200" s="186">
        <f>IF('prijem - EUR-viac-domacnosti'!$I$120=TRUE,IF($C$11&gt;0,0.00025*N199,0),IF('prijem - EUR-viac-domacnosti'!$I$121=TRUE,IF('prijem - EUR-viac-domacnosti'!$F$121&gt;0,0.00025*N199*-1,0),0))</f>
        <v>0</v>
      </c>
    </row>
    <row r="201" spans="1:18" x14ac:dyDescent="0.2">
      <c r="A201" s="89">
        <v>185</v>
      </c>
      <c r="B201" s="186" t="e">
        <f t="shared" si="21"/>
        <v>#NUM!</v>
      </c>
      <c r="C201" s="171" t="e">
        <f t="shared" si="22"/>
        <v>#NUM!</v>
      </c>
      <c r="D201" s="171" t="e">
        <f t="shared" si="23"/>
        <v>#NUM!</v>
      </c>
      <c r="E201" s="171" t="e">
        <f t="shared" si="24"/>
        <v>#NUM!</v>
      </c>
      <c r="F201" s="171" t="e">
        <f t="shared" si="25"/>
        <v>#NUM!</v>
      </c>
      <c r="G201" s="186">
        <f>IF('prijem - EUR-viac-domacnosti'!$I$120=TRUE,IF($C$11&gt;0,0.00025*C200,0),IF('prijem - EUR-viac-domacnosti'!$I$121=TRUE,IF('prijem - EUR-viac-domacnosti'!$F$121&gt;0,0.00025*C200,0),0))</f>
        <v>0</v>
      </c>
      <c r="L201" s="89">
        <v>185</v>
      </c>
      <c r="M201" s="186" t="e">
        <f t="shared" si="26"/>
        <v>#DIV/0!</v>
      </c>
      <c r="N201" s="171" t="e">
        <f t="shared" si="27"/>
        <v>#DIV/0!</v>
      </c>
      <c r="O201" s="171" t="e">
        <f t="shared" si="20"/>
        <v>#DIV/0!</v>
      </c>
      <c r="P201" s="171" t="e">
        <f t="shared" si="28"/>
        <v>#DIV/0!</v>
      </c>
      <c r="Q201" s="171" t="e">
        <f t="shared" si="29"/>
        <v>#DIV/0!</v>
      </c>
      <c r="R201" s="186">
        <f>IF('prijem - EUR-viac-domacnosti'!$I$120=TRUE,IF($C$11&gt;0,0.00025*N200,0),IF('prijem - EUR-viac-domacnosti'!$I$121=TRUE,IF('prijem - EUR-viac-domacnosti'!$F$121&gt;0,0.00025*N200*-1,0),0))</f>
        <v>0</v>
      </c>
    </row>
    <row r="202" spans="1:18" x14ac:dyDescent="0.2">
      <c r="A202" s="89">
        <v>186</v>
      </c>
      <c r="B202" s="186" t="e">
        <f t="shared" si="21"/>
        <v>#NUM!</v>
      </c>
      <c r="C202" s="171" t="e">
        <f t="shared" si="22"/>
        <v>#NUM!</v>
      </c>
      <c r="D202" s="171" t="e">
        <f t="shared" si="23"/>
        <v>#NUM!</v>
      </c>
      <c r="E202" s="171" t="e">
        <f t="shared" si="24"/>
        <v>#NUM!</v>
      </c>
      <c r="F202" s="171" t="e">
        <f t="shared" si="25"/>
        <v>#NUM!</v>
      </c>
      <c r="G202" s="186">
        <f>IF('prijem - EUR-viac-domacnosti'!$I$120=TRUE,IF($C$11&gt;0,0.00025*C201,0),IF('prijem - EUR-viac-domacnosti'!$I$121=TRUE,IF('prijem - EUR-viac-domacnosti'!$F$121&gt;0,0.00025*C201,0),0))</f>
        <v>0</v>
      </c>
      <c r="L202" s="89">
        <v>186</v>
      </c>
      <c r="M202" s="186" t="e">
        <f t="shared" si="26"/>
        <v>#DIV/0!</v>
      </c>
      <c r="N202" s="171" t="e">
        <f t="shared" si="27"/>
        <v>#DIV/0!</v>
      </c>
      <c r="O202" s="171" t="e">
        <f t="shared" si="20"/>
        <v>#DIV/0!</v>
      </c>
      <c r="P202" s="171" t="e">
        <f t="shared" si="28"/>
        <v>#DIV/0!</v>
      </c>
      <c r="Q202" s="171" t="e">
        <f t="shared" si="29"/>
        <v>#DIV/0!</v>
      </c>
      <c r="R202" s="186">
        <f>IF('prijem - EUR-viac-domacnosti'!$I$120=TRUE,IF($C$11&gt;0,0.00025*N201,0),IF('prijem - EUR-viac-domacnosti'!$I$121=TRUE,IF('prijem - EUR-viac-domacnosti'!$F$121&gt;0,0.00025*N201*-1,0),0))</f>
        <v>0</v>
      </c>
    </row>
    <row r="203" spans="1:18" x14ac:dyDescent="0.2">
      <c r="A203" s="89">
        <v>187</v>
      </c>
      <c r="B203" s="186" t="e">
        <f t="shared" si="21"/>
        <v>#NUM!</v>
      </c>
      <c r="C203" s="171" t="e">
        <f t="shared" si="22"/>
        <v>#NUM!</v>
      </c>
      <c r="D203" s="171" t="e">
        <f t="shared" si="23"/>
        <v>#NUM!</v>
      </c>
      <c r="E203" s="171" t="e">
        <f t="shared" si="24"/>
        <v>#NUM!</v>
      </c>
      <c r="F203" s="171" t="e">
        <f t="shared" si="25"/>
        <v>#NUM!</v>
      </c>
      <c r="G203" s="186">
        <f>IF('prijem - EUR-viac-domacnosti'!$I$120=TRUE,IF($C$11&gt;0,0.00025*C202,0),IF('prijem - EUR-viac-domacnosti'!$I$121=TRUE,IF('prijem - EUR-viac-domacnosti'!$F$121&gt;0,0.00025*C202,0),0))</f>
        <v>0</v>
      </c>
      <c r="L203" s="89">
        <v>187</v>
      </c>
      <c r="M203" s="186" t="e">
        <f t="shared" si="26"/>
        <v>#DIV/0!</v>
      </c>
      <c r="N203" s="171" t="e">
        <f t="shared" si="27"/>
        <v>#DIV/0!</v>
      </c>
      <c r="O203" s="171" t="e">
        <f t="shared" si="20"/>
        <v>#DIV/0!</v>
      </c>
      <c r="P203" s="171" t="e">
        <f t="shared" si="28"/>
        <v>#DIV/0!</v>
      </c>
      <c r="Q203" s="171" t="e">
        <f t="shared" si="29"/>
        <v>#DIV/0!</v>
      </c>
      <c r="R203" s="186">
        <f>IF('prijem - EUR-viac-domacnosti'!$I$120=TRUE,IF($C$11&gt;0,0.00025*N202,0),IF('prijem - EUR-viac-domacnosti'!$I$121=TRUE,IF('prijem - EUR-viac-domacnosti'!$F$121&gt;0,0.00025*N202*-1,0),0))</f>
        <v>0</v>
      </c>
    </row>
    <row r="204" spans="1:18" x14ac:dyDescent="0.2">
      <c r="A204" s="89">
        <v>188</v>
      </c>
      <c r="B204" s="186" t="e">
        <f t="shared" si="21"/>
        <v>#NUM!</v>
      </c>
      <c r="C204" s="171" t="e">
        <f t="shared" si="22"/>
        <v>#NUM!</v>
      </c>
      <c r="D204" s="171" t="e">
        <f t="shared" si="23"/>
        <v>#NUM!</v>
      </c>
      <c r="E204" s="171" t="e">
        <f t="shared" si="24"/>
        <v>#NUM!</v>
      </c>
      <c r="F204" s="171" t="e">
        <f t="shared" si="25"/>
        <v>#NUM!</v>
      </c>
      <c r="G204" s="186">
        <f>IF('prijem - EUR-viac-domacnosti'!$I$120=TRUE,IF($C$11&gt;0,0.00025*C203,0),IF('prijem - EUR-viac-domacnosti'!$I$121=TRUE,IF('prijem - EUR-viac-domacnosti'!$F$121&gt;0,0.00025*C203,0),0))</f>
        <v>0</v>
      </c>
      <c r="L204" s="89">
        <v>188</v>
      </c>
      <c r="M204" s="186" t="e">
        <f t="shared" si="26"/>
        <v>#DIV/0!</v>
      </c>
      <c r="N204" s="171" t="e">
        <f t="shared" si="27"/>
        <v>#DIV/0!</v>
      </c>
      <c r="O204" s="171" t="e">
        <f t="shared" si="20"/>
        <v>#DIV/0!</v>
      </c>
      <c r="P204" s="171" t="e">
        <f t="shared" si="28"/>
        <v>#DIV/0!</v>
      </c>
      <c r="Q204" s="171" t="e">
        <f t="shared" si="29"/>
        <v>#DIV/0!</v>
      </c>
      <c r="R204" s="186">
        <f>IF('prijem - EUR-viac-domacnosti'!$I$120=TRUE,IF($C$11&gt;0,0.00025*N203,0),IF('prijem - EUR-viac-domacnosti'!$I$121=TRUE,IF('prijem - EUR-viac-domacnosti'!$F$121&gt;0,0.00025*N203*-1,0),0))</f>
        <v>0</v>
      </c>
    </row>
    <row r="205" spans="1:18" x14ac:dyDescent="0.2">
      <c r="A205" s="89">
        <v>189</v>
      </c>
      <c r="B205" s="186" t="e">
        <f t="shared" si="21"/>
        <v>#NUM!</v>
      </c>
      <c r="C205" s="171" t="e">
        <f t="shared" si="22"/>
        <v>#NUM!</v>
      </c>
      <c r="D205" s="171" t="e">
        <f t="shared" si="23"/>
        <v>#NUM!</v>
      </c>
      <c r="E205" s="171" t="e">
        <f t="shared" si="24"/>
        <v>#NUM!</v>
      </c>
      <c r="F205" s="171" t="e">
        <f t="shared" si="25"/>
        <v>#NUM!</v>
      </c>
      <c r="G205" s="186">
        <f>IF('prijem - EUR-viac-domacnosti'!$I$120=TRUE,IF($C$11&gt;0,0.00025*C204,0),IF('prijem - EUR-viac-domacnosti'!$I$121=TRUE,IF('prijem - EUR-viac-domacnosti'!$F$121&gt;0,0.00025*C204,0),0))</f>
        <v>0</v>
      </c>
      <c r="L205" s="89">
        <v>189</v>
      </c>
      <c r="M205" s="186" t="e">
        <f t="shared" si="26"/>
        <v>#DIV/0!</v>
      </c>
      <c r="N205" s="171" t="e">
        <f t="shared" si="27"/>
        <v>#DIV/0!</v>
      </c>
      <c r="O205" s="171" t="e">
        <f t="shared" si="20"/>
        <v>#DIV/0!</v>
      </c>
      <c r="P205" s="171" t="e">
        <f t="shared" si="28"/>
        <v>#DIV/0!</v>
      </c>
      <c r="Q205" s="171" t="e">
        <f t="shared" si="29"/>
        <v>#DIV/0!</v>
      </c>
      <c r="R205" s="186">
        <f>IF('prijem - EUR-viac-domacnosti'!$I$120=TRUE,IF($C$11&gt;0,0.00025*N204,0),IF('prijem - EUR-viac-domacnosti'!$I$121=TRUE,IF('prijem - EUR-viac-domacnosti'!$F$121&gt;0,0.00025*N204*-1,0),0))</f>
        <v>0</v>
      </c>
    </row>
    <row r="206" spans="1:18" x14ac:dyDescent="0.2">
      <c r="A206" s="89">
        <v>190</v>
      </c>
      <c r="B206" s="186" t="e">
        <f t="shared" si="21"/>
        <v>#NUM!</v>
      </c>
      <c r="C206" s="171" t="e">
        <f t="shared" si="22"/>
        <v>#NUM!</v>
      </c>
      <c r="D206" s="171" t="e">
        <f t="shared" si="23"/>
        <v>#NUM!</v>
      </c>
      <c r="E206" s="171" t="e">
        <f t="shared" si="24"/>
        <v>#NUM!</v>
      </c>
      <c r="F206" s="171" t="e">
        <f t="shared" si="25"/>
        <v>#NUM!</v>
      </c>
      <c r="G206" s="186">
        <f>IF('prijem - EUR-viac-domacnosti'!$I$120=TRUE,IF($C$11&gt;0,0.00025*C205,0),IF('prijem - EUR-viac-domacnosti'!$I$121=TRUE,IF('prijem - EUR-viac-domacnosti'!$F$121&gt;0,0.00025*C205,0),0))</f>
        <v>0</v>
      </c>
      <c r="L206" s="89">
        <v>190</v>
      </c>
      <c r="M206" s="186" t="e">
        <f t="shared" si="26"/>
        <v>#DIV/0!</v>
      </c>
      <c r="N206" s="171" t="e">
        <f t="shared" si="27"/>
        <v>#DIV/0!</v>
      </c>
      <c r="O206" s="171" t="e">
        <f t="shared" si="20"/>
        <v>#DIV/0!</v>
      </c>
      <c r="P206" s="171" t="e">
        <f t="shared" si="28"/>
        <v>#DIV/0!</v>
      </c>
      <c r="Q206" s="171" t="e">
        <f t="shared" si="29"/>
        <v>#DIV/0!</v>
      </c>
      <c r="R206" s="186">
        <f>IF('prijem - EUR-viac-domacnosti'!$I$120=TRUE,IF($C$11&gt;0,0.00025*N205,0),IF('prijem - EUR-viac-domacnosti'!$I$121=TRUE,IF('prijem - EUR-viac-domacnosti'!$F$121&gt;0,0.00025*N205*-1,0),0))</f>
        <v>0</v>
      </c>
    </row>
    <row r="207" spans="1:18" x14ac:dyDescent="0.2">
      <c r="A207" s="89">
        <v>191</v>
      </c>
      <c r="B207" s="186" t="e">
        <f t="shared" si="21"/>
        <v>#NUM!</v>
      </c>
      <c r="C207" s="171" t="e">
        <f t="shared" si="22"/>
        <v>#NUM!</v>
      </c>
      <c r="D207" s="171" t="e">
        <f t="shared" si="23"/>
        <v>#NUM!</v>
      </c>
      <c r="E207" s="171" t="e">
        <f t="shared" si="24"/>
        <v>#NUM!</v>
      </c>
      <c r="F207" s="171" t="e">
        <f t="shared" si="25"/>
        <v>#NUM!</v>
      </c>
      <c r="G207" s="186">
        <f>IF('prijem - EUR-viac-domacnosti'!$I$120=TRUE,IF($C$11&gt;0,0.00025*C206,0),IF('prijem - EUR-viac-domacnosti'!$I$121=TRUE,IF('prijem - EUR-viac-domacnosti'!$F$121&gt;0,0.00025*C206,0),0))</f>
        <v>0</v>
      </c>
      <c r="L207" s="89">
        <v>191</v>
      </c>
      <c r="M207" s="186" t="e">
        <f t="shared" si="26"/>
        <v>#DIV/0!</v>
      </c>
      <c r="N207" s="171" t="e">
        <f t="shared" si="27"/>
        <v>#DIV/0!</v>
      </c>
      <c r="O207" s="171" t="e">
        <f t="shared" si="20"/>
        <v>#DIV/0!</v>
      </c>
      <c r="P207" s="171" t="e">
        <f t="shared" si="28"/>
        <v>#DIV/0!</v>
      </c>
      <c r="Q207" s="171" t="e">
        <f t="shared" si="29"/>
        <v>#DIV/0!</v>
      </c>
      <c r="R207" s="186">
        <f>IF('prijem - EUR-viac-domacnosti'!$I$120=TRUE,IF($C$11&gt;0,0.00025*N206,0),IF('prijem - EUR-viac-domacnosti'!$I$121=TRUE,IF('prijem - EUR-viac-domacnosti'!$F$121&gt;0,0.00025*N206*-1,0),0))</f>
        <v>0</v>
      </c>
    </row>
    <row r="208" spans="1:18" x14ac:dyDescent="0.2">
      <c r="A208" s="89">
        <v>192</v>
      </c>
      <c r="B208" s="186" t="e">
        <f t="shared" si="21"/>
        <v>#NUM!</v>
      </c>
      <c r="C208" s="171" t="e">
        <f t="shared" si="22"/>
        <v>#NUM!</v>
      </c>
      <c r="D208" s="171" t="e">
        <f t="shared" si="23"/>
        <v>#NUM!</v>
      </c>
      <c r="E208" s="171" t="e">
        <f t="shared" si="24"/>
        <v>#NUM!</v>
      </c>
      <c r="F208" s="171" t="e">
        <f t="shared" si="25"/>
        <v>#NUM!</v>
      </c>
      <c r="G208" s="186">
        <f>IF('prijem - EUR-viac-domacnosti'!$I$120=TRUE,IF($C$11&gt;0,0.00025*C207,0),IF('prijem - EUR-viac-domacnosti'!$I$121=TRUE,IF('prijem - EUR-viac-domacnosti'!$F$121&gt;0,0.00025*C207,0),0))</f>
        <v>0</v>
      </c>
      <c r="L208" s="89">
        <v>192</v>
      </c>
      <c r="M208" s="186" t="e">
        <f t="shared" si="26"/>
        <v>#DIV/0!</v>
      </c>
      <c r="N208" s="171" t="e">
        <f t="shared" si="27"/>
        <v>#DIV/0!</v>
      </c>
      <c r="O208" s="171" t="e">
        <f t="shared" si="20"/>
        <v>#DIV/0!</v>
      </c>
      <c r="P208" s="171" t="e">
        <f t="shared" si="28"/>
        <v>#DIV/0!</v>
      </c>
      <c r="Q208" s="171" t="e">
        <f t="shared" si="29"/>
        <v>#DIV/0!</v>
      </c>
      <c r="R208" s="186">
        <f>IF('prijem - EUR-viac-domacnosti'!$I$120=TRUE,IF($C$11&gt;0,0.00025*N207,0),IF('prijem - EUR-viac-domacnosti'!$I$121=TRUE,IF('prijem - EUR-viac-domacnosti'!$F$121&gt;0,0.00025*N207*-1,0),0))</f>
        <v>0</v>
      </c>
    </row>
    <row r="209" spans="1:18" x14ac:dyDescent="0.2">
      <c r="A209" s="89">
        <v>193</v>
      </c>
      <c r="B209" s="186" t="e">
        <f t="shared" si="21"/>
        <v>#NUM!</v>
      </c>
      <c r="C209" s="171" t="e">
        <f t="shared" si="22"/>
        <v>#NUM!</v>
      </c>
      <c r="D209" s="171" t="e">
        <f t="shared" si="23"/>
        <v>#NUM!</v>
      </c>
      <c r="E209" s="171" t="e">
        <f t="shared" si="24"/>
        <v>#NUM!</v>
      </c>
      <c r="F209" s="171" t="e">
        <f t="shared" si="25"/>
        <v>#NUM!</v>
      </c>
      <c r="G209" s="186">
        <f>IF('prijem - EUR-viac-domacnosti'!$I$120=TRUE,IF($C$11&gt;0,0.00025*C208,0),IF('prijem - EUR-viac-domacnosti'!$I$121=TRUE,IF('prijem - EUR-viac-domacnosti'!$F$121&gt;0,0.00025*C208,0),0))</f>
        <v>0</v>
      </c>
      <c r="L209" s="89">
        <v>193</v>
      </c>
      <c r="M209" s="186" t="e">
        <f t="shared" si="26"/>
        <v>#DIV/0!</v>
      </c>
      <c r="N209" s="171" t="e">
        <f t="shared" si="27"/>
        <v>#DIV/0!</v>
      </c>
      <c r="O209" s="171" t="e">
        <f t="shared" ref="O209:O272" si="30">$N$16/$N$5</f>
        <v>#DIV/0!</v>
      </c>
      <c r="P209" s="171" t="e">
        <f t="shared" si="28"/>
        <v>#DIV/0!</v>
      </c>
      <c r="Q209" s="171" t="e">
        <f t="shared" si="29"/>
        <v>#DIV/0!</v>
      </c>
      <c r="R209" s="186">
        <f>IF('prijem - EUR-viac-domacnosti'!$I$120=TRUE,IF($C$11&gt;0,0.00025*N208,0),IF('prijem - EUR-viac-domacnosti'!$I$121=TRUE,IF('prijem - EUR-viac-domacnosti'!$F$121&gt;0,0.00025*N208*-1,0),0))</f>
        <v>0</v>
      </c>
    </row>
    <row r="210" spans="1:18" x14ac:dyDescent="0.2">
      <c r="A210" s="89">
        <v>194</v>
      </c>
      <c r="B210" s="186" t="e">
        <f t="shared" ref="B210:B273" si="31">IF(C209&gt;0.00001,F210-G210,0)</f>
        <v>#NUM!</v>
      </c>
      <c r="C210" s="171" t="e">
        <f t="shared" ref="C210:C273" si="32">MAX(C209-D210,0)</f>
        <v>#NUM!</v>
      </c>
      <c r="D210" s="171" t="e">
        <f t="shared" ref="D210:D273" si="33">(F210-E210)*-1</f>
        <v>#NUM!</v>
      </c>
      <c r="E210" s="171" t="e">
        <f t="shared" ref="E210:E273" si="34">IPMT($C$4/12,1,$C$5,C209)</f>
        <v>#NUM!</v>
      </c>
      <c r="F210" s="171" t="e">
        <f t="shared" ref="F210:F273" si="35">PMT($C$4/12,$C$5,$C$3)</f>
        <v>#NUM!</v>
      </c>
      <c r="G210" s="186">
        <f>IF('prijem - EUR-viac-domacnosti'!$I$120=TRUE,IF($C$11&gt;0,0.00025*C209,0),IF('prijem - EUR-viac-domacnosti'!$I$121=TRUE,IF('prijem - EUR-viac-domacnosti'!$F$121&gt;0,0.00025*C209,0),0))</f>
        <v>0</v>
      </c>
      <c r="L210" s="89">
        <v>194</v>
      </c>
      <c r="M210" s="186" t="e">
        <f t="shared" ref="M210:M273" si="36">IF(N209&gt;0.00001,Q210-R210,0)*-1</f>
        <v>#DIV/0!</v>
      </c>
      <c r="N210" s="171" t="e">
        <f t="shared" ref="N210:N273" si="37">MAX(N209-O210,0)</f>
        <v>#DIV/0!</v>
      </c>
      <c r="O210" s="171" t="e">
        <f t="shared" si="30"/>
        <v>#DIV/0!</v>
      </c>
      <c r="P210" s="171" t="e">
        <f t="shared" ref="P210:P273" si="38">N209*$N$4/12</f>
        <v>#DIV/0!</v>
      </c>
      <c r="Q210" s="171" t="e">
        <f t="shared" ref="Q210:Q273" si="39">P210+O210</f>
        <v>#DIV/0!</v>
      </c>
      <c r="R210" s="186">
        <f>IF('prijem - EUR-viac-domacnosti'!$I$120=TRUE,IF($C$11&gt;0,0.00025*N209,0),IF('prijem - EUR-viac-domacnosti'!$I$121=TRUE,IF('prijem - EUR-viac-domacnosti'!$F$121&gt;0,0.00025*N209*-1,0),0))</f>
        <v>0</v>
      </c>
    </row>
    <row r="211" spans="1:18" x14ac:dyDescent="0.2">
      <c r="A211" s="89">
        <v>195</v>
      </c>
      <c r="B211" s="186" t="e">
        <f t="shared" si="31"/>
        <v>#NUM!</v>
      </c>
      <c r="C211" s="171" t="e">
        <f t="shared" si="32"/>
        <v>#NUM!</v>
      </c>
      <c r="D211" s="171" t="e">
        <f t="shared" si="33"/>
        <v>#NUM!</v>
      </c>
      <c r="E211" s="171" t="e">
        <f t="shared" si="34"/>
        <v>#NUM!</v>
      </c>
      <c r="F211" s="171" t="e">
        <f t="shared" si="35"/>
        <v>#NUM!</v>
      </c>
      <c r="G211" s="186">
        <f>IF('prijem - EUR-viac-domacnosti'!$I$120=TRUE,IF($C$11&gt;0,0.00025*C210,0),IF('prijem - EUR-viac-domacnosti'!$I$121=TRUE,IF('prijem - EUR-viac-domacnosti'!$F$121&gt;0,0.00025*C210,0),0))</f>
        <v>0</v>
      </c>
      <c r="L211" s="89">
        <v>195</v>
      </c>
      <c r="M211" s="186" t="e">
        <f t="shared" si="36"/>
        <v>#DIV/0!</v>
      </c>
      <c r="N211" s="171" t="e">
        <f t="shared" si="37"/>
        <v>#DIV/0!</v>
      </c>
      <c r="O211" s="171" t="e">
        <f t="shared" si="30"/>
        <v>#DIV/0!</v>
      </c>
      <c r="P211" s="171" t="e">
        <f t="shared" si="38"/>
        <v>#DIV/0!</v>
      </c>
      <c r="Q211" s="171" t="e">
        <f t="shared" si="39"/>
        <v>#DIV/0!</v>
      </c>
      <c r="R211" s="186">
        <f>IF('prijem - EUR-viac-domacnosti'!$I$120=TRUE,IF($C$11&gt;0,0.00025*N210,0),IF('prijem - EUR-viac-domacnosti'!$I$121=TRUE,IF('prijem - EUR-viac-domacnosti'!$F$121&gt;0,0.00025*N210*-1,0),0))</f>
        <v>0</v>
      </c>
    </row>
    <row r="212" spans="1:18" x14ac:dyDescent="0.2">
      <c r="A212" s="89">
        <v>196</v>
      </c>
      <c r="B212" s="186" t="e">
        <f t="shared" si="31"/>
        <v>#NUM!</v>
      </c>
      <c r="C212" s="171" t="e">
        <f t="shared" si="32"/>
        <v>#NUM!</v>
      </c>
      <c r="D212" s="171" t="e">
        <f t="shared" si="33"/>
        <v>#NUM!</v>
      </c>
      <c r="E212" s="171" t="e">
        <f t="shared" si="34"/>
        <v>#NUM!</v>
      </c>
      <c r="F212" s="171" t="e">
        <f t="shared" si="35"/>
        <v>#NUM!</v>
      </c>
      <c r="G212" s="186">
        <f>IF('prijem - EUR-viac-domacnosti'!$I$120=TRUE,IF($C$11&gt;0,0.00025*C211,0),IF('prijem - EUR-viac-domacnosti'!$I$121=TRUE,IF('prijem - EUR-viac-domacnosti'!$F$121&gt;0,0.00025*C211,0),0))</f>
        <v>0</v>
      </c>
      <c r="L212" s="89">
        <v>196</v>
      </c>
      <c r="M212" s="186" t="e">
        <f t="shared" si="36"/>
        <v>#DIV/0!</v>
      </c>
      <c r="N212" s="171" t="e">
        <f t="shared" si="37"/>
        <v>#DIV/0!</v>
      </c>
      <c r="O212" s="171" t="e">
        <f t="shared" si="30"/>
        <v>#DIV/0!</v>
      </c>
      <c r="P212" s="171" t="e">
        <f t="shared" si="38"/>
        <v>#DIV/0!</v>
      </c>
      <c r="Q212" s="171" t="e">
        <f t="shared" si="39"/>
        <v>#DIV/0!</v>
      </c>
      <c r="R212" s="186">
        <f>IF('prijem - EUR-viac-domacnosti'!$I$120=TRUE,IF($C$11&gt;0,0.00025*N211,0),IF('prijem - EUR-viac-domacnosti'!$I$121=TRUE,IF('prijem - EUR-viac-domacnosti'!$F$121&gt;0,0.00025*N211*-1,0),0))</f>
        <v>0</v>
      </c>
    </row>
    <row r="213" spans="1:18" x14ac:dyDescent="0.2">
      <c r="A213" s="89">
        <v>197</v>
      </c>
      <c r="B213" s="186" t="e">
        <f t="shared" si="31"/>
        <v>#NUM!</v>
      </c>
      <c r="C213" s="171" t="e">
        <f t="shared" si="32"/>
        <v>#NUM!</v>
      </c>
      <c r="D213" s="171" t="e">
        <f t="shared" si="33"/>
        <v>#NUM!</v>
      </c>
      <c r="E213" s="171" t="e">
        <f t="shared" si="34"/>
        <v>#NUM!</v>
      </c>
      <c r="F213" s="171" t="e">
        <f t="shared" si="35"/>
        <v>#NUM!</v>
      </c>
      <c r="G213" s="186">
        <f>IF('prijem - EUR-viac-domacnosti'!$I$120=TRUE,IF($C$11&gt;0,0.00025*C212,0),IF('prijem - EUR-viac-domacnosti'!$I$121=TRUE,IF('prijem - EUR-viac-domacnosti'!$F$121&gt;0,0.00025*C212,0),0))</f>
        <v>0</v>
      </c>
      <c r="L213" s="89">
        <v>197</v>
      </c>
      <c r="M213" s="186" t="e">
        <f t="shared" si="36"/>
        <v>#DIV/0!</v>
      </c>
      <c r="N213" s="171" t="e">
        <f t="shared" si="37"/>
        <v>#DIV/0!</v>
      </c>
      <c r="O213" s="171" t="e">
        <f t="shared" si="30"/>
        <v>#DIV/0!</v>
      </c>
      <c r="P213" s="171" t="e">
        <f t="shared" si="38"/>
        <v>#DIV/0!</v>
      </c>
      <c r="Q213" s="171" t="e">
        <f t="shared" si="39"/>
        <v>#DIV/0!</v>
      </c>
      <c r="R213" s="186">
        <f>IF('prijem - EUR-viac-domacnosti'!$I$120=TRUE,IF($C$11&gt;0,0.00025*N212,0),IF('prijem - EUR-viac-domacnosti'!$I$121=TRUE,IF('prijem - EUR-viac-domacnosti'!$F$121&gt;0,0.00025*N212*-1,0),0))</f>
        <v>0</v>
      </c>
    </row>
    <row r="214" spans="1:18" x14ac:dyDescent="0.2">
      <c r="A214" s="89">
        <v>198</v>
      </c>
      <c r="B214" s="186" t="e">
        <f t="shared" si="31"/>
        <v>#NUM!</v>
      </c>
      <c r="C214" s="171" t="e">
        <f t="shared" si="32"/>
        <v>#NUM!</v>
      </c>
      <c r="D214" s="171" t="e">
        <f t="shared" si="33"/>
        <v>#NUM!</v>
      </c>
      <c r="E214" s="171" t="e">
        <f t="shared" si="34"/>
        <v>#NUM!</v>
      </c>
      <c r="F214" s="171" t="e">
        <f t="shared" si="35"/>
        <v>#NUM!</v>
      </c>
      <c r="G214" s="186">
        <f>IF('prijem - EUR-viac-domacnosti'!$I$120=TRUE,IF($C$11&gt;0,0.00025*C213,0),IF('prijem - EUR-viac-domacnosti'!$I$121=TRUE,IF('prijem - EUR-viac-domacnosti'!$F$121&gt;0,0.00025*C213,0),0))</f>
        <v>0</v>
      </c>
      <c r="L214" s="89">
        <v>198</v>
      </c>
      <c r="M214" s="186" t="e">
        <f t="shared" si="36"/>
        <v>#DIV/0!</v>
      </c>
      <c r="N214" s="171" t="e">
        <f t="shared" si="37"/>
        <v>#DIV/0!</v>
      </c>
      <c r="O214" s="171" t="e">
        <f t="shared" si="30"/>
        <v>#DIV/0!</v>
      </c>
      <c r="P214" s="171" t="e">
        <f t="shared" si="38"/>
        <v>#DIV/0!</v>
      </c>
      <c r="Q214" s="171" t="e">
        <f t="shared" si="39"/>
        <v>#DIV/0!</v>
      </c>
      <c r="R214" s="186">
        <f>IF('prijem - EUR-viac-domacnosti'!$I$120=TRUE,IF($C$11&gt;0,0.00025*N213,0),IF('prijem - EUR-viac-domacnosti'!$I$121=TRUE,IF('prijem - EUR-viac-domacnosti'!$F$121&gt;0,0.00025*N213*-1,0),0))</f>
        <v>0</v>
      </c>
    </row>
    <row r="215" spans="1:18" x14ac:dyDescent="0.2">
      <c r="A215" s="89">
        <v>199</v>
      </c>
      <c r="B215" s="186" t="e">
        <f t="shared" si="31"/>
        <v>#NUM!</v>
      </c>
      <c r="C215" s="171" t="e">
        <f t="shared" si="32"/>
        <v>#NUM!</v>
      </c>
      <c r="D215" s="171" t="e">
        <f t="shared" si="33"/>
        <v>#NUM!</v>
      </c>
      <c r="E215" s="171" t="e">
        <f t="shared" si="34"/>
        <v>#NUM!</v>
      </c>
      <c r="F215" s="171" t="e">
        <f t="shared" si="35"/>
        <v>#NUM!</v>
      </c>
      <c r="G215" s="186">
        <f>IF('prijem - EUR-viac-domacnosti'!$I$120=TRUE,IF($C$11&gt;0,0.00025*C214,0),IF('prijem - EUR-viac-domacnosti'!$I$121=TRUE,IF('prijem - EUR-viac-domacnosti'!$F$121&gt;0,0.00025*C214,0),0))</f>
        <v>0</v>
      </c>
      <c r="L215" s="89">
        <v>199</v>
      </c>
      <c r="M215" s="186" t="e">
        <f t="shared" si="36"/>
        <v>#DIV/0!</v>
      </c>
      <c r="N215" s="171" t="e">
        <f t="shared" si="37"/>
        <v>#DIV/0!</v>
      </c>
      <c r="O215" s="171" t="e">
        <f t="shared" si="30"/>
        <v>#DIV/0!</v>
      </c>
      <c r="P215" s="171" t="e">
        <f t="shared" si="38"/>
        <v>#DIV/0!</v>
      </c>
      <c r="Q215" s="171" t="e">
        <f t="shared" si="39"/>
        <v>#DIV/0!</v>
      </c>
      <c r="R215" s="186">
        <f>IF('prijem - EUR-viac-domacnosti'!$I$120=TRUE,IF($C$11&gt;0,0.00025*N214,0),IF('prijem - EUR-viac-domacnosti'!$I$121=TRUE,IF('prijem - EUR-viac-domacnosti'!$F$121&gt;0,0.00025*N214*-1,0),0))</f>
        <v>0</v>
      </c>
    </row>
    <row r="216" spans="1:18" x14ac:dyDescent="0.2">
      <c r="A216" s="89">
        <v>200</v>
      </c>
      <c r="B216" s="186" t="e">
        <f t="shared" si="31"/>
        <v>#NUM!</v>
      </c>
      <c r="C216" s="171" t="e">
        <f t="shared" si="32"/>
        <v>#NUM!</v>
      </c>
      <c r="D216" s="171" t="e">
        <f t="shared" si="33"/>
        <v>#NUM!</v>
      </c>
      <c r="E216" s="171" t="e">
        <f t="shared" si="34"/>
        <v>#NUM!</v>
      </c>
      <c r="F216" s="171" t="e">
        <f t="shared" si="35"/>
        <v>#NUM!</v>
      </c>
      <c r="G216" s="186">
        <f>IF('prijem - EUR-viac-domacnosti'!$I$120=TRUE,IF($C$11&gt;0,0.00025*C215,0),IF('prijem - EUR-viac-domacnosti'!$I$121=TRUE,IF('prijem - EUR-viac-domacnosti'!$F$121&gt;0,0.00025*C215,0),0))</f>
        <v>0</v>
      </c>
      <c r="L216" s="89">
        <v>200</v>
      </c>
      <c r="M216" s="186" t="e">
        <f t="shared" si="36"/>
        <v>#DIV/0!</v>
      </c>
      <c r="N216" s="171" t="e">
        <f t="shared" si="37"/>
        <v>#DIV/0!</v>
      </c>
      <c r="O216" s="171" t="e">
        <f t="shared" si="30"/>
        <v>#DIV/0!</v>
      </c>
      <c r="P216" s="171" t="e">
        <f t="shared" si="38"/>
        <v>#DIV/0!</v>
      </c>
      <c r="Q216" s="171" t="e">
        <f t="shared" si="39"/>
        <v>#DIV/0!</v>
      </c>
      <c r="R216" s="186">
        <f>IF('prijem - EUR-viac-domacnosti'!$I$120=TRUE,IF($C$11&gt;0,0.00025*N215,0),IF('prijem - EUR-viac-domacnosti'!$I$121=TRUE,IF('prijem - EUR-viac-domacnosti'!$F$121&gt;0,0.00025*N215*-1,0),0))</f>
        <v>0</v>
      </c>
    </row>
    <row r="217" spans="1:18" x14ac:dyDescent="0.2">
      <c r="A217" s="89">
        <v>201</v>
      </c>
      <c r="B217" s="186" t="e">
        <f t="shared" si="31"/>
        <v>#NUM!</v>
      </c>
      <c r="C217" s="171" t="e">
        <f t="shared" si="32"/>
        <v>#NUM!</v>
      </c>
      <c r="D217" s="171" t="e">
        <f t="shared" si="33"/>
        <v>#NUM!</v>
      </c>
      <c r="E217" s="171" t="e">
        <f t="shared" si="34"/>
        <v>#NUM!</v>
      </c>
      <c r="F217" s="171" t="e">
        <f t="shared" si="35"/>
        <v>#NUM!</v>
      </c>
      <c r="G217" s="186">
        <f>IF('prijem - EUR-viac-domacnosti'!$I$120=TRUE,IF($C$11&gt;0,0.00025*C216,0),IF('prijem - EUR-viac-domacnosti'!$I$121=TRUE,IF('prijem - EUR-viac-domacnosti'!$F$121&gt;0,0.00025*C216,0),0))</f>
        <v>0</v>
      </c>
      <c r="L217" s="89">
        <v>201</v>
      </c>
      <c r="M217" s="186" t="e">
        <f t="shared" si="36"/>
        <v>#DIV/0!</v>
      </c>
      <c r="N217" s="171" t="e">
        <f t="shared" si="37"/>
        <v>#DIV/0!</v>
      </c>
      <c r="O217" s="171" t="e">
        <f t="shared" si="30"/>
        <v>#DIV/0!</v>
      </c>
      <c r="P217" s="171" t="e">
        <f t="shared" si="38"/>
        <v>#DIV/0!</v>
      </c>
      <c r="Q217" s="171" t="e">
        <f t="shared" si="39"/>
        <v>#DIV/0!</v>
      </c>
      <c r="R217" s="186">
        <f>IF('prijem - EUR-viac-domacnosti'!$I$120=TRUE,IF($C$11&gt;0,0.00025*N216,0),IF('prijem - EUR-viac-domacnosti'!$I$121=TRUE,IF('prijem - EUR-viac-domacnosti'!$F$121&gt;0,0.00025*N216*-1,0),0))</f>
        <v>0</v>
      </c>
    </row>
    <row r="218" spans="1:18" x14ac:dyDescent="0.2">
      <c r="A218" s="89">
        <v>202</v>
      </c>
      <c r="B218" s="186" t="e">
        <f t="shared" si="31"/>
        <v>#NUM!</v>
      </c>
      <c r="C218" s="171" t="e">
        <f t="shared" si="32"/>
        <v>#NUM!</v>
      </c>
      <c r="D218" s="171" t="e">
        <f t="shared" si="33"/>
        <v>#NUM!</v>
      </c>
      <c r="E218" s="171" t="e">
        <f t="shared" si="34"/>
        <v>#NUM!</v>
      </c>
      <c r="F218" s="171" t="e">
        <f t="shared" si="35"/>
        <v>#NUM!</v>
      </c>
      <c r="G218" s="186">
        <f>IF('prijem - EUR-viac-domacnosti'!$I$120=TRUE,IF($C$11&gt;0,0.00025*C217,0),IF('prijem - EUR-viac-domacnosti'!$I$121=TRUE,IF('prijem - EUR-viac-domacnosti'!$F$121&gt;0,0.00025*C217,0),0))</f>
        <v>0</v>
      </c>
      <c r="L218" s="89">
        <v>202</v>
      </c>
      <c r="M218" s="186" t="e">
        <f t="shared" si="36"/>
        <v>#DIV/0!</v>
      </c>
      <c r="N218" s="171" t="e">
        <f t="shared" si="37"/>
        <v>#DIV/0!</v>
      </c>
      <c r="O218" s="171" t="e">
        <f t="shared" si="30"/>
        <v>#DIV/0!</v>
      </c>
      <c r="P218" s="171" t="e">
        <f t="shared" si="38"/>
        <v>#DIV/0!</v>
      </c>
      <c r="Q218" s="171" t="e">
        <f t="shared" si="39"/>
        <v>#DIV/0!</v>
      </c>
      <c r="R218" s="186">
        <f>IF('prijem - EUR-viac-domacnosti'!$I$120=TRUE,IF($C$11&gt;0,0.00025*N217,0),IF('prijem - EUR-viac-domacnosti'!$I$121=TRUE,IF('prijem - EUR-viac-domacnosti'!$F$121&gt;0,0.00025*N217*-1,0),0))</f>
        <v>0</v>
      </c>
    </row>
    <row r="219" spans="1:18" x14ac:dyDescent="0.2">
      <c r="A219" s="89">
        <v>203</v>
      </c>
      <c r="B219" s="186" t="e">
        <f t="shared" si="31"/>
        <v>#NUM!</v>
      </c>
      <c r="C219" s="171" t="e">
        <f t="shared" si="32"/>
        <v>#NUM!</v>
      </c>
      <c r="D219" s="171" t="e">
        <f t="shared" si="33"/>
        <v>#NUM!</v>
      </c>
      <c r="E219" s="171" t="e">
        <f t="shared" si="34"/>
        <v>#NUM!</v>
      </c>
      <c r="F219" s="171" t="e">
        <f t="shared" si="35"/>
        <v>#NUM!</v>
      </c>
      <c r="G219" s="186">
        <f>IF('prijem - EUR-viac-domacnosti'!$I$120=TRUE,IF($C$11&gt;0,0.00025*C218,0),IF('prijem - EUR-viac-domacnosti'!$I$121=TRUE,IF('prijem - EUR-viac-domacnosti'!$F$121&gt;0,0.00025*C218,0),0))</f>
        <v>0</v>
      </c>
      <c r="L219" s="89">
        <v>203</v>
      </c>
      <c r="M219" s="186" t="e">
        <f t="shared" si="36"/>
        <v>#DIV/0!</v>
      </c>
      <c r="N219" s="171" t="e">
        <f t="shared" si="37"/>
        <v>#DIV/0!</v>
      </c>
      <c r="O219" s="171" t="e">
        <f t="shared" si="30"/>
        <v>#DIV/0!</v>
      </c>
      <c r="P219" s="171" t="e">
        <f t="shared" si="38"/>
        <v>#DIV/0!</v>
      </c>
      <c r="Q219" s="171" t="e">
        <f t="shared" si="39"/>
        <v>#DIV/0!</v>
      </c>
      <c r="R219" s="186">
        <f>IF('prijem - EUR-viac-domacnosti'!$I$120=TRUE,IF($C$11&gt;0,0.00025*N218,0),IF('prijem - EUR-viac-domacnosti'!$I$121=TRUE,IF('prijem - EUR-viac-domacnosti'!$F$121&gt;0,0.00025*N218*-1,0),0))</f>
        <v>0</v>
      </c>
    </row>
    <row r="220" spans="1:18" x14ac:dyDescent="0.2">
      <c r="A220" s="89">
        <v>204</v>
      </c>
      <c r="B220" s="186" t="e">
        <f t="shared" si="31"/>
        <v>#NUM!</v>
      </c>
      <c r="C220" s="171" t="e">
        <f t="shared" si="32"/>
        <v>#NUM!</v>
      </c>
      <c r="D220" s="171" t="e">
        <f t="shared" si="33"/>
        <v>#NUM!</v>
      </c>
      <c r="E220" s="171" t="e">
        <f t="shared" si="34"/>
        <v>#NUM!</v>
      </c>
      <c r="F220" s="171" t="e">
        <f t="shared" si="35"/>
        <v>#NUM!</v>
      </c>
      <c r="G220" s="186">
        <f>IF('prijem - EUR-viac-domacnosti'!$I$120=TRUE,IF($C$11&gt;0,0.00025*C219,0),IF('prijem - EUR-viac-domacnosti'!$I$121=TRUE,IF('prijem - EUR-viac-domacnosti'!$F$121&gt;0,0.00025*C219,0),0))</f>
        <v>0</v>
      </c>
      <c r="L220" s="89">
        <v>204</v>
      </c>
      <c r="M220" s="186" t="e">
        <f t="shared" si="36"/>
        <v>#DIV/0!</v>
      </c>
      <c r="N220" s="171" t="e">
        <f t="shared" si="37"/>
        <v>#DIV/0!</v>
      </c>
      <c r="O220" s="171" t="e">
        <f t="shared" si="30"/>
        <v>#DIV/0!</v>
      </c>
      <c r="P220" s="171" t="e">
        <f t="shared" si="38"/>
        <v>#DIV/0!</v>
      </c>
      <c r="Q220" s="171" t="e">
        <f t="shared" si="39"/>
        <v>#DIV/0!</v>
      </c>
      <c r="R220" s="186">
        <f>IF('prijem - EUR-viac-domacnosti'!$I$120=TRUE,IF($C$11&gt;0,0.00025*N219,0),IF('prijem - EUR-viac-domacnosti'!$I$121=TRUE,IF('prijem - EUR-viac-domacnosti'!$F$121&gt;0,0.00025*N219*-1,0),0))</f>
        <v>0</v>
      </c>
    </row>
    <row r="221" spans="1:18" x14ac:dyDescent="0.2">
      <c r="A221" s="89">
        <v>205</v>
      </c>
      <c r="B221" s="186" t="e">
        <f t="shared" si="31"/>
        <v>#NUM!</v>
      </c>
      <c r="C221" s="171" t="e">
        <f t="shared" si="32"/>
        <v>#NUM!</v>
      </c>
      <c r="D221" s="171" t="e">
        <f t="shared" si="33"/>
        <v>#NUM!</v>
      </c>
      <c r="E221" s="171" t="e">
        <f t="shared" si="34"/>
        <v>#NUM!</v>
      </c>
      <c r="F221" s="171" t="e">
        <f t="shared" si="35"/>
        <v>#NUM!</v>
      </c>
      <c r="G221" s="186">
        <f>IF('prijem - EUR-viac-domacnosti'!$I$120=TRUE,IF($C$11&gt;0,0.00025*C220,0),IF('prijem - EUR-viac-domacnosti'!$I$121=TRUE,IF('prijem - EUR-viac-domacnosti'!$F$121&gt;0,0.00025*C220,0),0))</f>
        <v>0</v>
      </c>
      <c r="L221" s="89">
        <v>205</v>
      </c>
      <c r="M221" s="186" t="e">
        <f t="shared" si="36"/>
        <v>#DIV/0!</v>
      </c>
      <c r="N221" s="171" t="e">
        <f t="shared" si="37"/>
        <v>#DIV/0!</v>
      </c>
      <c r="O221" s="171" t="e">
        <f t="shared" si="30"/>
        <v>#DIV/0!</v>
      </c>
      <c r="P221" s="171" t="e">
        <f t="shared" si="38"/>
        <v>#DIV/0!</v>
      </c>
      <c r="Q221" s="171" t="e">
        <f t="shared" si="39"/>
        <v>#DIV/0!</v>
      </c>
      <c r="R221" s="186">
        <f>IF('prijem - EUR-viac-domacnosti'!$I$120=TRUE,IF($C$11&gt;0,0.00025*N220,0),IF('prijem - EUR-viac-domacnosti'!$I$121=TRUE,IF('prijem - EUR-viac-domacnosti'!$F$121&gt;0,0.00025*N220*-1,0),0))</f>
        <v>0</v>
      </c>
    </row>
    <row r="222" spans="1:18" x14ac:dyDescent="0.2">
      <c r="A222" s="89">
        <v>206</v>
      </c>
      <c r="B222" s="186" t="e">
        <f t="shared" si="31"/>
        <v>#NUM!</v>
      </c>
      <c r="C222" s="171" t="e">
        <f t="shared" si="32"/>
        <v>#NUM!</v>
      </c>
      <c r="D222" s="171" t="e">
        <f t="shared" si="33"/>
        <v>#NUM!</v>
      </c>
      <c r="E222" s="171" t="e">
        <f t="shared" si="34"/>
        <v>#NUM!</v>
      </c>
      <c r="F222" s="171" t="e">
        <f t="shared" si="35"/>
        <v>#NUM!</v>
      </c>
      <c r="G222" s="186">
        <f>IF('prijem - EUR-viac-domacnosti'!$I$120=TRUE,IF($C$11&gt;0,0.00025*C221,0),IF('prijem - EUR-viac-domacnosti'!$I$121=TRUE,IF('prijem - EUR-viac-domacnosti'!$F$121&gt;0,0.00025*C221,0),0))</f>
        <v>0</v>
      </c>
      <c r="L222" s="89">
        <v>206</v>
      </c>
      <c r="M222" s="186" t="e">
        <f t="shared" si="36"/>
        <v>#DIV/0!</v>
      </c>
      <c r="N222" s="171" t="e">
        <f t="shared" si="37"/>
        <v>#DIV/0!</v>
      </c>
      <c r="O222" s="171" t="e">
        <f t="shared" si="30"/>
        <v>#DIV/0!</v>
      </c>
      <c r="P222" s="171" t="e">
        <f t="shared" si="38"/>
        <v>#DIV/0!</v>
      </c>
      <c r="Q222" s="171" t="e">
        <f t="shared" si="39"/>
        <v>#DIV/0!</v>
      </c>
      <c r="R222" s="186">
        <f>IF('prijem - EUR-viac-domacnosti'!$I$120=TRUE,IF($C$11&gt;0,0.00025*N221,0),IF('prijem - EUR-viac-domacnosti'!$I$121=TRUE,IF('prijem - EUR-viac-domacnosti'!$F$121&gt;0,0.00025*N221*-1,0),0))</f>
        <v>0</v>
      </c>
    </row>
    <row r="223" spans="1:18" x14ac:dyDescent="0.2">
      <c r="A223" s="89">
        <v>207</v>
      </c>
      <c r="B223" s="186" t="e">
        <f t="shared" si="31"/>
        <v>#NUM!</v>
      </c>
      <c r="C223" s="171" t="e">
        <f t="shared" si="32"/>
        <v>#NUM!</v>
      </c>
      <c r="D223" s="171" t="e">
        <f t="shared" si="33"/>
        <v>#NUM!</v>
      </c>
      <c r="E223" s="171" t="e">
        <f t="shared" si="34"/>
        <v>#NUM!</v>
      </c>
      <c r="F223" s="171" t="e">
        <f t="shared" si="35"/>
        <v>#NUM!</v>
      </c>
      <c r="G223" s="186">
        <f>IF('prijem - EUR-viac-domacnosti'!$I$120=TRUE,IF($C$11&gt;0,0.00025*C222,0),IF('prijem - EUR-viac-domacnosti'!$I$121=TRUE,IF('prijem - EUR-viac-domacnosti'!$F$121&gt;0,0.00025*C222,0),0))</f>
        <v>0</v>
      </c>
      <c r="L223" s="89">
        <v>207</v>
      </c>
      <c r="M223" s="186" t="e">
        <f t="shared" si="36"/>
        <v>#DIV/0!</v>
      </c>
      <c r="N223" s="171" t="e">
        <f t="shared" si="37"/>
        <v>#DIV/0!</v>
      </c>
      <c r="O223" s="171" t="e">
        <f t="shared" si="30"/>
        <v>#DIV/0!</v>
      </c>
      <c r="P223" s="171" t="e">
        <f t="shared" si="38"/>
        <v>#DIV/0!</v>
      </c>
      <c r="Q223" s="171" t="e">
        <f t="shared" si="39"/>
        <v>#DIV/0!</v>
      </c>
      <c r="R223" s="186">
        <f>IF('prijem - EUR-viac-domacnosti'!$I$120=TRUE,IF($C$11&gt;0,0.00025*N222,0),IF('prijem - EUR-viac-domacnosti'!$I$121=TRUE,IF('prijem - EUR-viac-domacnosti'!$F$121&gt;0,0.00025*N222*-1,0),0))</f>
        <v>0</v>
      </c>
    </row>
    <row r="224" spans="1:18" x14ac:dyDescent="0.2">
      <c r="A224" s="89">
        <v>208</v>
      </c>
      <c r="B224" s="186" t="e">
        <f t="shared" si="31"/>
        <v>#NUM!</v>
      </c>
      <c r="C224" s="171" t="e">
        <f t="shared" si="32"/>
        <v>#NUM!</v>
      </c>
      <c r="D224" s="171" t="e">
        <f t="shared" si="33"/>
        <v>#NUM!</v>
      </c>
      <c r="E224" s="171" t="e">
        <f t="shared" si="34"/>
        <v>#NUM!</v>
      </c>
      <c r="F224" s="171" t="e">
        <f t="shared" si="35"/>
        <v>#NUM!</v>
      </c>
      <c r="G224" s="186">
        <f>IF('prijem - EUR-viac-domacnosti'!$I$120=TRUE,IF($C$11&gt;0,0.00025*C223,0),IF('prijem - EUR-viac-domacnosti'!$I$121=TRUE,IF('prijem - EUR-viac-domacnosti'!$F$121&gt;0,0.00025*C223,0),0))</f>
        <v>0</v>
      </c>
      <c r="L224" s="89">
        <v>208</v>
      </c>
      <c r="M224" s="186" t="e">
        <f t="shared" si="36"/>
        <v>#DIV/0!</v>
      </c>
      <c r="N224" s="171" t="e">
        <f t="shared" si="37"/>
        <v>#DIV/0!</v>
      </c>
      <c r="O224" s="171" t="e">
        <f t="shared" si="30"/>
        <v>#DIV/0!</v>
      </c>
      <c r="P224" s="171" t="e">
        <f t="shared" si="38"/>
        <v>#DIV/0!</v>
      </c>
      <c r="Q224" s="171" t="e">
        <f t="shared" si="39"/>
        <v>#DIV/0!</v>
      </c>
      <c r="R224" s="186">
        <f>IF('prijem - EUR-viac-domacnosti'!$I$120=TRUE,IF($C$11&gt;0,0.00025*N223,0),IF('prijem - EUR-viac-domacnosti'!$I$121=TRUE,IF('prijem - EUR-viac-domacnosti'!$F$121&gt;0,0.00025*N223*-1,0),0))</f>
        <v>0</v>
      </c>
    </row>
    <row r="225" spans="1:18" x14ac:dyDescent="0.2">
      <c r="A225" s="89">
        <v>209</v>
      </c>
      <c r="B225" s="186" t="e">
        <f t="shared" si="31"/>
        <v>#NUM!</v>
      </c>
      <c r="C225" s="171" t="e">
        <f t="shared" si="32"/>
        <v>#NUM!</v>
      </c>
      <c r="D225" s="171" t="e">
        <f t="shared" si="33"/>
        <v>#NUM!</v>
      </c>
      <c r="E225" s="171" t="e">
        <f t="shared" si="34"/>
        <v>#NUM!</v>
      </c>
      <c r="F225" s="171" t="e">
        <f t="shared" si="35"/>
        <v>#NUM!</v>
      </c>
      <c r="G225" s="186">
        <f>IF('prijem - EUR-viac-domacnosti'!$I$120=TRUE,IF($C$11&gt;0,0.00025*C224,0),IF('prijem - EUR-viac-domacnosti'!$I$121=TRUE,IF('prijem - EUR-viac-domacnosti'!$F$121&gt;0,0.00025*C224,0),0))</f>
        <v>0</v>
      </c>
      <c r="L225" s="89">
        <v>209</v>
      </c>
      <c r="M225" s="186" t="e">
        <f t="shared" si="36"/>
        <v>#DIV/0!</v>
      </c>
      <c r="N225" s="171" t="e">
        <f t="shared" si="37"/>
        <v>#DIV/0!</v>
      </c>
      <c r="O225" s="171" t="e">
        <f t="shared" si="30"/>
        <v>#DIV/0!</v>
      </c>
      <c r="P225" s="171" t="e">
        <f t="shared" si="38"/>
        <v>#DIV/0!</v>
      </c>
      <c r="Q225" s="171" t="e">
        <f t="shared" si="39"/>
        <v>#DIV/0!</v>
      </c>
      <c r="R225" s="186">
        <f>IF('prijem - EUR-viac-domacnosti'!$I$120=TRUE,IF($C$11&gt;0,0.00025*N224,0),IF('prijem - EUR-viac-domacnosti'!$I$121=TRUE,IF('prijem - EUR-viac-domacnosti'!$F$121&gt;0,0.00025*N224*-1,0),0))</f>
        <v>0</v>
      </c>
    </row>
    <row r="226" spans="1:18" x14ac:dyDescent="0.2">
      <c r="A226" s="89">
        <v>210</v>
      </c>
      <c r="B226" s="186" t="e">
        <f t="shared" si="31"/>
        <v>#NUM!</v>
      </c>
      <c r="C226" s="171" t="e">
        <f t="shared" si="32"/>
        <v>#NUM!</v>
      </c>
      <c r="D226" s="171" t="e">
        <f t="shared" si="33"/>
        <v>#NUM!</v>
      </c>
      <c r="E226" s="171" t="e">
        <f t="shared" si="34"/>
        <v>#NUM!</v>
      </c>
      <c r="F226" s="171" t="e">
        <f t="shared" si="35"/>
        <v>#NUM!</v>
      </c>
      <c r="G226" s="186">
        <f>IF('prijem - EUR-viac-domacnosti'!$I$120=TRUE,IF($C$11&gt;0,0.00025*C225,0),IF('prijem - EUR-viac-domacnosti'!$I$121=TRUE,IF('prijem - EUR-viac-domacnosti'!$F$121&gt;0,0.00025*C225,0),0))</f>
        <v>0</v>
      </c>
      <c r="L226" s="89">
        <v>210</v>
      </c>
      <c r="M226" s="186" t="e">
        <f t="shared" si="36"/>
        <v>#DIV/0!</v>
      </c>
      <c r="N226" s="171" t="e">
        <f t="shared" si="37"/>
        <v>#DIV/0!</v>
      </c>
      <c r="O226" s="171" t="e">
        <f t="shared" si="30"/>
        <v>#DIV/0!</v>
      </c>
      <c r="P226" s="171" t="e">
        <f t="shared" si="38"/>
        <v>#DIV/0!</v>
      </c>
      <c r="Q226" s="171" t="e">
        <f t="shared" si="39"/>
        <v>#DIV/0!</v>
      </c>
      <c r="R226" s="186">
        <f>IF('prijem - EUR-viac-domacnosti'!$I$120=TRUE,IF($C$11&gt;0,0.00025*N225,0),IF('prijem - EUR-viac-domacnosti'!$I$121=TRUE,IF('prijem - EUR-viac-domacnosti'!$F$121&gt;0,0.00025*N225*-1,0),0))</f>
        <v>0</v>
      </c>
    </row>
    <row r="227" spans="1:18" x14ac:dyDescent="0.2">
      <c r="A227" s="89">
        <v>211</v>
      </c>
      <c r="B227" s="186" t="e">
        <f t="shared" si="31"/>
        <v>#NUM!</v>
      </c>
      <c r="C227" s="171" t="e">
        <f t="shared" si="32"/>
        <v>#NUM!</v>
      </c>
      <c r="D227" s="171" t="e">
        <f t="shared" si="33"/>
        <v>#NUM!</v>
      </c>
      <c r="E227" s="171" t="e">
        <f t="shared" si="34"/>
        <v>#NUM!</v>
      </c>
      <c r="F227" s="171" t="e">
        <f t="shared" si="35"/>
        <v>#NUM!</v>
      </c>
      <c r="G227" s="186">
        <f>IF('prijem - EUR-viac-domacnosti'!$I$120=TRUE,IF($C$11&gt;0,0.00025*C226,0),IF('prijem - EUR-viac-domacnosti'!$I$121=TRUE,IF('prijem - EUR-viac-domacnosti'!$F$121&gt;0,0.00025*C226,0),0))</f>
        <v>0</v>
      </c>
      <c r="L227" s="89">
        <v>211</v>
      </c>
      <c r="M227" s="186" t="e">
        <f t="shared" si="36"/>
        <v>#DIV/0!</v>
      </c>
      <c r="N227" s="171" t="e">
        <f t="shared" si="37"/>
        <v>#DIV/0!</v>
      </c>
      <c r="O227" s="171" t="e">
        <f t="shared" si="30"/>
        <v>#DIV/0!</v>
      </c>
      <c r="P227" s="171" t="e">
        <f t="shared" si="38"/>
        <v>#DIV/0!</v>
      </c>
      <c r="Q227" s="171" t="e">
        <f t="shared" si="39"/>
        <v>#DIV/0!</v>
      </c>
      <c r="R227" s="186">
        <f>IF('prijem - EUR-viac-domacnosti'!$I$120=TRUE,IF($C$11&gt;0,0.00025*N226,0),IF('prijem - EUR-viac-domacnosti'!$I$121=TRUE,IF('prijem - EUR-viac-domacnosti'!$F$121&gt;0,0.00025*N226*-1,0),0))</f>
        <v>0</v>
      </c>
    </row>
    <row r="228" spans="1:18" x14ac:dyDescent="0.2">
      <c r="A228" s="89">
        <v>212</v>
      </c>
      <c r="B228" s="186" t="e">
        <f t="shared" si="31"/>
        <v>#NUM!</v>
      </c>
      <c r="C228" s="171" t="e">
        <f t="shared" si="32"/>
        <v>#NUM!</v>
      </c>
      <c r="D228" s="171" t="e">
        <f t="shared" si="33"/>
        <v>#NUM!</v>
      </c>
      <c r="E228" s="171" t="e">
        <f t="shared" si="34"/>
        <v>#NUM!</v>
      </c>
      <c r="F228" s="171" t="e">
        <f t="shared" si="35"/>
        <v>#NUM!</v>
      </c>
      <c r="G228" s="186">
        <f>IF('prijem - EUR-viac-domacnosti'!$I$120=TRUE,IF($C$11&gt;0,0.00025*C227,0),IF('prijem - EUR-viac-domacnosti'!$I$121=TRUE,IF('prijem - EUR-viac-domacnosti'!$F$121&gt;0,0.00025*C227,0),0))</f>
        <v>0</v>
      </c>
      <c r="L228" s="89">
        <v>212</v>
      </c>
      <c r="M228" s="186" t="e">
        <f t="shared" si="36"/>
        <v>#DIV/0!</v>
      </c>
      <c r="N228" s="171" t="e">
        <f t="shared" si="37"/>
        <v>#DIV/0!</v>
      </c>
      <c r="O228" s="171" t="e">
        <f t="shared" si="30"/>
        <v>#DIV/0!</v>
      </c>
      <c r="P228" s="171" t="e">
        <f t="shared" si="38"/>
        <v>#DIV/0!</v>
      </c>
      <c r="Q228" s="171" t="e">
        <f t="shared" si="39"/>
        <v>#DIV/0!</v>
      </c>
      <c r="R228" s="186">
        <f>IF('prijem - EUR-viac-domacnosti'!$I$120=TRUE,IF($C$11&gt;0,0.00025*N227,0),IF('prijem - EUR-viac-domacnosti'!$I$121=TRUE,IF('prijem - EUR-viac-domacnosti'!$F$121&gt;0,0.00025*N227*-1,0),0))</f>
        <v>0</v>
      </c>
    </row>
    <row r="229" spans="1:18" x14ac:dyDescent="0.2">
      <c r="A229" s="89">
        <v>213</v>
      </c>
      <c r="B229" s="186" t="e">
        <f t="shared" si="31"/>
        <v>#NUM!</v>
      </c>
      <c r="C229" s="171" t="e">
        <f t="shared" si="32"/>
        <v>#NUM!</v>
      </c>
      <c r="D229" s="171" t="e">
        <f t="shared" si="33"/>
        <v>#NUM!</v>
      </c>
      <c r="E229" s="171" t="e">
        <f t="shared" si="34"/>
        <v>#NUM!</v>
      </c>
      <c r="F229" s="171" t="e">
        <f t="shared" si="35"/>
        <v>#NUM!</v>
      </c>
      <c r="G229" s="186">
        <f>IF('prijem - EUR-viac-domacnosti'!$I$120=TRUE,IF($C$11&gt;0,0.00025*C228,0),IF('prijem - EUR-viac-domacnosti'!$I$121=TRUE,IF('prijem - EUR-viac-domacnosti'!$F$121&gt;0,0.00025*C228,0),0))</f>
        <v>0</v>
      </c>
      <c r="L229" s="89">
        <v>213</v>
      </c>
      <c r="M229" s="186" t="e">
        <f t="shared" si="36"/>
        <v>#DIV/0!</v>
      </c>
      <c r="N229" s="171" t="e">
        <f t="shared" si="37"/>
        <v>#DIV/0!</v>
      </c>
      <c r="O229" s="171" t="e">
        <f t="shared" si="30"/>
        <v>#DIV/0!</v>
      </c>
      <c r="P229" s="171" t="e">
        <f t="shared" si="38"/>
        <v>#DIV/0!</v>
      </c>
      <c r="Q229" s="171" t="e">
        <f t="shared" si="39"/>
        <v>#DIV/0!</v>
      </c>
      <c r="R229" s="186">
        <f>IF('prijem - EUR-viac-domacnosti'!$I$120=TRUE,IF($C$11&gt;0,0.00025*N228,0),IF('prijem - EUR-viac-domacnosti'!$I$121=TRUE,IF('prijem - EUR-viac-domacnosti'!$F$121&gt;0,0.00025*N228*-1,0),0))</f>
        <v>0</v>
      </c>
    </row>
    <row r="230" spans="1:18" x14ac:dyDescent="0.2">
      <c r="A230" s="89">
        <v>214</v>
      </c>
      <c r="B230" s="186" t="e">
        <f t="shared" si="31"/>
        <v>#NUM!</v>
      </c>
      <c r="C230" s="171" t="e">
        <f t="shared" si="32"/>
        <v>#NUM!</v>
      </c>
      <c r="D230" s="171" t="e">
        <f t="shared" si="33"/>
        <v>#NUM!</v>
      </c>
      <c r="E230" s="171" t="e">
        <f t="shared" si="34"/>
        <v>#NUM!</v>
      </c>
      <c r="F230" s="171" t="e">
        <f t="shared" si="35"/>
        <v>#NUM!</v>
      </c>
      <c r="G230" s="186">
        <f>IF('prijem - EUR-viac-domacnosti'!$I$120=TRUE,IF($C$11&gt;0,0.00025*C229,0),IF('prijem - EUR-viac-domacnosti'!$I$121=TRUE,IF('prijem - EUR-viac-domacnosti'!$F$121&gt;0,0.00025*C229,0),0))</f>
        <v>0</v>
      </c>
      <c r="L230" s="89">
        <v>214</v>
      </c>
      <c r="M230" s="186" t="e">
        <f t="shared" si="36"/>
        <v>#DIV/0!</v>
      </c>
      <c r="N230" s="171" t="e">
        <f t="shared" si="37"/>
        <v>#DIV/0!</v>
      </c>
      <c r="O230" s="171" t="e">
        <f t="shared" si="30"/>
        <v>#DIV/0!</v>
      </c>
      <c r="P230" s="171" t="e">
        <f t="shared" si="38"/>
        <v>#DIV/0!</v>
      </c>
      <c r="Q230" s="171" t="e">
        <f t="shared" si="39"/>
        <v>#DIV/0!</v>
      </c>
      <c r="R230" s="186">
        <f>IF('prijem - EUR-viac-domacnosti'!$I$120=TRUE,IF($C$11&gt;0,0.00025*N229,0),IF('prijem - EUR-viac-domacnosti'!$I$121=TRUE,IF('prijem - EUR-viac-domacnosti'!$F$121&gt;0,0.00025*N229*-1,0),0))</f>
        <v>0</v>
      </c>
    </row>
    <row r="231" spans="1:18" x14ac:dyDescent="0.2">
      <c r="A231" s="89">
        <v>215</v>
      </c>
      <c r="B231" s="186" t="e">
        <f t="shared" si="31"/>
        <v>#NUM!</v>
      </c>
      <c r="C231" s="171" t="e">
        <f t="shared" si="32"/>
        <v>#NUM!</v>
      </c>
      <c r="D231" s="171" t="e">
        <f t="shared" si="33"/>
        <v>#NUM!</v>
      </c>
      <c r="E231" s="171" t="e">
        <f t="shared" si="34"/>
        <v>#NUM!</v>
      </c>
      <c r="F231" s="171" t="e">
        <f t="shared" si="35"/>
        <v>#NUM!</v>
      </c>
      <c r="G231" s="186">
        <f>IF('prijem - EUR-viac-domacnosti'!$I$120=TRUE,IF($C$11&gt;0,0.00025*C230,0),IF('prijem - EUR-viac-domacnosti'!$I$121=TRUE,IF('prijem - EUR-viac-domacnosti'!$F$121&gt;0,0.00025*C230,0),0))</f>
        <v>0</v>
      </c>
      <c r="L231" s="89">
        <v>215</v>
      </c>
      <c r="M231" s="186" t="e">
        <f t="shared" si="36"/>
        <v>#DIV/0!</v>
      </c>
      <c r="N231" s="171" t="e">
        <f t="shared" si="37"/>
        <v>#DIV/0!</v>
      </c>
      <c r="O231" s="171" t="e">
        <f t="shared" si="30"/>
        <v>#DIV/0!</v>
      </c>
      <c r="P231" s="171" t="e">
        <f t="shared" si="38"/>
        <v>#DIV/0!</v>
      </c>
      <c r="Q231" s="171" t="e">
        <f t="shared" si="39"/>
        <v>#DIV/0!</v>
      </c>
      <c r="R231" s="186">
        <f>IF('prijem - EUR-viac-domacnosti'!$I$120=TRUE,IF($C$11&gt;0,0.00025*N230,0),IF('prijem - EUR-viac-domacnosti'!$I$121=TRUE,IF('prijem - EUR-viac-domacnosti'!$F$121&gt;0,0.00025*N230*-1,0),0))</f>
        <v>0</v>
      </c>
    </row>
    <row r="232" spans="1:18" x14ac:dyDescent="0.2">
      <c r="A232" s="89">
        <v>216</v>
      </c>
      <c r="B232" s="186" t="e">
        <f t="shared" si="31"/>
        <v>#NUM!</v>
      </c>
      <c r="C232" s="171" t="e">
        <f t="shared" si="32"/>
        <v>#NUM!</v>
      </c>
      <c r="D232" s="171" t="e">
        <f t="shared" si="33"/>
        <v>#NUM!</v>
      </c>
      <c r="E232" s="171" t="e">
        <f t="shared" si="34"/>
        <v>#NUM!</v>
      </c>
      <c r="F232" s="171" t="e">
        <f t="shared" si="35"/>
        <v>#NUM!</v>
      </c>
      <c r="G232" s="186">
        <f>IF('prijem - EUR-viac-domacnosti'!$I$120=TRUE,IF($C$11&gt;0,0.00025*C231,0),IF('prijem - EUR-viac-domacnosti'!$I$121=TRUE,IF('prijem - EUR-viac-domacnosti'!$F$121&gt;0,0.00025*C231,0),0))</f>
        <v>0</v>
      </c>
      <c r="L232" s="89">
        <v>216</v>
      </c>
      <c r="M232" s="186" t="e">
        <f t="shared" si="36"/>
        <v>#DIV/0!</v>
      </c>
      <c r="N232" s="171" t="e">
        <f t="shared" si="37"/>
        <v>#DIV/0!</v>
      </c>
      <c r="O232" s="171" t="e">
        <f t="shared" si="30"/>
        <v>#DIV/0!</v>
      </c>
      <c r="P232" s="171" t="e">
        <f t="shared" si="38"/>
        <v>#DIV/0!</v>
      </c>
      <c r="Q232" s="171" t="e">
        <f t="shared" si="39"/>
        <v>#DIV/0!</v>
      </c>
      <c r="R232" s="186">
        <f>IF('prijem - EUR-viac-domacnosti'!$I$120=TRUE,IF($C$11&gt;0,0.00025*N231,0),IF('prijem - EUR-viac-domacnosti'!$I$121=TRUE,IF('prijem - EUR-viac-domacnosti'!$F$121&gt;0,0.00025*N231*-1,0),0))</f>
        <v>0</v>
      </c>
    </row>
    <row r="233" spans="1:18" x14ac:dyDescent="0.2">
      <c r="A233" s="89">
        <v>217</v>
      </c>
      <c r="B233" s="186" t="e">
        <f t="shared" si="31"/>
        <v>#NUM!</v>
      </c>
      <c r="C233" s="171" t="e">
        <f t="shared" si="32"/>
        <v>#NUM!</v>
      </c>
      <c r="D233" s="171" t="e">
        <f t="shared" si="33"/>
        <v>#NUM!</v>
      </c>
      <c r="E233" s="171" t="e">
        <f t="shared" si="34"/>
        <v>#NUM!</v>
      </c>
      <c r="F233" s="171" t="e">
        <f t="shared" si="35"/>
        <v>#NUM!</v>
      </c>
      <c r="G233" s="186">
        <f>IF('prijem - EUR-viac-domacnosti'!$I$120=TRUE,IF($C$11&gt;0,0.00025*C232,0),IF('prijem - EUR-viac-domacnosti'!$I$121=TRUE,IF('prijem - EUR-viac-domacnosti'!$F$121&gt;0,0.00025*C232,0),0))</f>
        <v>0</v>
      </c>
      <c r="L233" s="89">
        <v>217</v>
      </c>
      <c r="M233" s="186" t="e">
        <f t="shared" si="36"/>
        <v>#DIV/0!</v>
      </c>
      <c r="N233" s="171" t="e">
        <f t="shared" si="37"/>
        <v>#DIV/0!</v>
      </c>
      <c r="O233" s="171" t="e">
        <f t="shared" si="30"/>
        <v>#DIV/0!</v>
      </c>
      <c r="P233" s="171" t="e">
        <f t="shared" si="38"/>
        <v>#DIV/0!</v>
      </c>
      <c r="Q233" s="171" t="e">
        <f t="shared" si="39"/>
        <v>#DIV/0!</v>
      </c>
      <c r="R233" s="186">
        <f>IF('prijem - EUR-viac-domacnosti'!$I$120=TRUE,IF($C$11&gt;0,0.00025*N232,0),IF('prijem - EUR-viac-domacnosti'!$I$121=TRUE,IF('prijem - EUR-viac-domacnosti'!$F$121&gt;0,0.00025*N232*-1,0),0))</f>
        <v>0</v>
      </c>
    </row>
    <row r="234" spans="1:18" x14ac:dyDescent="0.2">
      <c r="A234" s="89">
        <v>218</v>
      </c>
      <c r="B234" s="186" t="e">
        <f t="shared" si="31"/>
        <v>#NUM!</v>
      </c>
      <c r="C234" s="171" t="e">
        <f t="shared" si="32"/>
        <v>#NUM!</v>
      </c>
      <c r="D234" s="171" t="e">
        <f t="shared" si="33"/>
        <v>#NUM!</v>
      </c>
      <c r="E234" s="171" t="e">
        <f t="shared" si="34"/>
        <v>#NUM!</v>
      </c>
      <c r="F234" s="171" t="e">
        <f t="shared" si="35"/>
        <v>#NUM!</v>
      </c>
      <c r="G234" s="186">
        <f>IF('prijem - EUR-viac-domacnosti'!$I$120=TRUE,IF($C$11&gt;0,0.00025*C233,0),IF('prijem - EUR-viac-domacnosti'!$I$121=TRUE,IF('prijem - EUR-viac-domacnosti'!$F$121&gt;0,0.00025*C233,0),0))</f>
        <v>0</v>
      </c>
      <c r="L234" s="89">
        <v>218</v>
      </c>
      <c r="M234" s="186" t="e">
        <f t="shared" si="36"/>
        <v>#DIV/0!</v>
      </c>
      <c r="N234" s="171" t="e">
        <f t="shared" si="37"/>
        <v>#DIV/0!</v>
      </c>
      <c r="O234" s="171" t="e">
        <f t="shared" si="30"/>
        <v>#DIV/0!</v>
      </c>
      <c r="P234" s="171" t="e">
        <f t="shared" si="38"/>
        <v>#DIV/0!</v>
      </c>
      <c r="Q234" s="171" t="e">
        <f t="shared" si="39"/>
        <v>#DIV/0!</v>
      </c>
      <c r="R234" s="186">
        <f>IF('prijem - EUR-viac-domacnosti'!$I$120=TRUE,IF($C$11&gt;0,0.00025*N233,0),IF('prijem - EUR-viac-domacnosti'!$I$121=TRUE,IF('prijem - EUR-viac-domacnosti'!$F$121&gt;0,0.00025*N233*-1,0),0))</f>
        <v>0</v>
      </c>
    </row>
    <row r="235" spans="1:18" x14ac:dyDescent="0.2">
      <c r="A235" s="89">
        <v>219</v>
      </c>
      <c r="B235" s="186" t="e">
        <f t="shared" si="31"/>
        <v>#NUM!</v>
      </c>
      <c r="C235" s="171" t="e">
        <f t="shared" si="32"/>
        <v>#NUM!</v>
      </c>
      <c r="D235" s="171" t="e">
        <f t="shared" si="33"/>
        <v>#NUM!</v>
      </c>
      <c r="E235" s="171" t="e">
        <f t="shared" si="34"/>
        <v>#NUM!</v>
      </c>
      <c r="F235" s="171" t="e">
        <f t="shared" si="35"/>
        <v>#NUM!</v>
      </c>
      <c r="G235" s="186">
        <f>IF('prijem - EUR-viac-domacnosti'!$I$120=TRUE,IF($C$11&gt;0,0.00025*C234,0),IF('prijem - EUR-viac-domacnosti'!$I$121=TRUE,IF('prijem - EUR-viac-domacnosti'!$F$121&gt;0,0.00025*C234,0),0))</f>
        <v>0</v>
      </c>
      <c r="L235" s="89">
        <v>219</v>
      </c>
      <c r="M235" s="186" t="e">
        <f t="shared" si="36"/>
        <v>#DIV/0!</v>
      </c>
      <c r="N235" s="171" t="e">
        <f t="shared" si="37"/>
        <v>#DIV/0!</v>
      </c>
      <c r="O235" s="171" t="e">
        <f t="shared" si="30"/>
        <v>#DIV/0!</v>
      </c>
      <c r="P235" s="171" t="e">
        <f t="shared" si="38"/>
        <v>#DIV/0!</v>
      </c>
      <c r="Q235" s="171" t="e">
        <f t="shared" si="39"/>
        <v>#DIV/0!</v>
      </c>
      <c r="R235" s="186">
        <f>IF('prijem - EUR-viac-domacnosti'!$I$120=TRUE,IF($C$11&gt;0,0.00025*N234,0),IF('prijem - EUR-viac-domacnosti'!$I$121=TRUE,IF('prijem - EUR-viac-domacnosti'!$F$121&gt;0,0.00025*N234*-1,0),0))</f>
        <v>0</v>
      </c>
    </row>
    <row r="236" spans="1:18" x14ac:dyDescent="0.2">
      <c r="A236" s="89">
        <v>220</v>
      </c>
      <c r="B236" s="186" t="e">
        <f t="shared" si="31"/>
        <v>#NUM!</v>
      </c>
      <c r="C236" s="171" t="e">
        <f t="shared" si="32"/>
        <v>#NUM!</v>
      </c>
      <c r="D236" s="171" t="e">
        <f t="shared" si="33"/>
        <v>#NUM!</v>
      </c>
      <c r="E236" s="171" t="e">
        <f t="shared" si="34"/>
        <v>#NUM!</v>
      </c>
      <c r="F236" s="171" t="e">
        <f t="shared" si="35"/>
        <v>#NUM!</v>
      </c>
      <c r="G236" s="186">
        <f>IF('prijem - EUR-viac-domacnosti'!$I$120=TRUE,IF($C$11&gt;0,0.00025*C235,0),IF('prijem - EUR-viac-domacnosti'!$I$121=TRUE,IF('prijem - EUR-viac-domacnosti'!$F$121&gt;0,0.00025*C235,0),0))</f>
        <v>0</v>
      </c>
      <c r="L236" s="89">
        <v>220</v>
      </c>
      <c r="M236" s="186" t="e">
        <f t="shared" si="36"/>
        <v>#DIV/0!</v>
      </c>
      <c r="N236" s="171" t="e">
        <f t="shared" si="37"/>
        <v>#DIV/0!</v>
      </c>
      <c r="O236" s="171" t="e">
        <f t="shared" si="30"/>
        <v>#DIV/0!</v>
      </c>
      <c r="P236" s="171" t="e">
        <f t="shared" si="38"/>
        <v>#DIV/0!</v>
      </c>
      <c r="Q236" s="171" t="e">
        <f t="shared" si="39"/>
        <v>#DIV/0!</v>
      </c>
      <c r="R236" s="186">
        <f>IF('prijem - EUR-viac-domacnosti'!$I$120=TRUE,IF($C$11&gt;0,0.00025*N235,0),IF('prijem - EUR-viac-domacnosti'!$I$121=TRUE,IF('prijem - EUR-viac-domacnosti'!$F$121&gt;0,0.00025*N235*-1,0),0))</f>
        <v>0</v>
      </c>
    </row>
    <row r="237" spans="1:18" x14ac:dyDescent="0.2">
      <c r="A237" s="89">
        <v>221</v>
      </c>
      <c r="B237" s="186" t="e">
        <f t="shared" si="31"/>
        <v>#NUM!</v>
      </c>
      <c r="C237" s="171" t="e">
        <f t="shared" si="32"/>
        <v>#NUM!</v>
      </c>
      <c r="D237" s="171" t="e">
        <f t="shared" si="33"/>
        <v>#NUM!</v>
      </c>
      <c r="E237" s="171" t="e">
        <f t="shared" si="34"/>
        <v>#NUM!</v>
      </c>
      <c r="F237" s="171" t="e">
        <f t="shared" si="35"/>
        <v>#NUM!</v>
      </c>
      <c r="G237" s="186">
        <f>IF('prijem - EUR-viac-domacnosti'!$I$120=TRUE,IF($C$11&gt;0,0.00025*C236,0),IF('prijem - EUR-viac-domacnosti'!$I$121=TRUE,IF('prijem - EUR-viac-domacnosti'!$F$121&gt;0,0.00025*C236,0),0))</f>
        <v>0</v>
      </c>
      <c r="L237" s="89">
        <v>221</v>
      </c>
      <c r="M237" s="186" t="e">
        <f t="shared" si="36"/>
        <v>#DIV/0!</v>
      </c>
      <c r="N237" s="171" t="e">
        <f t="shared" si="37"/>
        <v>#DIV/0!</v>
      </c>
      <c r="O237" s="171" t="e">
        <f t="shared" si="30"/>
        <v>#DIV/0!</v>
      </c>
      <c r="P237" s="171" t="e">
        <f t="shared" si="38"/>
        <v>#DIV/0!</v>
      </c>
      <c r="Q237" s="171" t="e">
        <f t="shared" si="39"/>
        <v>#DIV/0!</v>
      </c>
      <c r="R237" s="186">
        <f>IF('prijem - EUR-viac-domacnosti'!$I$120=TRUE,IF($C$11&gt;0,0.00025*N236,0),IF('prijem - EUR-viac-domacnosti'!$I$121=TRUE,IF('prijem - EUR-viac-domacnosti'!$F$121&gt;0,0.00025*N236*-1,0),0))</f>
        <v>0</v>
      </c>
    </row>
    <row r="238" spans="1:18" x14ac:dyDescent="0.2">
      <c r="A238" s="89">
        <v>222</v>
      </c>
      <c r="B238" s="186" t="e">
        <f t="shared" si="31"/>
        <v>#NUM!</v>
      </c>
      <c r="C238" s="171" t="e">
        <f t="shared" si="32"/>
        <v>#NUM!</v>
      </c>
      <c r="D238" s="171" t="e">
        <f t="shared" si="33"/>
        <v>#NUM!</v>
      </c>
      <c r="E238" s="171" t="e">
        <f t="shared" si="34"/>
        <v>#NUM!</v>
      </c>
      <c r="F238" s="171" t="e">
        <f t="shared" si="35"/>
        <v>#NUM!</v>
      </c>
      <c r="G238" s="186">
        <f>IF('prijem - EUR-viac-domacnosti'!$I$120=TRUE,IF($C$11&gt;0,0.00025*C237,0),IF('prijem - EUR-viac-domacnosti'!$I$121=TRUE,IF('prijem - EUR-viac-domacnosti'!$F$121&gt;0,0.00025*C237,0),0))</f>
        <v>0</v>
      </c>
      <c r="L238" s="89">
        <v>222</v>
      </c>
      <c r="M238" s="186" t="e">
        <f t="shared" si="36"/>
        <v>#DIV/0!</v>
      </c>
      <c r="N238" s="171" t="e">
        <f t="shared" si="37"/>
        <v>#DIV/0!</v>
      </c>
      <c r="O238" s="171" t="e">
        <f t="shared" si="30"/>
        <v>#DIV/0!</v>
      </c>
      <c r="P238" s="171" t="e">
        <f t="shared" si="38"/>
        <v>#DIV/0!</v>
      </c>
      <c r="Q238" s="171" t="e">
        <f t="shared" si="39"/>
        <v>#DIV/0!</v>
      </c>
      <c r="R238" s="186">
        <f>IF('prijem - EUR-viac-domacnosti'!$I$120=TRUE,IF($C$11&gt;0,0.00025*N237,0),IF('prijem - EUR-viac-domacnosti'!$I$121=TRUE,IF('prijem - EUR-viac-domacnosti'!$F$121&gt;0,0.00025*N237*-1,0),0))</f>
        <v>0</v>
      </c>
    </row>
    <row r="239" spans="1:18" x14ac:dyDescent="0.2">
      <c r="A239" s="89">
        <v>223</v>
      </c>
      <c r="B239" s="186" t="e">
        <f t="shared" si="31"/>
        <v>#NUM!</v>
      </c>
      <c r="C239" s="171" t="e">
        <f t="shared" si="32"/>
        <v>#NUM!</v>
      </c>
      <c r="D239" s="171" t="e">
        <f t="shared" si="33"/>
        <v>#NUM!</v>
      </c>
      <c r="E239" s="171" t="e">
        <f t="shared" si="34"/>
        <v>#NUM!</v>
      </c>
      <c r="F239" s="171" t="e">
        <f t="shared" si="35"/>
        <v>#NUM!</v>
      </c>
      <c r="G239" s="186">
        <f>IF('prijem - EUR-viac-domacnosti'!$I$120=TRUE,IF($C$11&gt;0,0.00025*C238,0),IF('prijem - EUR-viac-domacnosti'!$I$121=TRUE,IF('prijem - EUR-viac-domacnosti'!$F$121&gt;0,0.00025*C238,0),0))</f>
        <v>0</v>
      </c>
      <c r="L239" s="89">
        <v>223</v>
      </c>
      <c r="M239" s="186" t="e">
        <f t="shared" si="36"/>
        <v>#DIV/0!</v>
      </c>
      <c r="N239" s="171" t="e">
        <f t="shared" si="37"/>
        <v>#DIV/0!</v>
      </c>
      <c r="O239" s="171" t="e">
        <f t="shared" si="30"/>
        <v>#DIV/0!</v>
      </c>
      <c r="P239" s="171" t="e">
        <f t="shared" si="38"/>
        <v>#DIV/0!</v>
      </c>
      <c r="Q239" s="171" t="e">
        <f t="shared" si="39"/>
        <v>#DIV/0!</v>
      </c>
      <c r="R239" s="186">
        <f>IF('prijem - EUR-viac-domacnosti'!$I$120=TRUE,IF($C$11&gt;0,0.00025*N238,0),IF('prijem - EUR-viac-domacnosti'!$I$121=TRUE,IF('prijem - EUR-viac-domacnosti'!$F$121&gt;0,0.00025*N238*-1,0),0))</f>
        <v>0</v>
      </c>
    </row>
    <row r="240" spans="1:18" x14ac:dyDescent="0.2">
      <c r="A240" s="89">
        <v>224</v>
      </c>
      <c r="B240" s="186" t="e">
        <f t="shared" si="31"/>
        <v>#NUM!</v>
      </c>
      <c r="C240" s="171" t="e">
        <f t="shared" si="32"/>
        <v>#NUM!</v>
      </c>
      <c r="D240" s="171" t="e">
        <f t="shared" si="33"/>
        <v>#NUM!</v>
      </c>
      <c r="E240" s="171" t="e">
        <f t="shared" si="34"/>
        <v>#NUM!</v>
      </c>
      <c r="F240" s="171" t="e">
        <f t="shared" si="35"/>
        <v>#NUM!</v>
      </c>
      <c r="G240" s="186">
        <f>IF('prijem - EUR-viac-domacnosti'!$I$120=TRUE,IF($C$11&gt;0,0.00025*C239,0),IF('prijem - EUR-viac-domacnosti'!$I$121=TRUE,IF('prijem - EUR-viac-domacnosti'!$F$121&gt;0,0.00025*C239,0),0))</f>
        <v>0</v>
      </c>
      <c r="L240" s="89">
        <v>224</v>
      </c>
      <c r="M240" s="186" t="e">
        <f t="shared" si="36"/>
        <v>#DIV/0!</v>
      </c>
      <c r="N240" s="171" t="e">
        <f t="shared" si="37"/>
        <v>#DIV/0!</v>
      </c>
      <c r="O240" s="171" t="e">
        <f t="shared" si="30"/>
        <v>#DIV/0!</v>
      </c>
      <c r="P240" s="171" t="e">
        <f t="shared" si="38"/>
        <v>#DIV/0!</v>
      </c>
      <c r="Q240" s="171" t="e">
        <f t="shared" si="39"/>
        <v>#DIV/0!</v>
      </c>
      <c r="R240" s="186">
        <f>IF('prijem - EUR-viac-domacnosti'!$I$120=TRUE,IF($C$11&gt;0,0.00025*N239,0),IF('prijem - EUR-viac-domacnosti'!$I$121=TRUE,IF('prijem - EUR-viac-domacnosti'!$F$121&gt;0,0.00025*N239*-1,0),0))</f>
        <v>0</v>
      </c>
    </row>
    <row r="241" spans="1:18" x14ac:dyDescent="0.2">
      <c r="A241" s="89">
        <v>225</v>
      </c>
      <c r="B241" s="186" t="e">
        <f t="shared" si="31"/>
        <v>#NUM!</v>
      </c>
      <c r="C241" s="171" t="e">
        <f t="shared" si="32"/>
        <v>#NUM!</v>
      </c>
      <c r="D241" s="171" t="e">
        <f t="shared" si="33"/>
        <v>#NUM!</v>
      </c>
      <c r="E241" s="171" t="e">
        <f t="shared" si="34"/>
        <v>#NUM!</v>
      </c>
      <c r="F241" s="171" t="e">
        <f t="shared" si="35"/>
        <v>#NUM!</v>
      </c>
      <c r="G241" s="186">
        <f>IF('prijem - EUR-viac-domacnosti'!$I$120=TRUE,IF($C$11&gt;0,0.00025*C240,0),IF('prijem - EUR-viac-domacnosti'!$I$121=TRUE,IF('prijem - EUR-viac-domacnosti'!$F$121&gt;0,0.00025*C240,0),0))</f>
        <v>0</v>
      </c>
      <c r="L241" s="89">
        <v>225</v>
      </c>
      <c r="M241" s="186" t="e">
        <f t="shared" si="36"/>
        <v>#DIV/0!</v>
      </c>
      <c r="N241" s="171" t="e">
        <f t="shared" si="37"/>
        <v>#DIV/0!</v>
      </c>
      <c r="O241" s="171" t="e">
        <f t="shared" si="30"/>
        <v>#DIV/0!</v>
      </c>
      <c r="P241" s="171" t="e">
        <f t="shared" si="38"/>
        <v>#DIV/0!</v>
      </c>
      <c r="Q241" s="171" t="e">
        <f t="shared" si="39"/>
        <v>#DIV/0!</v>
      </c>
      <c r="R241" s="186">
        <f>IF('prijem - EUR-viac-domacnosti'!$I$120=TRUE,IF($C$11&gt;0,0.00025*N240,0),IF('prijem - EUR-viac-domacnosti'!$I$121=TRUE,IF('prijem - EUR-viac-domacnosti'!$F$121&gt;0,0.00025*N240*-1,0),0))</f>
        <v>0</v>
      </c>
    </row>
    <row r="242" spans="1:18" x14ac:dyDescent="0.2">
      <c r="A242" s="89">
        <v>226</v>
      </c>
      <c r="B242" s="186" t="e">
        <f t="shared" si="31"/>
        <v>#NUM!</v>
      </c>
      <c r="C242" s="171" t="e">
        <f t="shared" si="32"/>
        <v>#NUM!</v>
      </c>
      <c r="D242" s="171" t="e">
        <f t="shared" si="33"/>
        <v>#NUM!</v>
      </c>
      <c r="E242" s="171" t="e">
        <f t="shared" si="34"/>
        <v>#NUM!</v>
      </c>
      <c r="F242" s="171" t="e">
        <f t="shared" si="35"/>
        <v>#NUM!</v>
      </c>
      <c r="G242" s="186">
        <f>IF('prijem - EUR-viac-domacnosti'!$I$120=TRUE,IF($C$11&gt;0,0.00025*C241,0),IF('prijem - EUR-viac-domacnosti'!$I$121=TRUE,IF('prijem - EUR-viac-domacnosti'!$F$121&gt;0,0.00025*C241,0),0))</f>
        <v>0</v>
      </c>
      <c r="L242" s="89">
        <v>226</v>
      </c>
      <c r="M242" s="186" t="e">
        <f t="shared" si="36"/>
        <v>#DIV/0!</v>
      </c>
      <c r="N242" s="171" t="e">
        <f t="shared" si="37"/>
        <v>#DIV/0!</v>
      </c>
      <c r="O242" s="171" t="e">
        <f t="shared" si="30"/>
        <v>#DIV/0!</v>
      </c>
      <c r="P242" s="171" t="e">
        <f t="shared" si="38"/>
        <v>#DIV/0!</v>
      </c>
      <c r="Q242" s="171" t="e">
        <f t="shared" si="39"/>
        <v>#DIV/0!</v>
      </c>
      <c r="R242" s="186">
        <f>IF('prijem - EUR-viac-domacnosti'!$I$120=TRUE,IF($C$11&gt;0,0.00025*N241,0),IF('prijem - EUR-viac-domacnosti'!$I$121=TRUE,IF('prijem - EUR-viac-domacnosti'!$F$121&gt;0,0.00025*N241*-1,0),0))</f>
        <v>0</v>
      </c>
    </row>
    <row r="243" spans="1:18" x14ac:dyDescent="0.2">
      <c r="A243" s="89">
        <v>227</v>
      </c>
      <c r="B243" s="186" t="e">
        <f t="shared" si="31"/>
        <v>#NUM!</v>
      </c>
      <c r="C243" s="171" t="e">
        <f t="shared" si="32"/>
        <v>#NUM!</v>
      </c>
      <c r="D243" s="171" t="e">
        <f t="shared" si="33"/>
        <v>#NUM!</v>
      </c>
      <c r="E243" s="171" t="e">
        <f t="shared" si="34"/>
        <v>#NUM!</v>
      </c>
      <c r="F243" s="171" t="e">
        <f t="shared" si="35"/>
        <v>#NUM!</v>
      </c>
      <c r="G243" s="186">
        <f>IF('prijem - EUR-viac-domacnosti'!$I$120=TRUE,IF($C$11&gt;0,0.00025*C242,0),IF('prijem - EUR-viac-domacnosti'!$I$121=TRUE,IF('prijem - EUR-viac-domacnosti'!$F$121&gt;0,0.00025*C242,0),0))</f>
        <v>0</v>
      </c>
      <c r="L243" s="89">
        <v>227</v>
      </c>
      <c r="M243" s="186" t="e">
        <f t="shared" si="36"/>
        <v>#DIV/0!</v>
      </c>
      <c r="N243" s="171" t="e">
        <f t="shared" si="37"/>
        <v>#DIV/0!</v>
      </c>
      <c r="O243" s="171" t="e">
        <f t="shared" si="30"/>
        <v>#DIV/0!</v>
      </c>
      <c r="P243" s="171" t="e">
        <f t="shared" si="38"/>
        <v>#DIV/0!</v>
      </c>
      <c r="Q243" s="171" t="e">
        <f t="shared" si="39"/>
        <v>#DIV/0!</v>
      </c>
      <c r="R243" s="186">
        <f>IF('prijem - EUR-viac-domacnosti'!$I$120=TRUE,IF($C$11&gt;0,0.00025*N242,0),IF('prijem - EUR-viac-domacnosti'!$I$121=TRUE,IF('prijem - EUR-viac-domacnosti'!$F$121&gt;0,0.00025*N242*-1,0),0))</f>
        <v>0</v>
      </c>
    </row>
    <row r="244" spans="1:18" x14ac:dyDescent="0.2">
      <c r="A244" s="89">
        <v>228</v>
      </c>
      <c r="B244" s="186" t="e">
        <f t="shared" si="31"/>
        <v>#NUM!</v>
      </c>
      <c r="C244" s="171" t="e">
        <f t="shared" si="32"/>
        <v>#NUM!</v>
      </c>
      <c r="D244" s="171" t="e">
        <f t="shared" si="33"/>
        <v>#NUM!</v>
      </c>
      <c r="E244" s="171" t="e">
        <f t="shared" si="34"/>
        <v>#NUM!</v>
      </c>
      <c r="F244" s="171" t="e">
        <f t="shared" si="35"/>
        <v>#NUM!</v>
      </c>
      <c r="G244" s="186">
        <f>IF('prijem - EUR-viac-domacnosti'!$I$120=TRUE,IF($C$11&gt;0,0.00025*C243,0),IF('prijem - EUR-viac-domacnosti'!$I$121=TRUE,IF('prijem - EUR-viac-domacnosti'!$F$121&gt;0,0.00025*C243,0),0))</f>
        <v>0</v>
      </c>
      <c r="L244" s="89">
        <v>228</v>
      </c>
      <c r="M244" s="186" t="e">
        <f t="shared" si="36"/>
        <v>#DIV/0!</v>
      </c>
      <c r="N244" s="171" t="e">
        <f t="shared" si="37"/>
        <v>#DIV/0!</v>
      </c>
      <c r="O244" s="171" t="e">
        <f t="shared" si="30"/>
        <v>#DIV/0!</v>
      </c>
      <c r="P244" s="171" t="e">
        <f t="shared" si="38"/>
        <v>#DIV/0!</v>
      </c>
      <c r="Q244" s="171" t="e">
        <f t="shared" si="39"/>
        <v>#DIV/0!</v>
      </c>
      <c r="R244" s="186">
        <f>IF('prijem - EUR-viac-domacnosti'!$I$120=TRUE,IF($C$11&gt;0,0.00025*N243,0),IF('prijem - EUR-viac-domacnosti'!$I$121=TRUE,IF('prijem - EUR-viac-domacnosti'!$F$121&gt;0,0.00025*N243*-1,0),0))</f>
        <v>0</v>
      </c>
    </row>
    <row r="245" spans="1:18" x14ac:dyDescent="0.2">
      <c r="A245" s="89">
        <v>229</v>
      </c>
      <c r="B245" s="186" t="e">
        <f t="shared" si="31"/>
        <v>#NUM!</v>
      </c>
      <c r="C245" s="171" t="e">
        <f t="shared" si="32"/>
        <v>#NUM!</v>
      </c>
      <c r="D245" s="171" t="e">
        <f t="shared" si="33"/>
        <v>#NUM!</v>
      </c>
      <c r="E245" s="171" t="e">
        <f t="shared" si="34"/>
        <v>#NUM!</v>
      </c>
      <c r="F245" s="171" t="e">
        <f t="shared" si="35"/>
        <v>#NUM!</v>
      </c>
      <c r="G245" s="186">
        <f>IF('prijem - EUR-viac-domacnosti'!$I$120=TRUE,IF($C$11&gt;0,0.00025*C244,0),IF('prijem - EUR-viac-domacnosti'!$I$121=TRUE,IF('prijem - EUR-viac-domacnosti'!$F$121&gt;0,0.00025*C244,0),0))</f>
        <v>0</v>
      </c>
      <c r="L245" s="89">
        <v>229</v>
      </c>
      <c r="M245" s="186" t="e">
        <f t="shared" si="36"/>
        <v>#DIV/0!</v>
      </c>
      <c r="N245" s="171" t="e">
        <f t="shared" si="37"/>
        <v>#DIV/0!</v>
      </c>
      <c r="O245" s="171" t="e">
        <f t="shared" si="30"/>
        <v>#DIV/0!</v>
      </c>
      <c r="P245" s="171" t="e">
        <f t="shared" si="38"/>
        <v>#DIV/0!</v>
      </c>
      <c r="Q245" s="171" t="e">
        <f t="shared" si="39"/>
        <v>#DIV/0!</v>
      </c>
      <c r="R245" s="186">
        <f>IF('prijem - EUR-viac-domacnosti'!$I$120=TRUE,IF($C$11&gt;0,0.00025*N244,0),IF('prijem - EUR-viac-domacnosti'!$I$121=TRUE,IF('prijem - EUR-viac-domacnosti'!$F$121&gt;0,0.00025*N244*-1,0),0))</f>
        <v>0</v>
      </c>
    </row>
    <row r="246" spans="1:18" x14ac:dyDescent="0.2">
      <c r="A246" s="89">
        <v>230</v>
      </c>
      <c r="B246" s="186" t="e">
        <f t="shared" si="31"/>
        <v>#NUM!</v>
      </c>
      <c r="C246" s="171" t="e">
        <f t="shared" si="32"/>
        <v>#NUM!</v>
      </c>
      <c r="D246" s="171" t="e">
        <f t="shared" si="33"/>
        <v>#NUM!</v>
      </c>
      <c r="E246" s="171" t="e">
        <f t="shared" si="34"/>
        <v>#NUM!</v>
      </c>
      <c r="F246" s="171" t="e">
        <f t="shared" si="35"/>
        <v>#NUM!</v>
      </c>
      <c r="G246" s="186">
        <f>IF('prijem - EUR-viac-domacnosti'!$I$120=TRUE,IF($C$11&gt;0,0.00025*C245,0),IF('prijem - EUR-viac-domacnosti'!$I$121=TRUE,IF('prijem - EUR-viac-domacnosti'!$F$121&gt;0,0.00025*C245,0),0))</f>
        <v>0</v>
      </c>
      <c r="L246" s="89">
        <v>230</v>
      </c>
      <c r="M246" s="186" t="e">
        <f t="shared" si="36"/>
        <v>#DIV/0!</v>
      </c>
      <c r="N246" s="171" t="e">
        <f t="shared" si="37"/>
        <v>#DIV/0!</v>
      </c>
      <c r="O246" s="171" t="e">
        <f t="shared" si="30"/>
        <v>#DIV/0!</v>
      </c>
      <c r="P246" s="171" t="e">
        <f t="shared" si="38"/>
        <v>#DIV/0!</v>
      </c>
      <c r="Q246" s="171" t="e">
        <f t="shared" si="39"/>
        <v>#DIV/0!</v>
      </c>
      <c r="R246" s="186">
        <f>IF('prijem - EUR-viac-domacnosti'!$I$120=TRUE,IF($C$11&gt;0,0.00025*N245,0),IF('prijem - EUR-viac-domacnosti'!$I$121=TRUE,IF('prijem - EUR-viac-domacnosti'!$F$121&gt;0,0.00025*N245*-1,0),0))</f>
        <v>0</v>
      </c>
    </row>
    <row r="247" spans="1:18" x14ac:dyDescent="0.2">
      <c r="A247" s="89">
        <v>231</v>
      </c>
      <c r="B247" s="186" t="e">
        <f t="shared" si="31"/>
        <v>#NUM!</v>
      </c>
      <c r="C247" s="171" t="e">
        <f t="shared" si="32"/>
        <v>#NUM!</v>
      </c>
      <c r="D247" s="171" t="e">
        <f t="shared" si="33"/>
        <v>#NUM!</v>
      </c>
      <c r="E247" s="171" t="e">
        <f t="shared" si="34"/>
        <v>#NUM!</v>
      </c>
      <c r="F247" s="171" t="e">
        <f t="shared" si="35"/>
        <v>#NUM!</v>
      </c>
      <c r="G247" s="186">
        <f>IF('prijem - EUR-viac-domacnosti'!$I$120=TRUE,IF($C$11&gt;0,0.00025*C246,0),IF('prijem - EUR-viac-domacnosti'!$I$121=TRUE,IF('prijem - EUR-viac-domacnosti'!$F$121&gt;0,0.00025*C246,0),0))</f>
        <v>0</v>
      </c>
      <c r="L247" s="89">
        <v>231</v>
      </c>
      <c r="M247" s="186" t="e">
        <f t="shared" si="36"/>
        <v>#DIV/0!</v>
      </c>
      <c r="N247" s="171" t="e">
        <f t="shared" si="37"/>
        <v>#DIV/0!</v>
      </c>
      <c r="O247" s="171" t="e">
        <f t="shared" si="30"/>
        <v>#DIV/0!</v>
      </c>
      <c r="P247" s="171" t="e">
        <f t="shared" si="38"/>
        <v>#DIV/0!</v>
      </c>
      <c r="Q247" s="171" t="e">
        <f t="shared" si="39"/>
        <v>#DIV/0!</v>
      </c>
      <c r="R247" s="186">
        <f>IF('prijem - EUR-viac-domacnosti'!$I$120=TRUE,IF($C$11&gt;0,0.00025*N246,0),IF('prijem - EUR-viac-domacnosti'!$I$121=TRUE,IF('prijem - EUR-viac-domacnosti'!$F$121&gt;0,0.00025*N246*-1,0),0))</f>
        <v>0</v>
      </c>
    </row>
    <row r="248" spans="1:18" x14ac:dyDescent="0.2">
      <c r="A248" s="89">
        <v>232</v>
      </c>
      <c r="B248" s="186" t="e">
        <f t="shared" si="31"/>
        <v>#NUM!</v>
      </c>
      <c r="C248" s="171" t="e">
        <f t="shared" si="32"/>
        <v>#NUM!</v>
      </c>
      <c r="D248" s="171" t="e">
        <f t="shared" si="33"/>
        <v>#NUM!</v>
      </c>
      <c r="E248" s="171" t="e">
        <f t="shared" si="34"/>
        <v>#NUM!</v>
      </c>
      <c r="F248" s="171" t="e">
        <f t="shared" si="35"/>
        <v>#NUM!</v>
      </c>
      <c r="G248" s="186">
        <f>IF('prijem - EUR-viac-domacnosti'!$I$120=TRUE,IF($C$11&gt;0,0.00025*C247,0),IF('prijem - EUR-viac-domacnosti'!$I$121=TRUE,IF('prijem - EUR-viac-domacnosti'!$F$121&gt;0,0.00025*C247,0),0))</f>
        <v>0</v>
      </c>
      <c r="L248" s="89">
        <v>232</v>
      </c>
      <c r="M248" s="186" t="e">
        <f t="shared" si="36"/>
        <v>#DIV/0!</v>
      </c>
      <c r="N248" s="171" t="e">
        <f t="shared" si="37"/>
        <v>#DIV/0!</v>
      </c>
      <c r="O248" s="171" t="e">
        <f t="shared" si="30"/>
        <v>#DIV/0!</v>
      </c>
      <c r="P248" s="171" t="e">
        <f t="shared" si="38"/>
        <v>#DIV/0!</v>
      </c>
      <c r="Q248" s="171" t="e">
        <f t="shared" si="39"/>
        <v>#DIV/0!</v>
      </c>
      <c r="R248" s="186">
        <f>IF('prijem - EUR-viac-domacnosti'!$I$120=TRUE,IF($C$11&gt;0,0.00025*N247,0),IF('prijem - EUR-viac-domacnosti'!$I$121=TRUE,IF('prijem - EUR-viac-domacnosti'!$F$121&gt;0,0.00025*N247*-1,0),0))</f>
        <v>0</v>
      </c>
    </row>
    <row r="249" spans="1:18" x14ac:dyDescent="0.2">
      <c r="A249" s="89">
        <v>233</v>
      </c>
      <c r="B249" s="186" t="e">
        <f t="shared" si="31"/>
        <v>#NUM!</v>
      </c>
      <c r="C249" s="171" t="e">
        <f t="shared" si="32"/>
        <v>#NUM!</v>
      </c>
      <c r="D249" s="171" t="e">
        <f t="shared" si="33"/>
        <v>#NUM!</v>
      </c>
      <c r="E249" s="171" t="e">
        <f t="shared" si="34"/>
        <v>#NUM!</v>
      </c>
      <c r="F249" s="171" t="e">
        <f t="shared" si="35"/>
        <v>#NUM!</v>
      </c>
      <c r="G249" s="186">
        <f>IF('prijem - EUR-viac-domacnosti'!$I$120=TRUE,IF($C$11&gt;0,0.00025*C248,0),IF('prijem - EUR-viac-domacnosti'!$I$121=TRUE,IF('prijem - EUR-viac-domacnosti'!$F$121&gt;0,0.00025*C248,0),0))</f>
        <v>0</v>
      </c>
      <c r="L249" s="89">
        <v>233</v>
      </c>
      <c r="M249" s="186" t="e">
        <f t="shared" si="36"/>
        <v>#DIV/0!</v>
      </c>
      <c r="N249" s="171" t="e">
        <f t="shared" si="37"/>
        <v>#DIV/0!</v>
      </c>
      <c r="O249" s="171" t="e">
        <f t="shared" si="30"/>
        <v>#DIV/0!</v>
      </c>
      <c r="P249" s="171" t="e">
        <f t="shared" si="38"/>
        <v>#DIV/0!</v>
      </c>
      <c r="Q249" s="171" t="e">
        <f t="shared" si="39"/>
        <v>#DIV/0!</v>
      </c>
      <c r="R249" s="186">
        <f>IF('prijem - EUR-viac-domacnosti'!$I$120=TRUE,IF($C$11&gt;0,0.00025*N248,0),IF('prijem - EUR-viac-domacnosti'!$I$121=TRUE,IF('prijem - EUR-viac-domacnosti'!$F$121&gt;0,0.00025*N248*-1,0),0))</f>
        <v>0</v>
      </c>
    </row>
    <row r="250" spans="1:18" x14ac:dyDescent="0.2">
      <c r="A250" s="89">
        <v>234</v>
      </c>
      <c r="B250" s="186" t="e">
        <f t="shared" si="31"/>
        <v>#NUM!</v>
      </c>
      <c r="C250" s="171" t="e">
        <f t="shared" si="32"/>
        <v>#NUM!</v>
      </c>
      <c r="D250" s="171" t="e">
        <f t="shared" si="33"/>
        <v>#NUM!</v>
      </c>
      <c r="E250" s="171" t="e">
        <f t="shared" si="34"/>
        <v>#NUM!</v>
      </c>
      <c r="F250" s="171" t="e">
        <f t="shared" si="35"/>
        <v>#NUM!</v>
      </c>
      <c r="G250" s="186">
        <f>IF('prijem - EUR-viac-domacnosti'!$I$120=TRUE,IF($C$11&gt;0,0.00025*C249,0),IF('prijem - EUR-viac-domacnosti'!$I$121=TRUE,IF('prijem - EUR-viac-domacnosti'!$F$121&gt;0,0.00025*C249,0),0))</f>
        <v>0</v>
      </c>
      <c r="L250" s="89">
        <v>234</v>
      </c>
      <c r="M250" s="186" t="e">
        <f t="shared" si="36"/>
        <v>#DIV/0!</v>
      </c>
      <c r="N250" s="171" t="e">
        <f t="shared" si="37"/>
        <v>#DIV/0!</v>
      </c>
      <c r="O250" s="171" t="e">
        <f t="shared" si="30"/>
        <v>#DIV/0!</v>
      </c>
      <c r="P250" s="171" t="e">
        <f t="shared" si="38"/>
        <v>#DIV/0!</v>
      </c>
      <c r="Q250" s="171" t="e">
        <f t="shared" si="39"/>
        <v>#DIV/0!</v>
      </c>
      <c r="R250" s="186">
        <f>IF('prijem - EUR-viac-domacnosti'!$I$120=TRUE,IF($C$11&gt;0,0.00025*N249,0),IF('prijem - EUR-viac-domacnosti'!$I$121=TRUE,IF('prijem - EUR-viac-domacnosti'!$F$121&gt;0,0.00025*N249*-1,0),0))</f>
        <v>0</v>
      </c>
    </row>
    <row r="251" spans="1:18" x14ac:dyDescent="0.2">
      <c r="A251" s="89">
        <v>235</v>
      </c>
      <c r="B251" s="186" t="e">
        <f t="shared" si="31"/>
        <v>#NUM!</v>
      </c>
      <c r="C251" s="171" t="e">
        <f t="shared" si="32"/>
        <v>#NUM!</v>
      </c>
      <c r="D251" s="171" t="e">
        <f t="shared" si="33"/>
        <v>#NUM!</v>
      </c>
      <c r="E251" s="171" t="e">
        <f t="shared" si="34"/>
        <v>#NUM!</v>
      </c>
      <c r="F251" s="171" t="e">
        <f t="shared" si="35"/>
        <v>#NUM!</v>
      </c>
      <c r="G251" s="186">
        <f>IF('prijem - EUR-viac-domacnosti'!$I$120=TRUE,IF($C$11&gt;0,0.00025*C250,0),IF('prijem - EUR-viac-domacnosti'!$I$121=TRUE,IF('prijem - EUR-viac-domacnosti'!$F$121&gt;0,0.00025*C250,0),0))</f>
        <v>0</v>
      </c>
      <c r="L251" s="89">
        <v>235</v>
      </c>
      <c r="M251" s="186" t="e">
        <f t="shared" si="36"/>
        <v>#DIV/0!</v>
      </c>
      <c r="N251" s="171" t="e">
        <f t="shared" si="37"/>
        <v>#DIV/0!</v>
      </c>
      <c r="O251" s="171" t="e">
        <f t="shared" si="30"/>
        <v>#DIV/0!</v>
      </c>
      <c r="P251" s="171" t="e">
        <f t="shared" si="38"/>
        <v>#DIV/0!</v>
      </c>
      <c r="Q251" s="171" t="e">
        <f t="shared" si="39"/>
        <v>#DIV/0!</v>
      </c>
      <c r="R251" s="186">
        <f>IF('prijem - EUR-viac-domacnosti'!$I$120=TRUE,IF($C$11&gt;0,0.00025*N250,0),IF('prijem - EUR-viac-domacnosti'!$I$121=TRUE,IF('prijem - EUR-viac-domacnosti'!$F$121&gt;0,0.00025*N250*-1,0),0))</f>
        <v>0</v>
      </c>
    </row>
    <row r="252" spans="1:18" x14ac:dyDescent="0.2">
      <c r="A252" s="89">
        <v>236</v>
      </c>
      <c r="B252" s="186" t="e">
        <f t="shared" si="31"/>
        <v>#NUM!</v>
      </c>
      <c r="C252" s="171" t="e">
        <f t="shared" si="32"/>
        <v>#NUM!</v>
      </c>
      <c r="D252" s="171" t="e">
        <f t="shared" si="33"/>
        <v>#NUM!</v>
      </c>
      <c r="E252" s="171" t="e">
        <f t="shared" si="34"/>
        <v>#NUM!</v>
      </c>
      <c r="F252" s="171" t="e">
        <f t="shared" si="35"/>
        <v>#NUM!</v>
      </c>
      <c r="G252" s="186">
        <f>IF('prijem - EUR-viac-domacnosti'!$I$120=TRUE,IF($C$11&gt;0,0.00025*C251,0),IF('prijem - EUR-viac-domacnosti'!$I$121=TRUE,IF('prijem - EUR-viac-domacnosti'!$F$121&gt;0,0.00025*C251,0),0))</f>
        <v>0</v>
      </c>
      <c r="L252" s="89">
        <v>236</v>
      </c>
      <c r="M252" s="186" t="e">
        <f t="shared" si="36"/>
        <v>#DIV/0!</v>
      </c>
      <c r="N252" s="171" t="e">
        <f t="shared" si="37"/>
        <v>#DIV/0!</v>
      </c>
      <c r="O252" s="171" t="e">
        <f t="shared" si="30"/>
        <v>#DIV/0!</v>
      </c>
      <c r="P252" s="171" t="e">
        <f t="shared" si="38"/>
        <v>#DIV/0!</v>
      </c>
      <c r="Q252" s="171" t="e">
        <f t="shared" si="39"/>
        <v>#DIV/0!</v>
      </c>
      <c r="R252" s="186">
        <f>IF('prijem - EUR-viac-domacnosti'!$I$120=TRUE,IF($C$11&gt;0,0.00025*N251,0),IF('prijem - EUR-viac-domacnosti'!$I$121=TRUE,IF('prijem - EUR-viac-domacnosti'!$F$121&gt;0,0.00025*N251*-1,0),0))</f>
        <v>0</v>
      </c>
    </row>
    <row r="253" spans="1:18" x14ac:dyDescent="0.2">
      <c r="A253" s="89">
        <v>237</v>
      </c>
      <c r="B253" s="186" t="e">
        <f t="shared" si="31"/>
        <v>#NUM!</v>
      </c>
      <c r="C253" s="171" t="e">
        <f t="shared" si="32"/>
        <v>#NUM!</v>
      </c>
      <c r="D253" s="171" t="e">
        <f t="shared" si="33"/>
        <v>#NUM!</v>
      </c>
      <c r="E253" s="171" t="e">
        <f t="shared" si="34"/>
        <v>#NUM!</v>
      </c>
      <c r="F253" s="171" t="e">
        <f t="shared" si="35"/>
        <v>#NUM!</v>
      </c>
      <c r="G253" s="186">
        <f>IF('prijem - EUR-viac-domacnosti'!$I$120=TRUE,IF($C$11&gt;0,0.00025*C252,0),IF('prijem - EUR-viac-domacnosti'!$I$121=TRUE,IF('prijem - EUR-viac-domacnosti'!$F$121&gt;0,0.00025*C252,0),0))</f>
        <v>0</v>
      </c>
      <c r="L253" s="89">
        <v>237</v>
      </c>
      <c r="M253" s="186" t="e">
        <f t="shared" si="36"/>
        <v>#DIV/0!</v>
      </c>
      <c r="N253" s="171" t="e">
        <f t="shared" si="37"/>
        <v>#DIV/0!</v>
      </c>
      <c r="O253" s="171" t="e">
        <f t="shared" si="30"/>
        <v>#DIV/0!</v>
      </c>
      <c r="P253" s="171" t="e">
        <f t="shared" si="38"/>
        <v>#DIV/0!</v>
      </c>
      <c r="Q253" s="171" t="e">
        <f t="shared" si="39"/>
        <v>#DIV/0!</v>
      </c>
      <c r="R253" s="186">
        <f>IF('prijem - EUR-viac-domacnosti'!$I$120=TRUE,IF($C$11&gt;0,0.00025*N252,0),IF('prijem - EUR-viac-domacnosti'!$I$121=TRUE,IF('prijem - EUR-viac-domacnosti'!$F$121&gt;0,0.00025*N252*-1,0),0))</f>
        <v>0</v>
      </c>
    </row>
    <row r="254" spans="1:18" x14ac:dyDescent="0.2">
      <c r="A254" s="89">
        <v>238</v>
      </c>
      <c r="B254" s="186" t="e">
        <f t="shared" si="31"/>
        <v>#NUM!</v>
      </c>
      <c r="C254" s="171" t="e">
        <f t="shared" si="32"/>
        <v>#NUM!</v>
      </c>
      <c r="D254" s="171" t="e">
        <f t="shared" si="33"/>
        <v>#NUM!</v>
      </c>
      <c r="E254" s="171" t="e">
        <f t="shared" si="34"/>
        <v>#NUM!</v>
      </c>
      <c r="F254" s="171" t="e">
        <f t="shared" si="35"/>
        <v>#NUM!</v>
      </c>
      <c r="G254" s="186">
        <f>IF('prijem - EUR-viac-domacnosti'!$I$120=TRUE,IF($C$11&gt;0,0.00025*C253,0),IF('prijem - EUR-viac-domacnosti'!$I$121=TRUE,IF('prijem - EUR-viac-domacnosti'!$F$121&gt;0,0.00025*C253,0),0))</f>
        <v>0</v>
      </c>
      <c r="L254" s="89">
        <v>238</v>
      </c>
      <c r="M254" s="186" t="e">
        <f t="shared" si="36"/>
        <v>#DIV/0!</v>
      </c>
      <c r="N254" s="171" t="e">
        <f t="shared" si="37"/>
        <v>#DIV/0!</v>
      </c>
      <c r="O254" s="171" t="e">
        <f t="shared" si="30"/>
        <v>#DIV/0!</v>
      </c>
      <c r="P254" s="171" t="e">
        <f t="shared" si="38"/>
        <v>#DIV/0!</v>
      </c>
      <c r="Q254" s="171" t="e">
        <f t="shared" si="39"/>
        <v>#DIV/0!</v>
      </c>
      <c r="R254" s="186">
        <f>IF('prijem - EUR-viac-domacnosti'!$I$120=TRUE,IF($C$11&gt;0,0.00025*N253,0),IF('prijem - EUR-viac-domacnosti'!$I$121=TRUE,IF('prijem - EUR-viac-domacnosti'!$F$121&gt;0,0.00025*N253*-1,0),0))</f>
        <v>0</v>
      </c>
    </row>
    <row r="255" spans="1:18" x14ac:dyDescent="0.2">
      <c r="A255" s="89">
        <v>239</v>
      </c>
      <c r="B255" s="186" t="e">
        <f t="shared" si="31"/>
        <v>#NUM!</v>
      </c>
      <c r="C255" s="171" t="e">
        <f t="shared" si="32"/>
        <v>#NUM!</v>
      </c>
      <c r="D255" s="171" t="e">
        <f t="shared" si="33"/>
        <v>#NUM!</v>
      </c>
      <c r="E255" s="171" t="e">
        <f t="shared" si="34"/>
        <v>#NUM!</v>
      </c>
      <c r="F255" s="171" t="e">
        <f t="shared" si="35"/>
        <v>#NUM!</v>
      </c>
      <c r="G255" s="186">
        <f>IF('prijem - EUR-viac-domacnosti'!$I$120=TRUE,IF($C$11&gt;0,0.00025*C254,0),IF('prijem - EUR-viac-domacnosti'!$I$121=TRUE,IF('prijem - EUR-viac-domacnosti'!$F$121&gt;0,0.00025*C254,0),0))</f>
        <v>0</v>
      </c>
      <c r="L255" s="89">
        <v>239</v>
      </c>
      <c r="M255" s="186" t="e">
        <f t="shared" si="36"/>
        <v>#DIV/0!</v>
      </c>
      <c r="N255" s="171" t="e">
        <f t="shared" si="37"/>
        <v>#DIV/0!</v>
      </c>
      <c r="O255" s="171" t="e">
        <f t="shared" si="30"/>
        <v>#DIV/0!</v>
      </c>
      <c r="P255" s="171" t="e">
        <f t="shared" si="38"/>
        <v>#DIV/0!</v>
      </c>
      <c r="Q255" s="171" t="e">
        <f t="shared" si="39"/>
        <v>#DIV/0!</v>
      </c>
      <c r="R255" s="186">
        <f>IF('prijem - EUR-viac-domacnosti'!$I$120=TRUE,IF($C$11&gt;0,0.00025*N254,0),IF('prijem - EUR-viac-domacnosti'!$I$121=TRUE,IF('prijem - EUR-viac-domacnosti'!$F$121&gt;0,0.00025*N254*-1,0),0))</f>
        <v>0</v>
      </c>
    </row>
    <row r="256" spans="1:18" x14ac:dyDescent="0.2">
      <c r="A256" s="89">
        <v>240</v>
      </c>
      <c r="B256" s="186" t="e">
        <f t="shared" si="31"/>
        <v>#NUM!</v>
      </c>
      <c r="C256" s="171" t="e">
        <f t="shared" si="32"/>
        <v>#NUM!</v>
      </c>
      <c r="D256" s="171" t="e">
        <f t="shared" si="33"/>
        <v>#NUM!</v>
      </c>
      <c r="E256" s="171" t="e">
        <f t="shared" si="34"/>
        <v>#NUM!</v>
      </c>
      <c r="F256" s="171" t="e">
        <f t="shared" si="35"/>
        <v>#NUM!</v>
      </c>
      <c r="G256" s="186">
        <f>IF('prijem - EUR-viac-domacnosti'!$I$120=TRUE,IF($C$11&gt;0,0.00025*C255,0),IF('prijem - EUR-viac-domacnosti'!$I$121=TRUE,IF('prijem - EUR-viac-domacnosti'!$F$121&gt;0,0.00025*C255,0),0))</f>
        <v>0</v>
      </c>
      <c r="L256" s="89">
        <v>240</v>
      </c>
      <c r="M256" s="186" t="e">
        <f t="shared" si="36"/>
        <v>#DIV/0!</v>
      </c>
      <c r="N256" s="171" t="e">
        <f t="shared" si="37"/>
        <v>#DIV/0!</v>
      </c>
      <c r="O256" s="171" t="e">
        <f t="shared" si="30"/>
        <v>#DIV/0!</v>
      </c>
      <c r="P256" s="171" t="e">
        <f t="shared" si="38"/>
        <v>#DIV/0!</v>
      </c>
      <c r="Q256" s="171" t="e">
        <f t="shared" si="39"/>
        <v>#DIV/0!</v>
      </c>
      <c r="R256" s="186">
        <f>IF('prijem - EUR-viac-domacnosti'!$I$120=TRUE,IF($C$11&gt;0,0.00025*N255,0),IF('prijem - EUR-viac-domacnosti'!$I$121=TRUE,IF('prijem - EUR-viac-domacnosti'!$F$121&gt;0,0.00025*N255*-1,0),0))</f>
        <v>0</v>
      </c>
    </row>
    <row r="257" spans="1:18" x14ac:dyDescent="0.2">
      <c r="A257" s="89">
        <v>241</v>
      </c>
      <c r="B257" s="186" t="e">
        <f t="shared" si="31"/>
        <v>#NUM!</v>
      </c>
      <c r="C257" s="171" t="e">
        <f t="shared" si="32"/>
        <v>#NUM!</v>
      </c>
      <c r="D257" s="171" t="e">
        <f t="shared" si="33"/>
        <v>#NUM!</v>
      </c>
      <c r="E257" s="171" t="e">
        <f t="shared" si="34"/>
        <v>#NUM!</v>
      </c>
      <c r="F257" s="171" t="e">
        <f t="shared" si="35"/>
        <v>#NUM!</v>
      </c>
      <c r="G257" s="186">
        <f>IF('prijem - EUR-viac-domacnosti'!$I$120=TRUE,IF($C$11&gt;0,0.00025*C256,0),IF('prijem - EUR-viac-domacnosti'!$I$121=TRUE,IF('prijem - EUR-viac-domacnosti'!$F$121&gt;0,0.00025*C256,0),0))</f>
        <v>0</v>
      </c>
      <c r="L257" s="89">
        <v>241</v>
      </c>
      <c r="M257" s="186" t="e">
        <f t="shared" si="36"/>
        <v>#DIV/0!</v>
      </c>
      <c r="N257" s="171" t="e">
        <f t="shared" si="37"/>
        <v>#DIV/0!</v>
      </c>
      <c r="O257" s="171" t="e">
        <f t="shared" si="30"/>
        <v>#DIV/0!</v>
      </c>
      <c r="P257" s="171" t="e">
        <f t="shared" si="38"/>
        <v>#DIV/0!</v>
      </c>
      <c r="Q257" s="171" t="e">
        <f t="shared" si="39"/>
        <v>#DIV/0!</v>
      </c>
      <c r="R257" s="186">
        <f>IF('prijem - EUR-viac-domacnosti'!$I$120=TRUE,IF($C$11&gt;0,0.00025*N256,0),IF('prijem - EUR-viac-domacnosti'!$I$121=TRUE,IF('prijem - EUR-viac-domacnosti'!$F$121&gt;0,0.00025*N256*-1,0),0))</f>
        <v>0</v>
      </c>
    </row>
    <row r="258" spans="1:18" x14ac:dyDescent="0.2">
      <c r="A258" s="89">
        <v>242</v>
      </c>
      <c r="B258" s="186" t="e">
        <f t="shared" si="31"/>
        <v>#NUM!</v>
      </c>
      <c r="C258" s="171" t="e">
        <f t="shared" si="32"/>
        <v>#NUM!</v>
      </c>
      <c r="D258" s="171" t="e">
        <f t="shared" si="33"/>
        <v>#NUM!</v>
      </c>
      <c r="E258" s="171" t="e">
        <f t="shared" si="34"/>
        <v>#NUM!</v>
      </c>
      <c r="F258" s="171" t="e">
        <f t="shared" si="35"/>
        <v>#NUM!</v>
      </c>
      <c r="G258" s="186">
        <f>IF('prijem - EUR-viac-domacnosti'!$I$120=TRUE,IF($C$11&gt;0,0.00025*C257,0),IF('prijem - EUR-viac-domacnosti'!$I$121=TRUE,IF('prijem - EUR-viac-domacnosti'!$F$121&gt;0,0.00025*C257,0),0))</f>
        <v>0</v>
      </c>
      <c r="L258" s="89">
        <v>242</v>
      </c>
      <c r="M258" s="186" t="e">
        <f t="shared" si="36"/>
        <v>#DIV/0!</v>
      </c>
      <c r="N258" s="171" t="e">
        <f t="shared" si="37"/>
        <v>#DIV/0!</v>
      </c>
      <c r="O258" s="171" t="e">
        <f t="shared" si="30"/>
        <v>#DIV/0!</v>
      </c>
      <c r="P258" s="171" t="e">
        <f t="shared" si="38"/>
        <v>#DIV/0!</v>
      </c>
      <c r="Q258" s="171" t="e">
        <f t="shared" si="39"/>
        <v>#DIV/0!</v>
      </c>
      <c r="R258" s="186">
        <f>IF('prijem - EUR-viac-domacnosti'!$I$120=TRUE,IF($C$11&gt;0,0.00025*N257,0),IF('prijem - EUR-viac-domacnosti'!$I$121=TRUE,IF('prijem - EUR-viac-domacnosti'!$F$121&gt;0,0.00025*N257*-1,0),0))</f>
        <v>0</v>
      </c>
    </row>
    <row r="259" spans="1:18" x14ac:dyDescent="0.2">
      <c r="A259" s="89">
        <v>243</v>
      </c>
      <c r="B259" s="186" t="e">
        <f t="shared" si="31"/>
        <v>#NUM!</v>
      </c>
      <c r="C259" s="171" t="e">
        <f t="shared" si="32"/>
        <v>#NUM!</v>
      </c>
      <c r="D259" s="171" t="e">
        <f t="shared" si="33"/>
        <v>#NUM!</v>
      </c>
      <c r="E259" s="171" t="e">
        <f t="shared" si="34"/>
        <v>#NUM!</v>
      </c>
      <c r="F259" s="171" t="e">
        <f t="shared" si="35"/>
        <v>#NUM!</v>
      </c>
      <c r="G259" s="186">
        <f>IF('prijem - EUR-viac-domacnosti'!$I$120=TRUE,IF($C$11&gt;0,0.00025*C258,0),IF('prijem - EUR-viac-domacnosti'!$I$121=TRUE,IF('prijem - EUR-viac-domacnosti'!$F$121&gt;0,0.00025*C258,0),0))</f>
        <v>0</v>
      </c>
      <c r="L259" s="89">
        <v>243</v>
      </c>
      <c r="M259" s="186" t="e">
        <f t="shared" si="36"/>
        <v>#DIV/0!</v>
      </c>
      <c r="N259" s="171" t="e">
        <f t="shared" si="37"/>
        <v>#DIV/0!</v>
      </c>
      <c r="O259" s="171" t="e">
        <f t="shared" si="30"/>
        <v>#DIV/0!</v>
      </c>
      <c r="P259" s="171" t="e">
        <f t="shared" si="38"/>
        <v>#DIV/0!</v>
      </c>
      <c r="Q259" s="171" t="e">
        <f t="shared" si="39"/>
        <v>#DIV/0!</v>
      </c>
      <c r="R259" s="186">
        <f>IF('prijem - EUR-viac-domacnosti'!$I$120=TRUE,IF($C$11&gt;0,0.00025*N258,0),IF('prijem - EUR-viac-domacnosti'!$I$121=TRUE,IF('prijem - EUR-viac-domacnosti'!$F$121&gt;0,0.00025*N258*-1,0),0))</f>
        <v>0</v>
      </c>
    </row>
    <row r="260" spans="1:18" x14ac:dyDescent="0.2">
      <c r="A260" s="89">
        <v>244</v>
      </c>
      <c r="B260" s="186" t="e">
        <f t="shared" si="31"/>
        <v>#NUM!</v>
      </c>
      <c r="C260" s="171" t="e">
        <f t="shared" si="32"/>
        <v>#NUM!</v>
      </c>
      <c r="D260" s="171" t="e">
        <f t="shared" si="33"/>
        <v>#NUM!</v>
      </c>
      <c r="E260" s="171" t="e">
        <f t="shared" si="34"/>
        <v>#NUM!</v>
      </c>
      <c r="F260" s="171" t="e">
        <f t="shared" si="35"/>
        <v>#NUM!</v>
      </c>
      <c r="G260" s="186">
        <f>IF('prijem - EUR-viac-domacnosti'!$I$120=TRUE,IF($C$11&gt;0,0.00025*C259,0),IF('prijem - EUR-viac-domacnosti'!$I$121=TRUE,IF('prijem - EUR-viac-domacnosti'!$F$121&gt;0,0.00025*C259,0),0))</f>
        <v>0</v>
      </c>
      <c r="L260" s="89">
        <v>244</v>
      </c>
      <c r="M260" s="186" t="e">
        <f t="shared" si="36"/>
        <v>#DIV/0!</v>
      </c>
      <c r="N260" s="171" t="e">
        <f t="shared" si="37"/>
        <v>#DIV/0!</v>
      </c>
      <c r="O260" s="171" t="e">
        <f t="shared" si="30"/>
        <v>#DIV/0!</v>
      </c>
      <c r="P260" s="171" t="e">
        <f t="shared" si="38"/>
        <v>#DIV/0!</v>
      </c>
      <c r="Q260" s="171" t="e">
        <f t="shared" si="39"/>
        <v>#DIV/0!</v>
      </c>
      <c r="R260" s="186">
        <f>IF('prijem - EUR-viac-domacnosti'!$I$120=TRUE,IF($C$11&gt;0,0.00025*N259,0),IF('prijem - EUR-viac-domacnosti'!$I$121=TRUE,IF('prijem - EUR-viac-domacnosti'!$F$121&gt;0,0.00025*N259*-1,0),0))</f>
        <v>0</v>
      </c>
    </row>
    <row r="261" spans="1:18" x14ac:dyDescent="0.2">
      <c r="A261" s="89">
        <v>245</v>
      </c>
      <c r="B261" s="186" t="e">
        <f t="shared" si="31"/>
        <v>#NUM!</v>
      </c>
      <c r="C261" s="171" t="e">
        <f t="shared" si="32"/>
        <v>#NUM!</v>
      </c>
      <c r="D261" s="171" t="e">
        <f t="shared" si="33"/>
        <v>#NUM!</v>
      </c>
      <c r="E261" s="171" t="e">
        <f t="shared" si="34"/>
        <v>#NUM!</v>
      </c>
      <c r="F261" s="171" t="e">
        <f t="shared" si="35"/>
        <v>#NUM!</v>
      </c>
      <c r="G261" s="186">
        <f>IF('prijem - EUR-viac-domacnosti'!$I$120=TRUE,IF($C$11&gt;0,0.00025*C260,0),IF('prijem - EUR-viac-domacnosti'!$I$121=TRUE,IF('prijem - EUR-viac-domacnosti'!$F$121&gt;0,0.00025*C260,0),0))</f>
        <v>0</v>
      </c>
      <c r="L261" s="89">
        <v>245</v>
      </c>
      <c r="M261" s="186" t="e">
        <f t="shared" si="36"/>
        <v>#DIV/0!</v>
      </c>
      <c r="N261" s="171" t="e">
        <f t="shared" si="37"/>
        <v>#DIV/0!</v>
      </c>
      <c r="O261" s="171" t="e">
        <f t="shared" si="30"/>
        <v>#DIV/0!</v>
      </c>
      <c r="P261" s="171" t="e">
        <f t="shared" si="38"/>
        <v>#DIV/0!</v>
      </c>
      <c r="Q261" s="171" t="e">
        <f t="shared" si="39"/>
        <v>#DIV/0!</v>
      </c>
      <c r="R261" s="186">
        <f>IF('prijem - EUR-viac-domacnosti'!$I$120=TRUE,IF($C$11&gt;0,0.00025*N260,0),IF('prijem - EUR-viac-domacnosti'!$I$121=TRUE,IF('prijem - EUR-viac-domacnosti'!$F$121&gt;0,0.00025*N260*-1,0),0))</f>
        <v>0</v>
      </c>
    </row>
    <row r="262" spans="1:18" x14ac:dyDescent="0.2">
      <c r="A262" s="89">
        <v>246</v>
      </c>
      <c r="B262" s="186" t="e">
        <f t="shared" si="31"/>
        <v>#NUM!</v>
      </c>
      <c r="C262" s="171" t="e">
        <f t="shared" si="32"/>
        <v>#NUM!</v>
      </c>
      <c r="D262" s="171" t="e">
        <f t="shared" si="33"/>
        <v>#NUM!</v>
      </c>
      <c r="E262" s="171" t="e">
        <f t="shared" si="34"/>
        <v>#NUM!</v>
      </c>
      <c r="F262" s="171" t="e">
        <f t="shared" si="35"/>
        <v>#NUM!</v>
      </c>
      <c r="G262" s="186">
        <f>IF('prijem - EUR-viac-domacnosti'!$I$120=TRUE,IF($C$11&gt;0,0.00025*C261,0),IF('prijem - EUR-viac-domacnosti'!$I$121=TRUE,IF('prijem - EUR-viac-domacnosti'!$F$121&gt;0,0.00025*C261,0),0))</f>
        <v>0</v>
      </c>
      <c r="L262" s="89">
        <v>246</v>
      </c>
      <c r="M262" s="186" t="e">
        <f t="shared" si="36"/>
        <v>#DIV/0!</v>
      </c>
      <c r="N262" s="171" t="e">
        <f t="shared" si="37"/>
        <v>#DIV/0!</v>
      </c>
      <c r="O262" s="171" t="e">
        <f t="shared" si="30"/>
        <v>#DIV/0!</v>
      </c>
      <c r="P262" s="171" t="e">
        <f t="shared" si="38"/>
        <v>#DIV/0!</v>
      </c>
      <c r="Q262" s="171" t="e">
        <f t="shared" si="39"/>
        <v>#DIV/0!</v>
      </c>
      <c r="R262" s="186">
        <f>IF('prijem - EUR-viac-domacnosti'!$I$120=TRUE,IF($C$11&gt;0,0.00025*N261,0),IF('prijem - EUR-viac-domacnosti'!$I$121=TRUE,IF('prijem - EUR-viac-domacnosti'!$F$121&gt;0,0.00025*N261*-1,0),0))</f>
        <v>0</v>
      </c>
    </row>
    <row r="263" spans="1:18" x14ac:dyDescent="0.2">
      <c r="A263" s="89">
        <v>247</v>
      </c>
      <c r="B263" s="186" t="e">
        <f t="shared" si="31"/>
        <v>#NUM!</v>
      </c>
      <c r="C263" s="171" t="e">
        <f t="shared" si="32"/>
        <v>#NUM!</v>
      </c>
      <c r="D263" s="171" t="e">
        <f t="shared" si="33"/>
        <v>#NUM!</v>
      </c>
      <c r="E263" s="171" t="e">
        <f t="shared" si="34"/>
        <v>#NUM!</v>
      </c>
      <c r="F263" s="171" t="e">
        <f t="shared" si="35"/>
        <v>#NUM!</v>
      </c>
      <c r="G263" s="186">
        <f>IF('prijem - EUR-viac-domacnosti'!$I$120=TRUE,IF($C$11&gt;0,0.00025*C262,0),IF('prijem - EUR-viac-domacnosti'!$I$121=TRUE,IF('prijem - EUR-viac-domacnosti'!$F$121&gt;0,0.00025*C262,0),0))</f>
        <v>0</v>
      </c>
      <c r="L263" s="89">
        <v>247</v>
      </c>
      <c r="M263" s="186" t="e">
        <f t="shared" si="36"/>
        <v>#DIV/0!</v>
      </c>
      <c r="N263" s="171" t="e">
        <f t="shared" si="37"/>
        <v>#DIV/0!</v>
      </c>
      <c r="O263" s="171" t="e">
        <f t="shared" si="30"/>
        <v>#DIV/0!</v>
      </c>
      <c r="P263" s="171" t="e">
        <f t="shared" si="38"/>
        <v>#DIV/0!</v>
      </c>
      <c r="Q263" s="171" t="e">
        <f t="shared" si="39"/>
        <v>#DIV/0!</v>
      </c>
      <c r="R263" s="186">
        <f>IF('prijem - EUR-viac-domacnosti'!$I$120=TRUE,IF($C$11&gt;0,0.00025*N262,0),IF('prijem - EUR-viac-domacnosti'!$I$121=TRUE,IF('prijem - EUR-viac-domacnosti'!$F$121&gt;0,0.00025*N262*-1,0),0))</f>
        <v>0</v>
      </c>
    </row>
    <row r="264" spans="1:18" x14ac:dyDescent="0.2">
      <c r="A264" s="89">
        <v>248</v>
      </c>
      <c r="B264" s="186" t="e">
        <f t="shared" si="31"/>
        <v>#NUM!</v>
      </c>
      <c r="C264" s="171" t="e">
        <f t="shared" si="32"/>
        <v>#NUM!</v>
      </c>
      <c r="D264" s="171" t="e">
        <f t="shared" si="33"/>
        <v>#NUM!</v>
      </c>
      <c r="E264" s="171" t="e">
        <f t="shared" si="34"/>
        <v>#NUM!</v>
      </c>
      <c r="F264" s="171" t="e">
        <f t="shared" si="35"/>
        <v>#NUM!</v>
      </c>
      <c r="G264" s="186">
        <f>IF('prijem - EUR-viac-domacnosti'!$I$120=TRUE,IF($C$11&gt;0,0.00025*C263,0),IF('prijem - EUR-viac-domacnosti'!$I$121=TRUE,IF('prijem - EUR-viac-domacnosti'!$F$121&gt;0,0.00025*C263,0),0))</f>
        <v>0</v>
      </c>
      <c r="L264" s="89">
        <v>248</v>
      </c>
      <c r="M264" s="186" t="e">
        <f t="shared" si="36"/>
        <v>#DIV/0!</v>
      </c>
      <c r="N264" s="171" t="e">
        <f t="shared" si="37"/>
        <v>#DIV/0!</v>
      </c>
      <c r="O264" s="171" t="e">
        <f t="shared" si="30"/>
        <v>#DIV/0!</v>
      </c>
      <c r="P264" s="171" t="e">
        <f t="shared" si="38"/>
        <v>#DIV/0!</v>
      </c>
      <c r="Q264" s="171" t="e">
        <f t="shared" si="39"/>
        <v>#DIV/0!</v>
      </c>
      <c r="R264" s="186">
        <f>IF('prijem - EUR-viac-domacnosti'!$I$120=TRUE,IF($C$11&gt;0,0.00025*N263,0),IF('prijem - EUR-viac-domacnosti'!$I$121=TRUE,IF('prijem - EUR-viac-domacnosti'!$F$121&gt;0,0.00025*N263*-1,0),0))</f>
        <v>0</v>
      </c>
    </row>
    <row r="265" spans="1:18" x14ac:dyDescent="0.2">
      <c r="A265" s="89">
        <v>249</v>
      </c>
      <c r="B265" s="186" t="e">
        <f t="shared" si="31"/>
        <v>#NUM!</v>
      </c>
      <c r="C265" s="171" t="e">
        <f t="shared" si="32"/>
        <v>#NUM!</v>
      </c>
      <c r="D265" s="171" t="e">
        <f t="shared" si="33"/>
        <v>#NUM!</v>
      </c>
      <c r="E265" s="171" t="e">
        <f t="shared" si="34"/>
        <v>#NUM!</v>
      </c>
      <c r="F265" s="171" t="e">
        <f t="shared" si="35"/>
        <v>#NUM!</v>
      </c>
      <c r="G265" s="186">
        <f>IF('prijem - EUR-viac-domacnosti'!$I$120=TRUE,IF($C$11&gt;0,0.00025*C264,0),IF('prijem - EUR-viac-domacnosti'!$I$121=TRUE,IF('prijem - EUR-viac-domacnosti'!$F$121&gt;0,0.00025*C264,0),0))</f>
        <v>0</v>
      </c>
      <c r="L265" s="89">
        <v>249</v>
      </c>
      <c r="M265" s="186" t="e">
        <f t="shared" si="36"/>
        <v>#DIV/0!</v>
      </c>
      <c r="N265" s="171" t="e">
        <f t="shared" si="37"/>
        <v>#DIV/0!</v>
      </c>
      <c r="O265" s="171" t="e">
        <f t="shared" si="30"/>
        <v>#DIV/0!</v>
      </c>
      <c r="P265" s="171" t="e">
        <f t="shared" si="38"/>
        <v>#DIV/0!</v>
      </c>
      <c r="Q265" s="171" t="e">
        <f t="shared" si="39"/>
        <v>#DIV/0!</v>
      </c>
      <c r="R265" s="186">
        <f>IF('prijem - EUR-viac-domacnosti'!$I$120=TRUE,IF($C$11&gt;0,0.00025*N264,0),IF('prijem - EUR-viac-domacnosti'!$I$121=TRUE,IF('prijem - EUR-viac-domacnosti'!$F$121&gt;0,0.00025*N264*-1,0),0))</f>
        <v>0</v>
      </c>
    </row>
    <row r="266" spans="1:18" x14ac:dyDescent="0.2">
      <c r="A266" s="89">
        <v>250</v>
      </c>
      <c r="B266" s="186" t="e">
        <f t="shared" si="31"/>
        <v>#NUM!</v>
      </c>
      <c r="C266" s="171" t="e">
        <f t="shared" si="32"/>
        <v>#NUM!</v>
      </c>
      <c r="D266" s="171" t="e">
        <f t="shared" si="33"/>
        <v>#NUM!</v>
      </c>
      <c r="E266" s="171" t="e">
        <f t="shared" si="34"/>
        <v>#NUM!</v>
      </c>
      <c r="F266" s="171" t="e">
        <f t="shared" si="35"/>
        <v>#NUM!</v>
      </c>
      <c r="G266" s="186">
        <f>IF('prijem - EUR-viac-domacnosti'!$I$120=TRUE,IF($C$11&gt;0,0.00025*C265,0),IF('prijem - EUR-viac-domacnosti'!$I$121=TRUE,IF('prijem - EUR-viac-domacnosti'!$F$121&gt;0,0.00025*C265,0),0))</f>
        <v>0</v>
      </c>
      <c r="L266" s="89">
        <v>250</v>
      </c>
      <c r="M266" s="186" t="e">
        <f t="shared" si="36"/>
        <v>#DIV/0!</v>
      </c>
      <c r="N266" s="171" t="e">
        <f t="shared" si="37"/>
        <v>#DIV/0!</v>
      </c>
      <c r="O266" s="171" t="e">
        <f t="shared" si="30"/>
        <v>#DIV/0!</v>
      </c>
      <c r="P266" s="171" t="e">
        <f t="shared" si="38"/>
        <v>#DIV/0!</v>
      </c>
      <c r="Q266" s="171" t="e">
        <f t="shared" si="39"/>
        <v>#DIV/0!</v>
      </c>
      <c r="R266" s="186">
        <f>IF('prijem - EUR-viac-domacnosti'!$I$120=TRUE,IF($C$11&gt;0,0.00025*N265,0),IF('prijem - EUR-viac-domacnosti'!$I$121=TRUE,IF('prijem - EUR-viac-domacnosti'!$F$121&gt;0,0.00025*N265*-1,0),0))</f>
        <v>0</v>
      </c>
    </row>
    <row r="267" spans="1:18" x14ac:dyDescent="0.2">
      <c r="A267" s="89">
        <v>251</v>
      </c>
      <c r="B267" s="186" t="e">
        <f t="shared" si="31"/>
        <v>#NUM!</v>
      </c>
      <c r="C267" s="171" t="e">
        <f t="shared" si="32"/>
        <v>#NUM!</v>
      </c>
      <c r="D267" s="171" t="e">
        <f t="shared" si="33"/>
        <v>#NUM!</v>
      </c>
      <c r="E267" s="171" t="e">
        <f t="shared" si="34"/>
        <v>#NUM!</v>
      </c>
      <c r="F267" s="171" t="e">
        <f t="shared" si="35"/>
        <v>#NUM!</v>
      </c>
      <c r="G267" s="186">
        <f>IF('prijem - EUR-viac-domacnosti'!$I$120=TRUE,IF($C$11&gt;0,0.00025*C266,0),IF('prijem - EUR-viac-domacnosti'!$I$121=TRUE,IF('prijem - EUR-viac-domacnosti'!$F$121&gt;0,0.00025*C266,0),0))</f>
        <v>0</v>
      </c>
      <c r="L267" s="89">
        <v>251</v>
      </c>
      <c r="M267" s="186" t="e">
        <f t="shared" si="36"/>
        <v>#DIV/0!</v>
      </c>
      <c r="N267" s="171" t="e">
        <f t="shared" si="37"/>
        <v>#DIV/0!</v>
      </c>
      <c r="O267" s="171" t="e">
        <f t="shared" si="30"/>
        <v>#DIV/0!</v>
      </c>
      <c r="P267" s="171" t="e">
        <f t="shared" si="38"/>
        <v>#DIV/0!</v>
      </c>
      <c r="Q267" s="171" t="e">
        <f t="shared" si="39"/>
        <v>#DIV/0!</v>
      </c>
      <c r="R267" s="186">
        <f>IF('prijem - EUR-viac-domacnosti'!$I$120=TRUE,IF($C$11&gt;0,0.00025*N266,0),IF('prijem - EUR-viac-domacnosti'!$I$121=TRUE,IF('prijem - EUR-viac-domacnosti'!$F$121&gt;0,0.00025*N266*-1,0),0))</f>
        <v>0</v>
      </c>
    </row>
    <row r="268" spans="1:18" x14ac:dyDescent="0.2">
      <c r="A268" s="89">
        <v>252</v>
      </c>
      <c r="B268" s="186" t="e">
        <f t="shared" si="31"/>
        <v>#NUM!</v>
      </c>
      <c r="C268" s="171" t="e">
        <f t="shared" si="32"/>
        <v>#NUM!</v>
      </c>
      <c r="D268" s="171" t="e">
        <f t="shared" si="33"/>
        <v>#NUM!</v>
      </c>
      <c r="E268" s="171" t="e">
        <f t="shared" si="34"/>
        <v>#NUM!</v>
      </c>
      <c r="F268" s="171" t="e">
        <f t="shared" si="35"/>
        <v>#NUM!</v>
      </c>
      <c r="G268" s="186">
        <f>IF('prijem - EUR-viac-domacnosti'!$I$120=TRUE,IF($C$11&gt;0,0.00025*C267,0),IF('prijem - EUR-viac-domacnosti'!$I$121=TRUE,IF('prijem - EUR-viac-domacnosti'!$F$121&gt;0,0.00025*C267,0),0))</f>
        <v>0</v>
      </c>
      <c r="L268" s="89">
        <v>252</v>
      </c>
      <c r="M268" s="186" t="e">
        <f t="shared" si="36"/>
        <v>#DIV/0!</v>
      </c>
      <c r="N268" s="171" t="e">
        <f t="shared" si="37"/>
        <v>#DIV/0!</v>
      </c>
      <c r="O268" s="171" t="e">
        <f t="shared" si="30"/>
        <v>#DIV/0!</v>
      </c>
      <c r="P268" s="171" t="e">
        <f t="shared" si="38"/>
        <v>#DIV/0!</v>
      </c>
      <c r="Q268" s="171" t="e">
        <f t="shared" si="39"/>
        <v>#DIV/0!</v>
      </c>
      <c r="R268" s="186">
        <f>IF('prijem - EUR-viac-domacnosti'!$I$120=TRUE,IF($C$11&gt;0,0.00025*N267,0),IF('prijem - EUR-viac-domacnosti'!$I$121=TRUE,IF('prijem - EUR-viac-domacnosti'!$F$121&gt;0,0.00025*N267*-1,0),0))</f>
        <v>0</v>
      </c>
    </row>
    <row r="269" spans="1:18" x14ac:dyDescent="0.2">
      <c r="A269" s="89">
        <v>253</v>
      </c>
      <c r="B269" s="186" t="e">
        <f t="shared" si="31"/>
        <v>#NUM!</v>
      </c>
      <c r="C269" s="171" t="e">
        <f t="shared" si="32"/>
        <v>#NUM!</v>
      </c>
      <c r="D269" s="171" t="e">
        <f t="shared" si="33"/>
        <v>#NUM!</v>
      </c>
      <c r="E269" s="171" t="e">
        <f t="shared" si="34"/>
        <v>#NUM!</v>
      </c>
      <c r="F269" s="171" t="e">
        <f t="shared" si="35"/>
        <v>#NUM!</v>
      </c>
      <c r="G269" s="186">
        <f>IF('prijem - EUR-viac-domacnosti'!$I$120=TRUE,IF($C$11&gt;0,0.00025*C268,0),IF('prijem - EUR-viac-domacnosti'!$I$121=TRUE,IF('prijem - EUR-viac-domacnosti'!$F$121&gt;0,0.00025*C268,0),0))</f>
        <v>0</v>
      </c>
      <c r="L269" s="89">
        <v>253</v>
      </c>
      <c r="M269" s="186" t="e">
        <f t="shared" si="36"/>
        <v>#DIV/0!</v>
      </c>
      <c r="N269" s="171" t="e">
        <f t="shared" si="37"/>
        <v>#DIV/0!</v>
      </c>
      <c r="O269" s="171" t="e">
        <f t="shared" si="30"/>
        <v>#DIV/0!</v>
      </c>
      <c r="P269" s="171" t="e">
        <f t="shared" si="38"/>
        <v>#DIV/0!</v>
      </c>
      <c r="Q269" s="171" t="e">
        <f t="shared" si="39"/>
        <v>#DIV/0!</v>
      </c>
      <c r="R269" s="186">
        <f>IF('prijem - EUR-viac-domacnosti'!$I$120=TRUE,IF($C$11&gt;0,0.00025*N268,0),IF('prijem - EUR-viac-domacnosti'!$I$121=TRUE,IF('prijem - EUR-viac-domacnosti'!$F$121&gt;0,0.00025*N268*-1,0),0))</f>
        <v>0</v>
      </c>
    </row>
    <row r="270" spans="1:18" x14ac:dyDescent="0.2">
      <c r="A270" s="89">
        <v>254</v>
      </c>
      <c r="B270" s="186" t="e">
        <f t="shared" si="31"/>
        <v>#NUM!</v>
      </c>
      <c r="C270" s="171" t="e">
        <f t="shared" si="32"/>
        <v>#NUM!</v>
      </c>
      <c r="D270" s="171" t="e">
        <f t="shared" si="33"/>
        <v>#NUM!</v>
      </c>
      <c r="E270" s="171" t="e">
        <f t="shared" si="34"/>
        <v>#NUM!</v>
      </c>
      <c r="F270" s="171" t="e">
        <f t="shared" si="35"/>
        <v>#NUM!</v>
      </c>
      <c r="G270" s="186">
        <f>IF('prijem - EUR-viac-domacnosti'!$I$120=TRUE,IF($C$11&gt;0,0.00025*C269,0),IF('prijem - EUR-viac-domacnosti'!$I$121=TRUE,IF('prijem - EUR-viac-domacnosti'!$F$121&gt;0,0.00025*C269,0),0))</f>
        <v>0</v>
      </c>
      <c r="L270" s="89">
        <v>254</v>
      </c>
      <c r="M270" s="186" t="e">
        <f t="shared" si="36"/>
        <v>#DIV/0!</v>
      </c>
      <c r="N270" s="171" t="e">
        <f t="shared" si="37"/>
        <v>#DIV/0!</v>
      </c>
      <c r="O270" s="171" t="e">
        <f t="shared" si="30"/>
        <v>#DIV/0!</v>
      </c>
      <c r="P270" s="171" t="e">
        <f t="shared" si="38"/>
        <v>#DIV/0!</v>
      </c>
      <c r="Q270" s="171" t="e">
        <f t="shared" si="39"/>
        <v>#DIV/0!</v>
      </c>
      <c r="R270" s="186">
        <f>IF('prijem - EUR-viac-domacnosti'!$I$120=TRUE,IF($C$11&gt;0,0.00025*N269,0),IF('prijem - EUR-viac-domacnosti'!$I$121=TRUE,IF('prijem - EUR-viac-domacnosti'!$F$121&gt;0,0.00025*N269*-1,0),0))</f>
        <v>0</v>
      </c>
    </row>
    <row r="271" spans="1:18" x14ac:dyDescent="0.2">
      <c r="A271" s="89">
        <v>255</v>
      </c>
      <c r="B271" s="186" t="e">
        <f t="shared" si="31"/>
        <v>#NUM!</v>
      </c>
      <c r="C271" s="171" t="e">
        <f t="shared" si="32"/>
        <v>#NUM!</v>
      </c>
      <c r="D271" s="171" t="e">
        <f t="shared" si="33"/>
        <v>#NUM!</v>
      </c>
      <c r="E271" s="171" t="e">
        <f t="shared" si="34"/>
        <v>#NUM!</v>
      </c>
      <c r="F271" s="171" t="e">
        <f t="shared" si="35"/>
        <v>#NUM!</v>
      </c>
      <c r="G271" s="186">
        <f>IF('prijem - EUR-viac-domacnosti'!$I$120=TRUE,IF($C$11&gt;0,0.00025*C270,0),IF('prijem - EUR-viac-domacnosti'!$I$121=TRUE,IF('prijem - EUR-viac-domacnosti'!$F$121&gt;0,0.00025*C270,0),0))</f>
        <v>0</v>
      </c>
      <c r="L271" s="89">
        <v>255</v>
      </c>
      <c r="M271" s="186" t="e">
        <f t="shared" si="36"/>
        <v>#DIV/0!</v>
      </c>
      <c r="N271" s="171" t="e">
        <f t="shared" si="37"/>
        <v>#DIV/0!</v>
      </c>
      <c r="O271" s="171" t="e">
        <f t="shared" si="30"/>
        <v>#DIV/0!</v>
      </c>
      <c r="P271" s="171" t="e">
        <f t="shared" si="38"/>
        <v>#DIV/0!</v>
      </c>
      <c r="Q271" s="171" t="e">
        <f t="shared" si="39"/>
        <v>#DIV/0!</v>
      </c>
      <c r="R271" s="186">
        <f>IF('prijem - EUR-viac-domacnosti'!$I$120=TRUE,IF($C$11&gt;0,0.00025*N270,0),IF('prijem - EUR-viac-domacnosti'!$I$121=TRUE,IF('prijem - EUR-viac-domacnosti'!$F$121&gt;0,0.00025*N270*-1,0),0))</f>
        <v>0</v>
      </c>
    </row>
    <row r="272" spans="1:18" x14ac:dyDescent="0.2">
      <c r="A272" s="89">
        <v>256</v>
      </c>
      <c r="B272" s="186" t="e">
        <f t="shared" si="31"/>
        <v>#NUM!</v>
      </c>
      <c r="C272" s="171" t="e">
        <f t="shared" si="32"/>
        <v>#NUM!</v>
      </c>
      <c r="D272" s="171" t="e">
        <f t="shared" si="33"/>
        <v>#NUM!</v>
      </c>
      <c r="E272" s="171" t="e">
        <f t="shared" si="34"/>
        <v>#NUM!</v>
      </c>
      <c r="F272" s="171" t="e">
        <f t="shared" si="35"/>
        <v>#NUM!</v>
      </c>
      <c r="G272" s="186">
        <f>IF('prijem - EUR-viac-domacnosti'!$I$120=TRUE,IF($C$11&gt;0,0.00025*C271,0),IF('prijem - EUR-viac-domacnosti'!$I$121=TRUE,IF('prijem - EUR-viac-domacnosti'!$F$121&gt;0,0.00025*C271,0),0))</f>
        <v>0</v>
      </c>
      <c r="L272" s="89">
        <v>256</v>
      </c>
      <c r="M272" s="186" t="e">
        <f t="shared" si="36"/>
        <v>#DIV/0!</v>
      </c>
      <c r="N272" s="171" t="e">
        <f t="shared" si="37"/>
        <v>#DIV/0!</v>
      </c>
      <c r="O272" s="171" t="e">
        <f t="shared" si="30"/>
        <v>#DIV/0!</v>
      </c>
      <c r="P272" s="171" t="e">
        <f t="shared" si="38"/>
        <v>#DIV/0!</v>
      </c>
      <c r="Q272" s="171" t="e">
        <f t="shared" si="39"/>
        <v>#DIV/0!</v>
      </c>
      <c r="R272" s="186">
        <f>IF('prijem - EUR-viac-domacnosti'!$I$120=TRUE,IF($C$11&gt;0,0.00025*N271,0),IF('prijem - EUR-viac-domacnosti'!$I$121=TRUE,IF('prijem - EUR-viac-domacnosti'!$F$121&gt;0,0.00025*N271*-1,0),0))</f>
        <v>0</v>
      </c>
    </row>
    <row r="273" spans="1:18" x14ac:dyDescent="0.2">
      <c r="A273" s="89">
        <v>257</v>
      </c>
      <c r="B273" s="186" t="e">
        <f t="shared" si="31"/>
        <v>#NUM!</v>
      </c>
      <c r="C273" s="171" t="e">
        <f t="shared" si="32"/>
        <v>#NUM!</v>
      </c>
      <c r="D273" s="171" t="e">
        <f t="shared" si="33"/>
        <v>#NUM!</v>
      </c>
      <c r="E273" s="171" t="e">
        <f t="shared" si="34"/>
        <v>#NUM!</v>
      </c>
      <c r="F273" s="171" t="e">
        <f t="shared" si="35"/>
        <v>#NUM!</v>
      </c>
      <c r="G273" s="186">
        <f>IF('prijem - EUR-viac-domacnosti'!$I$120=TRUE,IF($C$11&gt;0,0.00025*C272,0),IF('prijem - EUR-viac-domacnosti'!$I$121=TRUE,IF('prijem - EUR-viac-domacnosti'!$F$121&gt;0,0.00025*C272,0),0))</f>
        <v>0</v>
      </c>
      <c r="L273" s="89">
        <v>257</v>
      </c>
      <c r="M273" s="186" t="e">
        <f t="shared" si="36"/>
        <v>#DIV/0!</v>
      </c>
      <c r="N273" s="171" t="e">
        <f t="shared" si="37"/>
        <v>#DIV/0!</v>
      </c>
      <c r="O273" s="171" t="e">
        <f t="shared" ref="O273:O336" si="40">$N$16/$N$5</f>
        <v>#DIV/0!</v>
      </c>
      <c r="P273" s="171" t="e">
        <f t="shared" si="38"/>
        <v>#DIV/0!</v>
      </c>
      <c r="Q273" s="171" t="e">
        <f t="shared" si="39"/>
        <v>#DIV/0!</v>
      </c>
      <c r="R273" s="186">
        <f>IF('prijem - EUR-viac-domacnosti'!$I$120=TRUE,IF($C$11&gt;0,0.00025*N272,0),IF('prijem - EUR-viac-domacnosti'!$I$121=TRUE,IF('prijem - EUR-viac-domacnosti'!$F$121&gt;0,0.00025*N272*-1,0),0))</f>
        <v>0</v>
      </c>
    </row>
    <row r="274" spans="1:18" x14ac:dyDescent="0.2">
      <c r="A274" s="89">
        <v>258</v>
      </c>
      <c r="B274" s="186" t="e">
        <f t="shared" ref="B274:B337" si="41">IF(C273&gt;0.00001,F274-G274,0)</f>
        <v>#NUM!</v>
      </c>
      <c r="C274" s="171" t="e">
        <f t="shared" ref="C274:C337" si="42">MAX(C273-D274,0)</f>
        <v>#NUM!</v>
      </c>
      <c r="D274" s="171" t="e">
        <f t="shared" ref="D274:D337" si="43">(F274-E274)*-1</f>
        <v>#NUM!</v>
      </c>
      <c r="E274" s="171" t="e">
        <f t="shared" ref="E274:E337" si="44">IPMT($C$4/12,1,$C$5,C273)</f>
        <v>#NUM!</v>
      </c>
      <c r="F274" s="171" t="e">
        <f t="shared" ref="F274:F337" si="45">PMT($C$4/12,$C$5,$C$3)</f>
        <v>#NUM!</v>
      </c>
      <c r="G274" s="186">
        <f>IF('prijem - EUR-viac-domacnosti'!$I$120=TRUE,IF($C$11&gt;0,0.00025*C273,0),IF('prijem - EUR-viac-domacnosti'!$I$121=TRUE,IF('prijem - EUR-viac-domacnosti'!$F$121&gt;0,0.00025*C273,0),0))</f>
        <v>0</v>
      </c>
      <c r="L274" s="89">
        <v>258</v>
      </c>
      <c r="M274" s="186" t="e">
        <f t="shared" ref="M274:M337" si="46">IF(N273&gt;0.00001,Q274-R274,0)*-1</f>
        <v>#DIV/0!</v>
      </c>
      <c r="N274" s="171" t="e">
        <f t="shared" ref="N274:N337" si="47">MAX(N273-O274,0)</f>
        <v>#DIV/0!</v>
      </c>
      <c r="O274" s="171" t="e">
        <f t="shared" si="40"/>
        <v>#DIV/0!</v>
      </c>
      <c r="P274" s="171" t="e">
        <f t="shared" ref="P274:P337" si="48">N273*$N$4/12</f>
        <v>#DIV/0!</v>
      </c>
      <c r="Q274" s="171" t="e">
        <f t="shared" ref="Q274:Q337" si="49">P274+O274</f>
        <v>#DIV/0!</v>
      </c>
      <c r="R274" s="186">
        <f>IF('prijem - EUR-viac-domacnosti'!$I$120=TRUE,IF($C$11&gt;0,0.00025*N273,0),IF('prijem - EUR-viac-domacnosti'!$I$121=TRUE,IF('prijem - EUR-viac-domacnosti'!$F$121&gt;0,0.00025*N273*-1,0),0))</f>
        <v>0</v>
      </c>
    </row>
    <row r="275" spans="1:18" x14ac:dyDescent="0.2">
      <c r="A275" s="89">
        <v>259</v>
      </c>
      <c r="B275" s="186" t="e">
        <f t="shared" si="41"/>
        <v>#NUM!</v>
      </c>
      <c r="C275" s="171" t="e">
        <f t="shared" si="42"/>
        <v>#NUM!</v>
      </c>
      <c r="D275" s="171" t="e">
        <f t="shared" si="43"/>
        <v>#NUM!</v>
      </c>
      <c r="E275" s="171" t="e">
        <f t="shared" si="44"/>
        <v>#NUM!</v>
      </c>
      <c r="F275" s="171" t="e">
        <f t="shared" si="45"/>
        <v>#NUM!</v>
      </c>
      <c r="G275" s="186">
        <f>IF('prijem - EUR-viac-domacnosti'!$I$120=TRUE,IF($C$11&gt;0,0.00025*C274,0),IF('prijem - EUR-viac-domacnosti'!$I$121=TRUE,IF('prijem - EUR-viac-domacnosti'!$F$121&gt;0,0.00025*C274,0),0))</f>
        <v>0</v>
      </c>
      <c r="L275" s="89">
        <v>259</v>
      </c>
      <c r="M275" s="186" t="e">
        <f t="shared" si="46"/>
        <v>#DIV/0!</v>
      </c>
      <c r="N275" s="171" t="e">
        <f t="shared" si="47"/>
        <v>#DIV/0!</v>
      </c>
      <c r="O275" s="171" t="e">
        <f t="shared" si="40"/>
        <v>#DIV/0!</v>
      </c>
      <c r="P275" s="171" t="e">
        <f t="shared" si="48"/>
        <v>#DIV/0!</v>
      </c>
      <c r="Q275" s="171" t="e">
        <f t="shared" si="49"/>
        <v>#DIV/0!</v>
      </c>
      <c r="R275" s="186">
        <f>IF('prijem - EUR-viac-domacnosti'!$I$120=TRUE,IF($C$11&gt;0,0.00025*N274,0),IF('prijem - EUR-viac-domacnosti'!$I$121=TRUE,IF('prijem - EUR-viac-domacnosti'!$F$121&gt;0,0.00025*N274*-1,0),0))</f>
        <v>0</v>
      </c>
    </row>
    <row r="276" spans="1:18" x14ac:dyDescent="0.2">
      <c r="A276" s="89">
        <v>260</v>
      </c>
      <c r="B276" s="186" t="e">
        <f t="shared" si="41"/>
        <v>#NUM!</v>
      </c>
      <c r="C276" s="171" t="e">
        <f t="shared" si="42"/>
        <v>#NUM!</v>
      </c>
      <c r="D276" s="171" t="e">
        <f t="shared" si="43"/>
        <v>#NUM!</v>
      </c>
      <c r="E276" s="171" t="e">
        <f t="shared" si="44"/>
        <v>#NUM!</v>
      </c>
      <c r="F276" s="171" t="e">
        <f t="shared" si="45"/>
        <v>#NUM!</v>
      </c>
      <c r="G276" s="186">
        <f>IF('prijem - EUR-viac-domacnosti'!$I$120=TRUE,IF($C$11&gt;0,0.00025*C275,0),IF('prijem - EUR-viac-domacnosti'!$I$121=TRUE,IF('prijem - EUR-viac-domacnosti'!$F$121&gt;0,0.00025*C275,0),0))</f>
        <v>0</v>
      </c>
      <c r="L276" s="89">
        <v>260</v>
      </c>
      <c r="M276" s="186" t="e">
        <f t="shared" si="46"/>
        <v>#DIV/0!</v>
      </c>
      <c r="N276" s="171" t="e">
        <f t="shared" si="47"/>
        <v>#DIV/0!</v>
      </c>
      <c r="O276" s="171" t="e">
        <f t="shared" si="40"/>
        <v>#DIV/0!</v>
      </c>
      <c r="P276" s="171" t="e">
        <f t="shared" si="48"/>
        <v>#DIV/0!</v>
      </c>
      <c r="Q276" s="171" t="e">
        <f t="shared" si="49"/>
        <v>#DIV/0!</v>
      </c>
      <c r="R276" s="186">
        <f>IF('prijem - EUR-viac-domacnosti'!$I$120=TRUE,IF($C$11&gt;0,0.00025*N275,0),IF('prijem - EUR-viac-domacnosti'!$I$121=TRUE,IF('prijem - EUR-viac-domacnosti'!$F$121&gt;0,0.00025*N275*-1,0),0))</f>
        <v>0</v>
      </c>
    </row>
    <row r="277" spans="1:18" x14ac:dyDescent="0.2">
      <c r="A277" s="89">
        <v>261</v>
      </c>
      <c r="B277" s="186" t="e">
        <f t="shared" si="41"/>
        <v>#NUM!</v>
      </c>
      <c r="C277" s="171" t="e">
        <f t="shared" si="42"/>
        <v>#NUM!</v>
      </c>
      <c r="D277" s="171" t="e">
        <f t="shared" si="43"/>
        <v>#NUM!</v>
      </c>
      <c r="E277" s="171" t="e">
        <f t="shared" si="44"/>
        <v>#NUM!</v>
      </c>
      <c r="F277" s="171" t="e">
        <f t="shared" si="45"/>
        <v>#NUM!</v>
      </c>
      <c r="G277" s="186">
        <f>IF('prijem - EUR-viac-domacnosti'!$I$120=TRUE,IF($C$11&gt;0,0.00025*C276,0),IF('prijem - EUR-viac-domacnosti'!$I$121=TRUE,IF('prijem - EUR-viac-domacnosti'!$F$121&gt;0,0.00025*C276,0),0))</f>
        <v>0</v>
      </c>
      <c r="L277" s="89">
        <v>261</v>
      </c>
      <c r="M277" s="186" t="e">
        <f t="shared" si="46"/>
        <v>#DIV/0!</v>
      </c>
      <c r="N277" s="171" t="e">
        <f t="shared" si="47"/>
        <v>#DIV/0!</v>
      </c>
      <c r="O277" s="171" t="e">
        <f t="shared" si="40"/>
        <v>#DIV/0!</v>
      </c>
      <c r="P277" s="171" t="e">
        <f t="shared" si="48"/>
        <v>#DIV/0!</v>
      </c>
      <c r="Q277" s="171" t="e">
        <f t="shared" si="49"/>
        <v>#DIV/0!</v>
      </c>
      <c r="R277" s="186">
        <f>IF('prijem - EUR-viac-domacnosti'!$I$120=TRUE,IF($C$11&gt;0,0.00025*N276,0),IF('prijem - EUR-viac-domacnosti'!$I$121=TRUE,IF('prijem - EUR-viac-domacnosti'!$F$121&gt;0,0.00025*N276*-1,0),0))</f>
        <v>0</v>
      </c>
    </row>
    <row r="278" spans="1:18" x14ac:dyDescent="0.2">
      <c r="A278" s="89">
        <v>262</v>
      </c>
      <c r="B278" s="186" t="e">
        <f t="shared" si="41"/>
        <v>#NUM!</v>
      </c>
      <c r="C278" s="171" t="e">
        <f t="shared" si="42"/>
        <v>#NUM!</v>
      </c>
      <c r="D278" s="171" t="e">
        <f t="shared" si="43"/>
        <v>#NUM!</v>
      </c>
      <c r="E278" s="171" t="e">
        <f t="shared" si="44"/>
        <v>#NUM!</v>
      </c>
      <c r="F278" s="171" t="e">
        <f t="shared" si="45"/>
        <v>#NUM!</v>
      </c>
      <c r="G278" s="186">
        <f>IF('prijem - EUR-viac-domacnosti'!$I$120=TRUE,IF($C$11&gt;0,0.00025*C277,0),IF('prijem - EUR-viac-domacnosti'!$I$121=TRUE,IF('prijem - EUR-viac-domacnosti'!$F$121&gt;0,0.00025*C277,0),0))</f>
        <v>0</v>
      </c>
      <c r="L278" s="89">
        <v>262</v>
      </c>
      <c r="M278" s="186" t="e">
        <f t="shared" si="46"/>
        <v>#DIV/0!</v>
      </c>
      <c r="N278" s="171" t="e">
        <f t="shared" si="47"/>
        <v>#DIV/0!</v>
      </c>
      <c r="O278" s="171" t="e">
        <f t="shared" si="40"/>
        <v>#DIV/0!</v>
      </c>
      <c r="P278" s="171" t="e">
        <f t="shared" si="48"/>
        <v>#DIV/0!</v>
      </c>
      <c r="Q278" s="171" t="e">
        <f t="shared" si="49"/>
        <v>#DIV/0!</v>
      </c>
      <c r="R278" s="186">
        <f>IF('prijem - EUR-viac-domacnosti'!$I$120=TRUE,IF($C$11&gt;0,0.00025*N277,0),IF('prijem - EUR-viac-domacnosti'!$I$121=TRUE,IF('prijem - EUR-viac-domacnosti'!$F$121&gt;0,0.00025*N277*-1,0),0))</f>
        <v>0</v>
      </c>
    </row>
    <row r="279" spans="1:18" x14ac:dyDescent="0.2">
      <c r="A279" s="89">
        <v>263</v>
      </c>
      <c r="B279" s="186" t="e">
        <f t="shared" si="41"/>
        <v>#NUM!</v>
      </c>
      <c r="C279" s="171" t="e">
        <f t="shared" si="42"/>
        <v>#NUM!</v>
      </c>
      <c r="D279" s="171" t="e">
        <f t="shared" si="43"/>
        <v>#NUM!</v>
      </c>
      <c r="E279" s="171" t="e">
        <f t="shared" si="44"/>
        <v>#NUM!</v>
      </c>
      <c r="F279" s="171" t="e">
        <f t="shared" si="45"/>
        <v>#NUM!</v>
      </c>
      <c r="G279" s="186">
        <f>IF('prijem - EUR-viac-domacnosti'!$I$120=TRUE,IF($C$11&gt;0,0.00025*C278,0),IF('prijem - EUR-viac-domacnosti'!$I$121=TRUE,IF('prijem - EUR-viac-domacnosti'!$F$121&gt;0,0.00025*C278,0),0))</f>
        <v>0</v>
      </c>
      <c r="L279" s="89">
        <v>263</v>
      </c>
      <c r="M279" s="186" t="e">
        <f t="shared" si="46"/>
        <v>#DIV/0!</v>
      </c>
      <c r="N279" s="171" t="e">
        <f t="shared" si="47"/>
        <v>#DIV/0!</v>
      </c>
      <c r="O279" s="171" t="e">
        <f t="shared" si="40"/>
        <v>#DIV/0!</v>
      </c>
      <c r="P279" s="171" t="e">
        <f t="shared" si="48"/>
        <v>#DIV/0!</v>
      </c>
      <c r="Q279" s="171" t="e">
        <f t="shared" si="49"/>
        <v>#DIV/0!</v>
      </c>
      <c r="R279" s="186">
        <f>IF('prijem - EUR-viac-domacnosti'!$I$120=TRUE,IF($C$11&gt;0,0.00025*N278,0),IF('prijem - EUR-viac-domacnosti'!$I$121=TRUE,IF('prijem - EUR-viac-domacnosti'!$F$121&gt;0,0.00025*N278*-1,0),0))</f>
        <v>0</v>
      </c>
    </row>
    <row r="280" spans="1:18" x14ac:dyDescent="0.2">
      <c r="A280" s="89">
        <v>264</v>
      </c>
      <c r="B280" s="186" t="e">
        <f t="shared" si="41"/>
        <v>#NUM!</v>
      </c>
      <c r="C280" s="171" t="e">
        <f t="shared" si="42"/>
        <v>#NUM!</v>
      </c>
      <c r="D280" s="171" t="e">
        <f t="shared" si="43"/>
        <v>#NUM!</v>
      </c>
      <c r="E280" s="171" t="e">
        <f t="shared" si="44"/>
        <v>#NUM!</v>
      </c>
      <c r="F280" s="171" t="e">
        <f t="shared" si="45"/>
        <v>#NUM!</v>
      </c>
      <c r="G280" s="186">
        <f>IF('prijem - EUR-viac-domacnosti'!$I$120=TRUE,IF($C$11&gt;0,0.00025*C279,0),IF('prijem - EUR-viac-domacnosti'!$I$121=TRUE,IF('prijem - EUR-viac-domacnosti'!$F$121&gt;0,0.00025*C279,0),0))</f>
        <v>0</v>
      </c>
      <c r="L280" s="89">
        <v>264</v>
      </c>
      <c r="M280" s="186" t="e">
        <f t="shared" si="46"/>
        <v>#DIV/0!</v>
      </c>
      <c r="N280" s="171" t="e">
        <f t="shared" si="47"/>
        <v>#DIV/0!</v>
      </c>
      <c r="O280" s="171" t="e">
        <f t="shared" si="40"/>
        <v>#DIV/0!</v>
      </c>
      <c r="P280" s="171" t="e">
        <f t="shared" si="48"/>
        <v>#DIV/0!</v>
      </c>
      <c r="Q280" s="171" t="e">
        <f t="shared" si="49"/>
        <v>#DIV/0!</v>
      </c>
      <c r="R280" s="186">
        <f>IF('prijem - EUR-viac-domacnosti'!$I$120=TRUE,IF($C$11&gt;0,0.00025*N279,0),IF('prijem - EUR-viac-domacnosti'!$I$121=TRUE,IF('prijem - EUR-viac-domacnosti'!$F$121&gt;0,0.00025*N279*-1,0),0))</f>
        <v>0</v>
      </c>
    </row>
    <row r="281" spans="1:18" x14ac:dyDescent="0.2">
      <c r="A281" s="89">
        <v>265</v>
      </c>
      <c r="B281" s="186" t="e">
        <f t="shared" si="41"/>
        <v>#NUM!</v>
      </c>
      <c r="C281" s="171" t="e">
        <f t="shared" si="42"/>
        <v>#NUM!</v>
      </c>
      <c r="D281" s="171" t="e">
        <f t="shared" si="43"/>
        <v>#NUM!</v>
      </c>
      <c r="E281" s="171" t="e">
        <f t="shared" si="44"/>
        <v>#NUM!</v>
      </c>
      <c r="F281" s="171" t="e">
        <f t="shared" si="45"/>
        <v>#NUM!</v>
      </c>
      <c r="G281" s="186">
        <f>IF('prijem - EUR-viac-domacnosti'!$I$120=TRUE,IF($C$11&gt;0,0.00025*C280,0),IF('prijem - EUR-viac-domacnosti'!$I$121=TRUE,IF('prijem - EUR-viac-domacnosti'!$F$121&gt;0,0.00025*C280,0),0))</f>
        <v>0</v>
      </c>
      <c r="L281" s="89">
        <v>265</v>
      </c>
      <c r="M281" s="186" t="e">
        <f t="shared" si="46"/>
        <v>#DIV/0!</v>
      </c>
      <c r="N281" s="171" t="e">
        <f t="shared" si="47"/>
        <v>#DIV/0!</v>
      </c>
      <c r="O281" s="171" t="e">
        <f t="shared" si="40"/>
        <v>#DIV/0!</v>
      </c>
      <c r="P281" s="171" t="e">
        <f t="shared" si="48"/>
        <v>#DIV/0!</v>
      </c>
      <c r="Q281" s="171" t="e">
        <f t="shared" si="49"/>
        <v>#DIV/0!</v>
      </c>
      <c r="R281" s="186">
        <f>IF('prijem - EUR-viac-domacnosti'!$I$120=TRUE,IF($C$11&gt;0,0.00025*N280,0),IF('prijem - EUR-viac-domacnosti'!$I$121=TRUE,IF('prijem - EUR-viac-domacnosti'!$F$121&gt;0,0.00025*N280*-1,0),0))</f>
        <v>0</v>
      </c>
    </row>
    <row r="282" spans="1:18" x14ac:dyDescent="0.2">
      <c r="A282" s="89">
        <v>266</v>
      </c>
      <c r="B282" s="186" t="e">
        <f t="shared" si="41"/>
        <v>#NUM!</v>
      </c>
      <c r="C282" s="171" t="e">
        <f t="shared" si="42"/>
        <v>#NUM!</v>
      </c>
      <c r="D282" s="171" t="e">
        <f t="shared" si="43"/>
        <v>#NUM!</v>
      </c>
      <c r="E282" s="171" t="e">
        <f t="shared" si="44"/>
        <v>#NUM!</v>
      </c>
      <c r="F282" s="171" t="e">
        <f t="shared" si="45"/>
        <v>#NUM!</v>
      </c>
      <c r="G282" s="186">
        <f>IF('prijem - EUR-viac-domacnosti'!$I$120=TRUE,IF($C$11&gt;0,0.00025*C281,0),IF('prijem - EUR-viac-domacnosti'!$I$121=TRUE,IF('prijem - EUR-viac-domacnosti'!$F$121&gt;0,0.00025*C281,0),0))</f>
        <v>0</v>
      </c>
      <c r="L282" s="89">
        <v>266</v>
      </c>
      <c r="M282" s="186" t="e">
        <f t="shared" si="46"/>
        <v>#DIV/0!</v>
      </c>
      <c r="N282" s="171" t="e">
        <f t="shared" si="47"/>
        <v>#DIV/0!</v>
      </c>
      <c r="O282" s="171" t="e">
        <f t="shared" si="40"/>
        <v>#DIV/0!</v>
      </c>
      <c r="P282" s="171" t="e">
        <f t="shared" si="48"/>
        <v>#DIV/0!</v>
      </c>
      <c r="Q282" s="171" t="e">
        <f t="shared" si="49"/>
        <v>#DIV/0!</v>
      </c>
      <c r="R282" s="186">
        <f>IF('prijem - EUR-viac-domacnosti'!$I$120=TRUE,IF($C$11&gt;0,0.00025*N281,0),IF('prijem - EUR-viac-domacnosti'!$I$121=TRUE,IF('prijem - EUR-viac-domacnosti'!$F$121&gt;0,0.00025*N281*-1,0),0))</f>
        <v>0</v>
      </c>
    </row>
    <row r="283" spans="1:18" x14ac:dyDescent="0.2">
      <c r="A283" s="89">
        <v>267</v>
      </c>
      <c r="B283" s="186" t="e">
        <f t="shared" si="41"/>
        <v>#NUM!</v>
      </c>
      <c r="C283" s="171" t="e">
        <f t="shared" si="42"/>
        <v>#NUM!</v>
      </c>
      <c r="D283" s="171" t="e">
        <f t="shared" si="43"/>
        <v>#NUM!</v>
      </c>
      <c r="E283" s="171" t="e">
        <f t="shared" si="44"/>
        <v>#NUM!</v>
      </c>
      <c r="F283" s="171" t="e">
        <f t="shared" si="45"/>
        <v>#NUM!</v>
      </c>
      <c r="G283" s="186">
        <f>IF('prijem - EUR-viac-domacnosti'!$I$120=TRUE,IF($C$11&gt;0,0.00025*C282,0),IF('prijem - EUR-viac-domacnosti'!$I$121=TRUE,IF('prijem - EUR-viac-domacnosti'!$F$121&gt;0,0.00025*C282,0),0))</f>
        <v>0</v>
      </c>
      <c r="L283" s="89">
        <v>267</v>
      </c>
      <c r="M283" s="186" t="e">
        <f t="shared" si="46"/>
        <v>#DIV/0!</v>
      </c>
      <c r="N283" s="171" t="e">
        <f t="shared" si="47"/>
        <v>#DIV/0!</v>
      </c>
      <c r="O283" s="171" t="e">
        <f t="shared" si="40"/>
        <v>#DIV/0!</v>
      </c>
      <c r="P283" s="171" t="e">
        <f t="shared" si="48"/>
        <v>#DIV/0!</v>
      </c>
      <c r="Q283" s="171" t="e">
        <f t="shared" si="49"/>
        <v>#DIV/0!</v>
      </c>
      <c r="R283" s="186">
        <f>IF('prijem - EUR-viac-domacnosti'!$I$120=TRUE,IF($C$11&gt;0,0.00025*N282,0),IF('prijem - EUR-viac-domacnosti'!$I$121=TRUE,IF('prijem - EUR-viac-domacnosti'!$F$121&gt;0,0.00025*N282*-1,0),0))</f>
        <v>0</v>
      </c>
    </row>
    <row r="284" spans="1:18" x14ac:dyDescent="0.2">
      <c r="A284" s="89">
        <v>268</v>
      </c>
      <c r="B284" s="186" t="e">
        <f t="shared" si="41"/>
        <v>#NUM!</v>
      </c>
      <c r="C284" s="171" t="e">
        <f t="shared" si="42"/>
        <v>#NUM!</v>
      </c>
      <c r="D284" s="171" t="e">
        <f t="shared" si="43"/>
        <v>#NUM!</v>
      </c>
      <c r="E284" s="171" t="e">
        <f t="shared" si="44"/>
        <v>#NUM!</v>
      </c>
      <c r="F284" s="171" t="e">
        <f t="shared" si="45"/>
        <v>#NUM!</v>
      </c>
      <c r="G284" s="186">
        <f>IF('prijem - EUR-viac-domacnosti'!$I$120=TRUE,IF($C$11&gt;0,0.00025*C283,0),IF('prijem - EUR-viac-domacnosti'!$I$121=TRUE,IF('prijem - EUR-viac-domacnosti'!$F$121&gt;0,0.00025*C283,0),0))</f>
        <v>0</v>
      </c>
      <c r="L284" s="89">
        <v>268</v>
      </c>
      <c r="M284" s="186" t="e">
        <f t="shared" si="46"/>
        <v>#DIV/0!</v>
      </c>
      <c r="N284" s="171" t="e">
        <f t="shared" si="47"/>
        <v>#DIV/0!</v>
      </c>
      <c r="O284" s="171" t="e">
        <f t="shared" si="40"/>
        <v>#DIV/0!</v>
      </c>
      <c r="P284" s="171" t="e">
        <f t="shared" si="48"/>
        <v>#DIV/0!</v>
      </c>
      <c r="Q284" s="171" t="e">
        <f t="shared" si="49"/>
        <v>#DIV/0!</v>
      </c>
      <c r="R284" s="186">
        <f>IF('prijem - EUR-viac-domacnosti'!$I$120=TRUE,IF($C$11&gt;0,0.00025*N283,0),IF('prijem - EUR-viac-domacnosti'!$I$121=TRUE,IF('prijem - EUR-viac-domacnosti'!$F$121&gt;0,0.00025*N283*-1,0),0))</f>
        <v>0</v>
      </c>
    </row>
    <row r="285" spans="1:18" x14ac:dyDescent="0.2">
      <c r="A285" s="89">
        <v>269</v>
      </c>
      <c r="B285" s="186" t="e">
        <f t="shared" si="41"/>
        <v>#NUM!</v>
      </c>
      <c r="C285" s="171" t="e">
        <f t="shared" si="42"/>
        <v>#NUM!</v>
      </c>
      <c r="D285" s="171" t="e">
        <f t="shared" si="43"/>
        <v>#NUM!</v>
      </c>
      <c r="E285" s="171" t="e">
        <f t="shared" si="44"/>
        <v>#NUM!</v>
      </c>
      <c r="F285" s="171" t="e">
        <f t="shared" si="45"/>
        <v>#NUM!</v>
      </c>
      <c r="G285" s="186">
        <f>IF('prijem - EUR-viac-domacnosti'!$I$120=TRUE,IF($C$11&gt;0,0.00025*C284,0),IF('prijem - EUR-viac-domacnosti'!$I$121=TRUE,IF('prijem - EUR-viac-domacnosti'!$F$121&gt;0,0.00025*C284,0),0))</f>
        <v>0</v>
      </c>
      <c r="L285" s="89">
        <v>269</v>
      </c>
      <c r="M285" s="186" t="e">
        <f t="shared" si="46"/>
        <v>#DIV/0!</v>
      </c>
      <c r="N285" s="171" t="e">
        <f t="shared" si="47"/>
        <v>#DIV/0!</v>
      </c>
      <c r="O285" s="171" t="e">
        <f t="shared" si="40"/>
        <v>#DIV/0!</v>
      </c>
      <c r="P285" s="171" t="e">
        <f t="shared" si="48"/>
        <v>#DIV/0!</v>
      </c>
      <c r="Q285" s="171" t="e">
        <f t="shared" si="49"/>
        <v>#DIV/0!</v>
      </c>
      <c r="R285" s="186">
        <f>IF('prijem - EUR-viac-domacnosti'!$I$120=TRUE,IF($C$11&gt;0,0.00025*N284,0),IF('prijem - EUR-viac-domacnosti'!$I$121=TRUE,IF('prijem - EUR-viac-domacnosti'!$F$121&gt;0,0.00025*N284*-1,0),0))</f>
        <v>0</v>
      </c>
    </row>
    <row r="286" spans="1:18" x14ac:dyDescent="0.2">
      <c r="A286" s="89">
        <v>270</v>
      </c>
      <c r="B286" s="186" t="e">
        <f t="shared" si="41"/>
        <v>#NUM!</v>
      </c>
      <c r="C286" s="171" t="e">
        <f t="shared" si="42"/>
        <v>#NUM!</v>
      </c>
      <c r="D286" s="171" t="e">
        <f t="shared" si="43"/>
        <v>#NUM!</v>
      </c>
      <c r="E286" s="171" t="e">
        <f t="shared" si="44"/>
        <v>#NUM!</v>
      </c>
      <c r="F286" s="171" t="e">
        <f t="shared" si="45"/>
        <v>#NUM!</v>
      </c>
      <c r="G286" s="186">
        <f>IF('prijem - EUR-viac-domacnosti'!$I$120=TRUE,IF($C$11&gt;0,0.00025*C285,0),IF('prijem - EUR-viac-domacnosti'!$I$121=TRUE,IF('prijem - EUR-viac-domacnosti'!$F$121&gt;0,0.00025*C285,0),0))</f>
        <v>0</v>
      </c>
      <c r="L286" s="89">
        <v>270</v>
      </c>
      <c r="M286" s="186" t="e">
        <f t="shared" si="46"/>
        <v>#DIV/0!</v>
      </c>
      <c r="N286" s="171" t="e">
        <f t="shared" si="47"/>
        <v>#DIV/0!</v>
      </c>
      <c r="O286" s="171" t="e">
        <f t="shared" si="40"/>
        <v>#DIV/0!</v>
      </c>
      <c r="P286" s="171" t="e">
        <f t="shared" si="48"/>
        <v>#DIV/0!</v>
      </c>
      <c r="Q286" s="171" t="e">
        <f t="shared" si="49"/>
        <v>#DIV/0!</v>
      </c>
      <c r="R286" s="186">
        <f>IF('prijem - EUR-viac-domacnosti'!$I$120=TRUE,IF($C$11&gt;0,0.00025*N285,0),IF('prijem - EUR-viac-domacnosti'!$I$121=TRUE,IF('prijem - EUR-viac-domacnosti'!$F$121&gt;0,0.00025*N285*-1,0),0))</f>
        <v>0</v>
      </c>
    </row>
    <row r="287" spans="1:18" x14ac:dyDescent="0.2">
      <c r="A287" s="89">
        <v>271</v>
      </c>
      <c r="B287" s="186" t="e">
        <f t="shared" si="41"/>
        <v>#NUM!</v>
      </c>
      <c r="C287" s="171" t="e">
        <f t="shared" si="42"/>
        <v>#NUM!</v>
      </c>
      <c r="D287" s="171" t="e">
        <f t="shared" si="43"/>
        <v>#NUM!</v>
      </c>
      <c r="E287" s="171" t="e">
        <f t="shared" si="44"/>
        <v>#NUM!</v>
      </c>
      <c r="F287" s="171" t="e">
        <f t="shared" si="45"/>
        <v>#NUM!</v>
      </c>
      <c r="G287" s="186">
        <f>IF('prijem - EUR-viac-domacnosti'!$I$120=TRUE,IF($C$11&gt;0,0.00025*C286,0),IF('prijem - EUR-viac-domacnosti'!$I$121=TRUE,IF('prijem - EUR-viac-domacnosti'!$F$121&gt;0,0.00025*C286,0),0))</f>
        <v>0</v>
      </c>
      <c r="L287" s="89">
        <v>271</v>
      </c>
      <c r="M287" s="186" t="e">
        <f t="shared" si="46"/>
        <v>#DIV/0!</v>
      </c>
      <c r="N287" s="171" t="e">
        <f t="shared" si="47"/>
        <v>#DIV/0!</v>
      </c>
      <c r="O287" s="171" t="e">
        <f t="shared" si="40"/>
        <v>#DIV/0!</v>
      </c>
      <c r="P287" s="171" t="e">
        <f t="shared" si="48"/>
        <v>#DIV/0!</v>
      </c>
      <c r="Q287" s="171" t="e">
        <f t="shared" si="49"/>
        <v>#DIV/0!</v>
      </c>
      <c r="R287" s="186">
        <f>IF('prijem - EUR-viac-domacnosti'!$I$120=TRUE,IF($C$11&gt;0,0.00025*N286,0),IF('prijem - EUR-viac-domacnosti'!$I$121=TRUE,IF('prijem - EUR-viac-domacnosti'!$F$121&gt;0,0.00025*N286*-1,0),0))</f>
        <v>0</v>
      </c>
    </row>
    <row r="288" spans="1:18" x14ac:dyDescent="0.2">
      <c r="A288" s="89">
        <v>272</v>
      </c>
      <c r="B288" s="186" t="e">
        <f t="shared" si="41"/>
        <v>#NUM!</v>
      </c>
      <c r="C288" s="171" t="e">
        <f t="shared" si="42"/>
        <v>#NUM!</v>
      </c>
      <c r="D288" s="171" t="e">
        <f t="shared" si="43"/>
        <v>#NUM!</v>
      </c>
      <c r="E288" s="171" t="e">
        <f t="shared" si="44"/>
        <v>#NUM!</v>
      </c>
      <c r="F288" s="171" t="e">
        <f t="shared" si="45"/>
        <v>#NUM!</v>
      </c>
      <c r="G288" s="186">
        <f>IF('prijem - EUR-viac-domacnosti'!$I$120=TRUE,IF($C$11&gt;0,0.00025*C287,0),IF('prijem - EUR-viac-domacnosti'!$I$121=TRUE,IF('prijem - EUR-viac-domacnosti'!$F$121&gt;0,0.00025*C287,0),0))</f>
        <v>0</v>
      </c>
      <c r="L288" s="89">
        <v>272</v>
      </c>
      <c r="M288" s="186" t="e">
        <f t="shared" si="46"/>
        <v>#DIV/0!</v>
      </c>
      <c r="N288" s="171" t="e">
        <f t="shared" si="47"/>
        <v>#DIV/0!</v>
      </c>
      <c r="O288" s="171" t="e">
        <f t="shared" si="40"/>
        <v>#DIV/0!</v>
      </c>
      <c r="P288" s="171" t="e">
        <f t="shared" si="48"/>
        <v>#DIV/0!</v>
      </c>
      <c r="Q288" s="171" t="e">
        <f t="shared" si="49"/>
        <v>#DIV/0!</v>
      </c>
      <c r="R288" s="186">
        <f>IF('prijem - EUR-viac-domacnosti'!$I$120=TRUE,IF($C$11&gt;0,0.00025*N287,0),IF('prijem - EUR-viac-domacnosti'!$I$121=TRUE,IF('prijem - EUR-viac-domacnosti'!$F$121&gt;0,0.00025*N287*-1,0),0))</f>
        <v>0</v>
      </c>
    </row>
    <row r="289" spans="1:18" x14ac:dyDescent="0.2">
      <c r="A289" s="89">
        <v>273</v>
      </c>
      <c r="B289" s="186" t="e">
        <f t="shared" si="41"/>
        <v>#NUM!</v>
      </c>
      <c r="C289" s="171" t="e">
        <f t="shared" si="42"/>
        <v>#NUM!</v>
      </c>
      <c r="D289" s="171" t="e">
        <f t="shared" si="43"/>
        <v>#NUM!</v>
      </c>
      <c r="E289" s="171" t="e">
        <f t="shared" si="44"/>
        <v>#NUM!</v>
      </c>
      <c r="F289" s="171" t="e">
        <f t="shared" si="45"/>
        <v>#NUM!</v>
      </c>
      <c r="G289" s="186">
        <f>IF('prijem - EUR-viac-domacnosti'!$I$120=TRUE,IF($C$11&gt;0,0.00025*C288,0),IF('prijem - EUR-viac-domacnosti'!$I$121=TRUE,IF('prijem - EUR-viac-domacnosti'!$F$121&gt;0,0.00025*C288,0),0))</f>
        <v>0</v>
      </c>
      <c r="L289" s="89">
        <v>273</v>
      </c>
      <c r="M289" s="186" t="e">
        <f t="shared" si="46"/>
        <v>#DIV/0!</v>
      </c>
      <c r="N289" s="171" t="e">
        <f t="shared" si="47"/>
        <v>#DIV/0!</v>
      </c>
      <c r="O289" s="171" t="e">
        <f t="shared" si="40"/>
        <v>#DIV/0!</v>
      </c>
      <c r="P289" s="171" t="e">
        <f t="shared" si="48"/>
        <v>#DIV/0!</v>
      </c>
      <c r="Q289" s="171" t="e">
        <f t="shared" si="49"/>
        <v>#DIV/0!</v>
      </c>
      <c r="R289" s="186">
        <f>IF('prijem - EUR-viac-domacnosti'!$I$120=TRUE,IF($C$11&gt;0,0.00025*N288,0),IF('prijem - EUR-viac-domacnosti'!$I$121=TRUE,IF('prijem - EUR-viac-domacnosti'!$F$121&gt;0,0.00025*N288*-1,0),0))</f>
        <v>0</v>
      </c>
    </row>
    <row r="290" spans="1:18" x14ac:dyDescent="0.2">
      <c r="A290" s="89">
        <v>274</v>
      </c>
      <c r="B290" s="186" t="e">
        <f t="shared" si="41"/>
        <v>#NUM!</v>
      </c>
      <c r="C290" s="171" t="e">
        <f t="shared" si="42"/>
        <v>#NUM!</v>
      </c>
      <c r="D290" s="171" t="e">
        <f t="shared" si="43"/>
        <v>#NUM!</v>
      </c>
      <c r="E290" s="171" t="e">
        <f t="shared" si="44"/>
        <v>#NUM!</v>
      </c>
      <c r="F290" s="171" t="e">
        <f t="shared" si="45"/>
        <v>#NUM!</v>
      </c>
      <c r="G290" s="186">
        <f>IF('prijem - EUR-viac-domacnosti'!$I$120=TRUE,IF($C$11&gt;0,0.00025*C289,0),IF('prijem - EUR-viac-domacnosti'!$I$121=TRUE,IF('prijem - EUR-viac-domacnosti'!$F$121&gt;0,0.00025*C289,0),0))</f>
        <v>0</v>
      </c>
      <c r="L290" s="89">
        <v>274</v>
      </c>
      <c r="M290" s="186" t="e">
        <f t="shared" si="46"/>
        <v>#DIV/0!</v>
      </c>
      <c r="N290" s="171" t="e">
        <f t="shared" si="47"/>
        <v>#DIV/0!</v>
      </c>
      <c r="O290" s="171" t="e">
        <f t="shared" si="40"/>
        <v>#DIV/0!</v>
      </c>
      <c r="P290" s="171" t="e">
        <f t="shared" si="48"/>
        <v>#DIV/0!</v>
      </c>
      <c r="Q290" s="171" t="e">
        <f t="shared" si="49"/>
        <v>#DIV/0!</v>
      </c>
      <c r="R290" s="186">
        <f>IF('prijem - EUR-viac-domacnosti'!$I$120=TRUE,IF($C$11&gt;0,0.00025*N289,0),IF('prijem - EUR-viac-domacnosti'!$I$121=TRUE,IF('prijem - EUR-viac-domacnosti'!$F$121&gt;0,0.00025*N289*-1,0),0))</f>
        <v>0</v>
      </c>
    </row>
    <row r="291" spans="1:18" x14ac:dyDescent="0.2">
      <c r="A291" s="89">
        <v>275</v>
      </c>
      <c r="B291" s="186" t="e">
        <f t="shared" si="41"/>
        <v>#NUM!</v>
      </c>
      <c r="C291" s="171" t="e">
        <f t="shared" si="42"/>
        <v>#NUM!</v>
      </c>
      <c r="D291" s="171" t="e">
        <f t="shared" si="43"/>
        <v>#NUM!</v>
      </c>
      <c r="E291" s="171" t="e">
        <f t="shared" si="44"/>
        <v>#NUM!</v>
      </c>
      <c r="F291" s="171" t="e">
        <f t="shared" si="45"/>
        <v>#NUM!</v>
      </c>
      <c r="G291" s="186">
        <f>IF('prijem - EUR-viac-domacnosti'!$I$120=TRUE,IF($C$11&gt;0,0.00025*C290,0),IF('prijem - EUR-viac-domacnosti'!$I$121=TRUE,IF('prijem - EUR-viac-domacnosti'!$F$121&gt;0,0.00025*C290,0),0))</f>
        <v>0</v>
      </c>
      <c r="L291" s="89">
        <v>275</v>
      </c>
      <c r="M291" s="186" t="e">
        <f t="shared" si="46"/>
        <v>#DIV/0!</v>
      </c>
      <c r="N291" s="171" t="e">
        <f t="shared" si="47"/>
        <v>#DIV/0!</v>
      </c>
      <c r="O291" s="171" t="e">
        <f t="shared" si="40"/>
        <v>#DIV/0!</v>
      </c>
      <c r="P291" s="171" t="e">
        <f t="shared" si="48"/>
        <v>#DIV/0!</v>
      </c>
      <c r="Q291" s="171" t="e">
        <f t="shared" si="49"/>
        <v>#DIV/0!</v>
      </c>
      <c r="R291" s="186">
        <f>IF('prijem - EUR-viac-domacnosti'!$I$120=TRUE,IF($C$11&gt;0,0.00025*N290,0),IF('prijem - EUR-viac-domacnosti'!$I$121=TRUE,IF('prijem - EUR-viac-domacnosti'!$F$121&gt;0,0.00025*N290*-1,0),0))</f>
        <v>0</v>
      </c>
    </row>
    <row r="292" spans="1:18" x14ac:dyDescent="0.2">
      <c r="A292" s="89">
        <v>276</v>
      </c>
      <c r="B292" s="186" t="e">
        <f t="shared" si="41"/>
        <v>#NUM!</v>
      </c>
      <c r="C292" s="171" t="e">
        <f t="shared" si="42"/>
        <v>#NUM!</v>
      </c>
      <c r="D292" s="171" t="e">
        <f t="shared" si="43"/>
        <v>#NUM!</v>
      </c>
      <c r="E292" s="171" t="e">
        <f t="shared" si="44"/>
        <v>#NUM!</v>
      </c>
      <c r="F292" s="171" t="e">
        <f t="shared" si="45"/>
        <v>#NUM!</v>
      </c>
      <c r="G292" s="186">
        <f>IF('prijem - EUR-viac-domacnosti'!$I$120=TRUE,IF($C$11&gt;0,0.00025*C291,0),IF('prijem - EUR-viac-domacnosti'!$I$121=TRUE,IF('prijem - EUR-viac-domacnosti'!$F$121&gt;0,0.00025*C291,0),0))</f>
        <v>0</v>
      </c>
      <c r="L292" s="89">
        <v>276</v>
      </c>
      <c r="M292" s="186" t="e">
        <f t="shared" si="46"/>
        <v>#DIV/0!</v>
      </c>
      <c r="N292" s="171" t="e">
        <f t="shared" si="47"/>
        <v>#DIV/0!</v>
      </c>
      <c r="O292" s="171" t="e">
        <f t="shared" si="40"/>
        <v>#DIV/0!</v>
      </c>
      <c r="P292" s="171" t="e">
        <f t="shared" si="48"/>
        <v>#DIV/0!</v>
      </c>
      <c r="Q292" s="171" t="e">
        <f t="shared" si="49"/>
        <v>#DIV/0!</v>
      </c>
      <c r="R292" s="186">
        <f>IF('prijem - EUR-viac-domacnosti'!$I$120=TRUE,IF($C$11&gt;0,0.00025*N291,0),IF('prijem - EUR-viac-domacnosti'!$I$121=TRUE,IF('prijem - EUR-viac-domacnosti'!$F$121&gt;0,0.00025*N291*-1,0),0))</f>
        <v>0</v>
      </c>
    </row>
    <row r="293" spans="1:18" x14ac:dyDescent="0.2">
      <c r="A293" s="89">
        <v>277</v>
      </c>
      <c r="B293" s="186" t="e">
        <f t="shared" si="41"/>
        <v>#NUM!</v>
      </c>
      <c r="C293" s="171" t="e">
        <f t="shared" si="42"/>
        <v>#NUM!</v>
      </c>
      <c r="D293" s="171" t="e">
        <f t="shared" si="43"/>
        <v>#NUM!</v>
      </c>
      <c r="E293" s="171" t="e">
        <f t="shared" si="44"/>
        <v>#NUM!</v>
      </c>
      <c r="F293" s="171" t="e">
        <f t="shared" si="45"/>
        <v>#NUM!</v>
      </c>
      <c r="G293" s="186">
        <f>IF('prijem - EUR-viac-domacnosti'!$I$120=TRUE,IF($C$11&gt;0,0.00025*C292,0),IF('prijem - EUR-viac-domacnosti'!$I$121=TRUE,IF('prijem - EUR-viac-domacnosti'!$F$121&gt;0,0.00025*C292,0),0))</f>
        <v>0</v>
      </c>
      <c r="L293" s="89">
        <v>277</v>
      </c>
      <c r="M293" s="186" t="e">
        <f t="shared" si="46"/>
        <v>#DIV/0!</v>
      </c>
      <c r="N293" s="171" t="e">
        <f t="shared" si="47"/>
        <v>#DIV/0!</v>
      </c>
      <c r="O293" s="171" t="e">
        <f t="shared" si="40"/>
        <v>#DIV/0!</v>
      </c>
      <c r="P293" s="171" t="e">
        <f t="shared" si="48"/>
        <v>#DIV/0!</v>
      </c>
      <c r="Q293" s="171" t="e">
        <f t="shared" si="49"/>
        <v>#DIV/0!</v>
      </c>
      <c r="R293" s="186">
        <f>IF('prijem - EUR-viac-domacnosti'!$I$120=TRUE,IF($C$11&gt;0,0.00025*N292,0),IF('prijem - EUR-viac-domacnosti'!$I$121=TRUE,IF('prijem - EUR-viac-domacnosti'!$F$121&gt;0,0.00025*N292*-1,0),0))</f>
        <v>0</v>
      </c>
    </row>
    <row r="294" spans="1:18" x14ac:dyDescent="0.2">
      <c r="A294" s="89">
        <v>278</v>
      </c>
      <c r="B294" s="186" t="e">
        <f t="shared" si="41"/>
        <v>#NUM!</v>
      </c>
      <c r="C294" s="171" t="e">
        <f t="shared" si="42"/>
        <v>#NUM!</v>
      </c>
      <c r="D294" s="171" t="e">
        <f t="shared" si="43"/>
        <v>#NUM!</v>
      </c>
      <c r="E294" s="171" t="e">
        <f t="shared" si="44"/>
        <v>#NUM!</v>
      </c>
      <c r="F294" s="171" t="e">
        <f t="shared" si="45"/>
        <v>#NUM!</v>
      </c>
      <c r="G294" s="186">
        <f>IF('prijem - EUR-viac-domacnosti'!$I$120=TRUE,IF($C$11&gt;0,0.00025*C293,0),IF('prijem - EUR-viac-domacnosti'!$I$121=TRUE,IF('prijem - EUR-viac-domacnosti'!$F$121&gt;0,0.00025*C293,0),0))</f>
        <v>0</v>
      </c>
      <c r="L294" s="89">
        <v>278</v>
      </c>
      <c r="M294" s="186" t="e">
        <f t="shared" si="46"/>
        <v>#DIV/0!</v>
      </c>
      <c r="N294" s="171" t="e">
        <f t="shared" si="47"/>
        <v>#DIV/0!</v>
      </c>
      <c r="O294" s="171" t="e">
        <f t="shared" si="40"/>
        <v>#DIV/0!</v>
      </c>
      <c r="P294" s="171" t="e">
        <f t="shared" si="48"/>
        <v>#DIV/0!</v>
      </c>
      <c r="Q294" s="171" t="e">
        <f t="shared" si="49"/>
        <v>#DIV/0!</v>
      </c>
      <c r="R294" s="186">
        <f>IF('prijem - EUR-viac-domacnosti'!$I$120=TRUE,IF($C$11&gt;0,0.00025*N293,0),IF('prijem - EUR-viac-domacnosti'!$I$121=TRUE,IF('prijem - EUR-viac-domacnosti'!$F$121&gt;0,0.00025*N293*-1,0),0))</f>
        <v>0</v>
      </c>
    </row>
    <row r="295" spans="1:18" x14ac:dyDescent="0.2">
      <c r="A295" s="89">
        <v>279</v>
      </c>
      <c r="B295" s="186" t="e">
        <f t="shared" si="41"/>
        <v>#NUM!</v>
      </c>
      <c r="C295" s="171" t="e">
        <f t="shared" si="42"/>
        <v>#NUM!</v>
      </c>
      <c r="D295" s="171" t="e">
        <f t="shared" si="43"/>
        <v>#NUM!</v>
      </c>
      <c r="E295" s="171" t="e">
        <f t="shared" si="44"/>
        <v>#NUM!</v>
      </c>
      <c r="F295" s="171" t="e">
        <f t="shared" si="45"/>
        <v>#NUM!</v>
      </c>
      <c r="G295" s="186">
        <f>IF('prijem - EUR-viac-domacnosti'!$I$120=TRUE,IF($C$11&gt;0,0.00025*C294,0),IF('prijem - EUR-viac-domacnosti'!$I$121=TRUE,IF('prijem - EUR-viac-domacnosti'!$F$121&gt;0,0.00025*C294,0),0))</f>
        <v>0</v>
      </c>
      <c r="L295" s="89">
        <v>279</v>
      </c>
      <c r="M295" s="186" t="e">
        <f t="shared" si="46"/>
        <v>#DIV/0!</v>
      </c>
      <c r="N295" s="171" t="e">
        <f t="shared" si="47"/>
        <v>#DIV/0!</v>
      </c>
      <c r="O295" s="171" t="e">
        <f t="shared" si="40"/>
        <v>#DIV/0!</v>
      </c>
      <c r="P295" s="171" t="e">
        <f t="shared" si="48"/>
        <v>#DIV/0!</v>
      </c>
      <c r="Q295" s="171" t="e">
        <f t="shared" si="49"/>
        <v>#DIV/0!</v>
      </c>
      <c r="R295" s="186">
        <f>IF('prijem - EUR-viac-domacnosti'!$I$120=TRUE,IF($C$11&gt;0,0.00025*N294,0),IF('prijem - EUR-viac-domacnosti'!$I$121=TRUE,IF('prijem - EUR-viac-domacnosti'!$F$121&gt;0,0.00025*N294*-1,0),0))</f>
        <v>0</v>
      </c>
    </row>
    <row r="296" spans="1:18" x14ac:dyDescent="0.2">
      <c r="A296" s="89">
        <v>280</v>
      </c>
      <c r="B296" s="186" t="e">
        <f t="shared" si="41"/>
        <v>#NUM!</v>
      </c>
      <c r="C296" s="171" t="e">
        <f t="shared" si="42"/>
        <v>#NUM!</v>
      </c>
      <c r="D296" s="171" t="e">
        <f t="shared" si="43"/>
        <v>#NUM!</v>
      </c>
      <c r="E296" s="171" t="e">
        <f t="shared" si="44"/>
        <v>#NUM!</v>
      </c>
      <c r="F296" s="171" t="e">
        <f t="shared" si="45"/>
        <v>#NUM!</v>
      </c>
      <c r="G296" s="186">
        <f>IF('prijem - EUR-viac-domacnosti'!$I$120=TRUE,IF($C$11&gt;0,0.00025*C295,0),IF('prijem - EUR-viac-domacnosti'!$I$121=TRUE,IF('prijem - EUR-viac-domacnosti'!$F$121&gt;0,0.00025*C295,0),0))</f>
        <v>0</v>
      </c>
      <c r="L296" s="89">
        <v>280</v>
      </c>
      <c r="M296" s="186" t="e">
        <f t="shared" si="46"/>
        <v>#DIV/0!</v>
      </c>
      <c r="N296" s="171" t="e">
        <f t="shared" si="47"/>
        <v>#DIV/0!</v>
      </c>
      <c r="O296" s="171" t="e">
        <f t="shared" si="40"/>
        <v>#DIV/0!</v>
      </c>
      <c r="P296" s="171" t="e">
        <f t="shared" si="48"/>
        <v>#DIV/0!</v>
      </c>
      <c r="Q296" s="171" t="e">
        <f t="shared" si="49"/>
        <v>#DIV/0!</v>
      </c>
      <c r="R296" s="186">
        <f>IF('prijem - EUR-viac-domacnosti'!$I$120=TRUE,IF($C$11&gt;0,0.00025*N295,0),IF('prijem - EUR-viac-domacnosti'!$I$121=TRUE,IF('prijem - EUR-viac-domacnosti'!$F$121&gt;0,0.00025*N295*-1,0),0))</f>
        <v>0</v>
      </c>
    </row>
    <row r="297" spans="1:18" x14ac:dyDescent="0.2">
      <c r="A297" s="89">
        <v>281</v>
      </c>
      <c r="B297" s="186" t="e">
        <f t="shared" si="41"/>
        <v>#NUM!</v>
      </c>
      <c r="C297" s="171" t="e">
        <f t="shared" si="42"/>
        <v>#NUM!</v>
      </c>
      <c r="D297" s="171" t="e">
        <f t="shared" si="43"/>
        <v>#NUM!</v>
      </c>
      <c r="E297" s="171" t="e">
        <f t="shared" si="44"/>
        <v>#NUM!</v>
      </c>
      <c r="F297" s="171" t="e">
        <f t="shared" si="45"/>
        <v>#NUM!</v>
      </c>
      <c r="G297" s="186">
        <f>IF('prijem - EUR-viac-domacnosti'!$I$120=TRUE,IF($C$11&gt;0,0.00025*C296,0),IF('prijem - EUR-viac-domacnosti'!$I$121=TRUE,IF('prijem - EUR-viac-domacnosti'!$F$121&gt;0,0.00025*C296,0),0))</f>
        <v>0</v>
      </c>
      <c r="L297" s="89">
        <v>281</v>
      </c>
      <c r="M297" s="186" t="e">
        <f t="shared" si="46"/>
        <v>#DIV/0!</v>
      </c>
      <c r="N297" s="171" t="e">
        <f t="shared" si="47"/>
        <v>#DIV/0!</v>
      </c>
      <c r="O297" s="171" t="e">
        <f t="shared" si="40"/>
        <v>#DIV/0!</v>
      </c>
      <c r="P297" s="171" t="e">
        <f t="shared" si="48"/>
        <v>#DIV/0!</v>
      </c>
      <c r="Q297" s="171" t="e">
        <f t="shared" si="49"/>
        <v>#DIV/0!</v>
      </c>
      <c r="R297" s="186">
        <f>IF('prijem - EUR-viac-domacnosti'!$I$120=TRUE,IF($C$11&gt;0,0.00025*N296,0),IF('prijem - EUR-viac-domacnosti'!$I$121=TRUE,IF('prijem - EUR-viac-domacnosti'!$F$121&gt;0,0.00025*N296*-1,0),0))</f>
        <v>0</v>
      </c>
    </row>
    <row r="298" spans="1:18" x14ac:dyDescent="0.2">
      <c r="A298" s="89">
        <v>282</v>
      </c>
      <c r="B298" s="186" t="e">
        <f t="shared" si="41"/>
        <v>#NUM!</v>
      </c>
      <c r="C298" s="171" t="e">
        <f t="shared" si="42"/>
        <v>#NUM!</v>
      </c>
      <c r="D298" s="171" t="e">
        <f t="shared" si="43"/>
        <v>#NUM!</v>
      </c>
      <c r="E298" s="171" t="e">
        <f t="shared" si="44"/>
        <v>#NUM!</v>
      </c>
      <c r="F298" s="171" t="e">
        <f t="shared" si="45"/>
        <v>#NUM!</v>
      </c>
      <c r="G298" s="186">
        <f>IF('prijem - EUR-viac-domacnosti'!$I$120=TRUE,IF($C$11&gt;0,0.00025*C297,0),IF('prijem - EUR-viac-domacnosti'!$I$121=TRUE,IF('prijem - EUR-viac-domacnosti'!$F$121&gt;0,0.00025*C297,0),0))</f>
        <v>0</v>
      </c>
      <c r="L298" s="89">
        <v>282</v>
      </c>
      <c r="M298" s="186" t="e">
        <f t="shared" si="46"/>
        <v>#DIV/0!</v>
      </c>
      <c r="N298" s="171" t="e">
        <f t="shared" si="47"/>
        <v>#DIV/0!</v>
      </c>
      <c r="O298" s="171" t="e">
        <f t="shared" si="40"/>
        <v>#DIV/0!</v>
      </c>
      <c r="P298" s="171" t="e">
        <f t="shared" si="48"/>
        <v>#DIV/0!</v>
      </c>
      <c r="Q298" s="171" t="e">
        <f t="shared" si="49"/>
        <v>#DIV/0!</v>
      </c>
      <c r="R298" s="186">
        <f>IF('prijem - EUR-viac-domacnosti'!$I$120=TRUE,IF($C$11&gt;0,0.00025*N297,0),IF('prijem - EUR-viac-domacnosti'!$I$121=TRUE,IF('prijem - EUR-viac-domacnosti'!$F$121&gt;0,0.00025*N297*-1,0),0))</f>
        <v>0</v>
      </c>
    </row>
    <row r="299" spans="1:18" x14ac:dyDescent="0.2">
      <c r="A299" s="89">
        <v>283</v>
      </c>
      <c r="B299" s="186" t="e">
        <f t="shared" si="41"/>
        <v>#NUM!</v>
      </c>
      <c r="C299" s="171" t="e">
        <f t="shared" si="42"/>
        <v>#NUM!</v>
      </c>
      <c r="D299" s="171" t="e">
        <f t="shared" si="43"/>
        <v>#NUM!</v>
      </c>
      <c r="E299" s="171" t="e">
        <f t="shared" si="44"/>
        <v>#NUM!</v>
      </c>
      <c r="F299" s="171" t="e">
        <f t="shared" si="45"/>
        <v>#NUM!</v>
      </c>
      <c r="G299" s="186">
        <f>IF('prijem - EUR-viac-domacnosti'!$I$120=TRUE,IF($C$11&gt;0,0.00025*C298,0),IF('prijem - EUR-viac-domacnosti'!$I$121=TRUE,IF('prijem - EUR-viac-domacnosti'!$F$121&gt;0,0.00025*C298,0),0))</f>
        <v>0</v>
      </c>
      <c r="L299" s="89">
        <v>283</v>
      </c>
      <c r="M299" s="186" t="e">
        <f t="shared" si="46"/>
        <v>#DIV/0!</v>
      </c>
      <c r="N299" s="171" t="e">
        <f t="shared" si="47"/>
        <v>#DIV/0!</v>
      </c>
      <c r="O299" s="171" t="e">
        <f t="shared" si="40"/>
        <v>#DIV/0!</v>
      </c>
      <c r="P299" s="171" t="e">
        <f t="shared" si="48"/>
        <v>#DIV/0!</v>
      </c>
      <c r="Q299" s="171" t="e">
        <f t="shared" si="49"/>
        <v>#DIV/0!</v>
      </c>
      <c r="R299" s="186">
        <f>IF('prijem - EUR-viac-domacnosti'!$I$120=TRUE,IF($C$11&gt;0,0.00025*N298,0),IF('prijem - EUR-viac-domacnosti'!$I$121=TRUE,IF('prijem - EUR-viac-domacnosti'!$F$121&gt;0,0.00025*N298*-1,0),0))</f>
        <v>0</v>
      </c>
    </row>
    <row r="300" spans="1:18" x14ac:dyDescent="0.2">
      <c r="A300" s="89">
        <v>284</v>
      </c>
      <c r="B300" s="186" t="e">
        <f t="shared" si="41"/>
        <v>#NUM!</v>
      </c>
      <c r="C300" s="171" t="e">
        <f t="shared" si="42"/>
        <v>#NUM!</v>
      </c>
      <c r="D300" s="171" t="e">
        <f t="shared" si="43"/>
        <v>#NUM!</v>
      </c>
      <c r="E300" s="171" t="e">
        <f t="shared" si="44"/>
        <v>#NUM!</v>
      </c>
      <c r="F300" s="171" t="e">
        <f t="shared" si="45"/>
        <v>#NUM!</v>
      </c>
      <c r="G300" s="186">
        <f>IF('prijem - EUR-viac-domacnosti'!$I$120=TRUE,IF($C$11&gt;0,0.00025*C299,0),IF('prijem - EUR-viac-domacnosti'!$I$121=TRUE,IF('prijem - EUR-viac-domacnosti'!$F$121&gt;0,0.00025*C299,0),0))</f>
        <v>0</v>
      </c>
      <c r="L300" s="89">
        <v>284</v>
      </c>
      <c r="M300" s="186" t="e">
        <f t="shared" si="46"/>
        <v>#DIV/0!</v>
      </c>
      <c r="N300" s="171" t="e">
        <f t="shared" si="47"/>
        <v>#DIV/0!</v>
      </c>
      <c r="O300" s="171" t="e">
        <f t="shared" si="40"/>
        <v>#DIV/0!</v>
      </c>
      <c r="P300" s="171" t="e">
        <f t="shared" si="48"/>
        <v>#DIV/0!</v>
      </c>
      <c r="Q300" s="171" t="e">
        <f t="shared" si="49"/>
        <v>#DIV/0!</v>
      </c>
      <c r="R300" s="186">
        <f>IF('prijem - EUR-viac-domacnosti'!$I$120=TRUE,IF($C$11&gt;0,0.00025*N299,0),IF('prijem - EUR-viac-domacnosti'!$I$121=TRUE,IF('prijem - EUR-viac-domacnosti'!$F$121&gt;0,0.00025*N299*-1,0),0))</f>
        <v>0</v>
      </c>
    </row>
    <row r="301" spans="1:18" x14ac:dyDescent="0.2">
      <c r="A301" s="89">
        <v>285</v>
      </c>
      <c r="B301" s="186" t="e">
        <f t="shared" si="41"/>
        <v>#NUM!</v>
      </c>
      <c r="C301" s="171" t="e">
        <f t="shared" si="42"/>
        <v>#NUM!</v>
      </c>
      <c r="D301" s="171" t="e">
        <f t="shared" si="43"/>
        <v>#NUM!</v>
      </c>
      <c r="E301" s="171" t="e">
        <f t="shared" si="44"/>
        <v>#NUM!</v>
      </c>
      <c r="F301" s="171" t="e">
        <f t="shared" si="45"/>
        <v>#NUM!</v>
      </c>
      <c r="G301" s="186">
        <f>IF('prijem - EUR-viac-domacnosti'!$I$120=TRUE,IF($C$11&gt;0,0.00025*C300,0),IF('prijem - EUR-viac-domacnosti'!$I$121=TRUE,IF('prijem - EUR-viac-domacnosti'!$F$121&gt;0,0.00025*C300,0),0))</f>
        <v>0</v>
      </c>
      <c r="L301" s="89">
        <v>285</v>
      </c>
      <c r="M301" s="186" t="e">
        <f t="shared" si="46"/>
        <v>#DIV/0!</v>
      </c>
      <c r="N301" s="171" t="e">
        <f t="shared" si="47"/>
        <v>#DIV/0!</v>
      </c>
      <c r="O301" s="171" t="e">
        <f t="shared" si="40"/>
        <v>#DIV/0!</v>
      </c>
      <c r="P301" s="171" t="e">
        <f t="shared" si="48"/>
        <v>#DIV/0!</v>
      </c>
      <c r="Q301" s="171" t="e">
        <f t="shared" si="49"/>
        <v>#DIV/0!</v>
      </c>
      <c r="R301" s="186">
        <f>IF('prijem - EUR-viac-domacnosti'!$I$120=TRUE,IF($C$11&gt;0,0.00025*N300,0),IF('prijem - EUR-viac-domacnosti'!$I$121=TRUE,IF('prijem - EUR-viac-domacnosti'!$F$121&gt;0,0.00025*N300*-1,0),0))</f>
        <v>0</v>
      </c>
    </row>
    <row r="302" spans="1:18" x14ac:dyDescent="0.2">
      <c r="A302" s="89">
        <v>286</v>
      </c>
      <c r="B302" s="186" t="e">
        <f t="shared" si="41"/>
        <v>#NUM!</v>
      </c>
      <c r="C302" s="171" t="e">
        <f t="shared" si="42"/>
        <v>#NUM!</v>
      </c>
      <c r="D302" s="171" t="e">
        <f t="shared" si="43"/>
        <v>#NUM!</v>
      </c>
      <c r="E302" s="171" t="e">
        <f t="shared" si="44"/>
        <v>#NUM!</v>
      </c>
      <c r="F302" s="171" t="e">
        <f t="shared" si="45"/>
        <v>#NUM!</v>
      </c>
      <c r="G302" s="186">
        <f>IF('prijem - EUR-viac-domacnosti'!$I$120=TRUE,IF($C$11&gt;0,0.00025*C301,0),IF('prijem - EUR-viac-domacnosti'!$I$121=TRUE,IF('prijem - EUR-viac-domacnosti'!$F$121&gt;0,0.00025*C301,0),0))</f>
        <v>0</v>
      </c>
      <c r="L302" s="89">
        <v>286</v>
      </c>
      <c r="M302" s="186" t="e">
        <f t="shared" si="46"/>
        <v>#DIV/0!</v>
      </c>
      <c r="N302" s="171" t="e">
        <f t="shared" si="47"/>
        <v>#DIV/0!</v>
      </c>
      <c r="O302" s="171" t="e">
        <f t="shared" si="40"/>
        <v>#DIV/0!</v>
      </c>
      <c r="P302" s="171" t="e">
        <f t="shared" si="48"/>
        <v>#DIV/0!</v>
      </c>
      <c r="Q302" s="171" t="e">
        <f t="shared" si="49"/>
        <v>#DIV/0!</v>
      </c>
      <c r="R302" s="186">
        <f>IF('prijem - EUR-viac-domacnosti'!$I$120=TRUE,IF($C$11&gt;0,0.00025*N301,0),IF('prijem - EUR-viac-domacnosti'!$I$121=TRUE,IF('prijem - EUR-viac-domacnosti'!$F$121&gt;0,0.00025*N301*-1,0),0))</f>
        <v>0</v>
      </c>
    </row>
    <row r="303" spans="1:18" x14ac:dyDescent="0.2">
      <c r="A303" s="89">
        <v>287</v>
      </c>
      <c r="B303" s="186" t="e">
        <f t="shared" si="41"/>
        <v>#NUM!</v>
      </c>
      <c r="C303" s="171" t="e">
        <f t="shared" si="42"/>
        <v>#NUM!</v>
      </c>
      <c r="D303" s="171" t="e">
        <f t="shared" si="43"/>
        <v>#NUM!</v>
      </c>
      <c r="E303" s="171" t="e">
        <f t="shared" si="44"/>
        <v>#NUM!</v>
      </c>
      <c r="F303" s="171" t="e">
        <f t="shared" si="45"/>
        <v>#NUM!</v>
      </c>
      <c r="G303" s="186">
        <f>IF('prijem - EUR-viac-domacnosti'!$I$120=TRUE,IF($C$11&gt;0,0.00025*C302,0),IF('prijem - EUR-viac-domacnosti'!$I$121=TRUE,IF('prijem - EUR-viac-domacnosti'!$F$121&gt;0,0.00025*C302,0),0))</f>
        <v>0</v>
      </c>
      <c r="L303" s="89">
        <v>287</v>
      </c>
      <c r="M303" s="186" t="e">
        <f t="shared" si="46"/>
        <v>#DIV/0!</v>
      </c>
      <c r="N303" s="171" t="e">
        <f t="shared" si="47"/>
        <v>#DIV/0!</v>
      </c>
      <c r="O303" s="171" t="e">
        <f t="shared" si="40"/>
        <v>#DIV/0!</v>
      </c>
      <c r="P303" s="171" t="e">
        <f t="shared" si="48"/>
        <v>#DIV/0!</v>
      </c>
      <c r="Q303" s="171" t="e">
        <f t="shared" si="49"/>
        <v>#DIV/0!</v>
      </c>
      <c r="R303" s="186">
        <f>IF('prijem - EUR-viac-domacnosti'!$I$120=TRUE,IF($C$11&gt;0,0.00025*N302,0),IF('prijem - EUR-viac-domacnosti'!$I$121=TRUE,IF('prijem - EUR-viac-domacnosti'!$F$121&gt;0,0.00025*N302*-1,0),0))</f>
        <v>0</v>
      </c>
    </row>
    <row r="304" spans="1:18" x14ac:dyDescent="0.2">
      <c r="A304" s="89">
        <v>288</v>
      </c>
      <c r="B304" s="186" t="e">
        <f t="shared" si="41"/>
        <v>#NUM!</v>
      </c>
      <c r="C304" s="171" t="e">
        <f t="shared" si="42"/>
        <v>#NUM!</v>
      </c>
      <c r="D304" s="171" t="e">
        <f t="shared" si="43"/>
        <v>#NUM!</v>
      </c>
      <c r="E304" s="171" t="e">
        <f t="shared" si="44"/>
        <v>#NUM!</v>
      </c>
      <c r="F304" s="171" t="e">
        <f t="shared" si="45"/>
        <v>#NUM!</v>
      </c>
      <c r="G304" s="186">
        <f>IF('prijem - EUR-viac-domacnosti'!$I$120=TRUE,IF($C$11&gt;0,0.00025*C303,0),IF('prijem - EUR-viac-domacnosti'!$I$121=TRUE,IF('prijem - EUR-viac-domacnosti'!$F$121&gt;0,0.00025*C303,0),0))</f>
        <v>0</v>
      </c>
      <c r="L304" s="89">
        <v>288</v>
      </c>
      <c r="M304" s="186" t="e">
        <f t="shared" si="46"/>
        <v>#DIV/0!</v>
      </c>
      <c r="N304" s="171" t="e">
        <f t="shared" si="47"/>
        <v>#DIV/0!</v>
      </c>
      <c r="O304" s="171" t="e">
        <f t="shared" si="40"/>
        <v>#DIV/0!</v>
      </c>
      <c r="P304" s="171" t="e">
        <f t="shared" si="48"/>
        <v>#DIV/0!</v>
      </c>
      <c r="Q304" s="171" t="e">
        <f t="shared" si="49"/>
        <v>#DIV/0!</v>
      </c>
      <c r="R304" s="186">
        <f>IF('prijem - EUR-viac-domacnosti'!$I$120=TRUE,IF($C$11&gt;0,0.00025*N303,0),IF('prijem - EUR-viac-domacnosti'!$I$121=TRUE,IF('prijem - EUR-viac-domacnosti'!$F$121&gt;0,0.00025*N303*-1,0),0))</f>
        <v>0</v>
      </c>
    </row>
    <row r="305" spans="1:18" x14ac:dyDescent="0.2">
      <c r="A305" s="89">
        <v>289</v>
      </c>
      <c r="B305" s="186" t="e">
        <f t="shared" si="41"/>
        <v>#NUM!</v>
      </c>
      <c r="C305" s="171" t="e">
        <f t="shared" si="42"/>
        <v>#NUM!</v>
      </c>
      <c r="D305" s="171" t="e">
        <f t="shared" si="43"/>
        <v>#NUM!</v>
      </c>
      <c r="E305" s="171" t="e">
        <f t="shared" si="44"/>
        <v>#NUM!</v>
      </c>
      <c r="F305" s="171" t="e">
        <f t="shared" si="45"/>
        <v>#NUM!</v>
      </c>
      <c r="G305" s="186">
        <f>IF('prijem - EUR-viac-domacnosti'!$I$120=TRUE,IF($C$11&gt;0,0.00025*C304,0),IF('prijem - EUR-viac-domacnosti'!$I$121=TRUE,IF('prijem - EUR-viac-domacnosti'!$F$121&gt;0,0.00025*C304,0),0))</f>
        <v>0</v>
      </c>
      <c r="L305" s="89">
        <v>289</v>
      </c>
      <c r="M305" s="186" t="e">
        <f t="shared" si="46"/>
        <v>#DIV/0!</v>
      </c>
      <c r="N305" s="171" t="e">
        <f t="shared" si="47"/>
        <v>#DIV/0!</v>
      </c>
      <c r="O305" s="171" t="e">
        <f t="shared" si="40"/>
        <v>#DIV/0!</v>
      </c>
      <c r="P305" s="171" t="e">
        <f t="shared" si="48"/>
        <v>#DIV/0!</v>
      </c>
      <c r="Q305" s="171" t="e">
        <f t="shared" si="49"/>
        <v>#DIV/0!</v>
      </c>
      <c r="R305" s="186">
        <f>IF('prijem - EUR-viac-domacnosti'!$I$120=TRUE,IF($C$11&gt;0,0.00025*N304,0),IF('prijem - EUR-viac-domacnosti'!$I$121=TRUE,IF('prijem - EUR-viac-domacnosti'!$F$121&gt;0,0.00025*N304*-1,0),0))</f>
        <v>0</v>
      </c>
    </row>
    <row r="306" spans="1:18" x14ac:dyDescent="0.2">
      <c r="A306" s="89">
        <v>290</v>
      </c>
      <c r="B306" s="186" t="e">
        <f t="shared" si="41"/>
        <v>#NUM!</v>
      </c>
      <c r="C306" s="171" t="e">
        <f t="shared" si="42"/>
        <v>#NUM!</v>
      </c>
      <c r="D306" s="171" t="e">
        <f t="shared" si="43"/>
        <v>#NUM!</v>
      </c>
      <c r="E306" s="171" t="e">
        <f t="shared" si="44"/>
        <v>#NUM!</v>
      </c>
      <c r="F306" s="171" t="e">
        <f t="shared" si="45"/>
        <v>#NUM!</v>
      </c>
      <c r="G306" s="186">
        <f>IF('prijem - EUR-viac-domacnosti'!$I$120=TRUE,IF($C$11&gt;0,0.00025*C305,0),IF('prijem - EUR-viac-domacnosti'!$I$121=TRUE,IF('prijem - EUR-viac-domacnosti'!$F$121&gt;0,0.00025*C305,0),0))</f>
        <v>0</v>
      </c>
      <c r="L306" s="89">
        <v>290</v>
      </c>
      <c r="M306" s="186" t="e">
        <f t="shared" si="46"/>
        <v>#DIV/0!</v>
      </c>
      <c r="N306" s="171" t="e">
        <f t="shared" si="47"/>
        <v>#DIV/0!</v>
      </c>
      <c r="O306" s="171" t="e">
        <f t="shared" si="40"/>
        <v>#DIV/0!</v>
      </c>
      <c r="P306" s="171" t="e">
        <f t="shared" si="48"/>
        <v>#DIV/0!</v>
      </c>
      <c r="Q306" s="171" t="e">
        <f t="shared" si="49"/>
        <v>#DIV/0!</v>
      </c>
      <c r="R306" s="186">
        <f>IF('prijem - EUR-viac-domacnosti'!$I$120=TRUE,IF($C$11&gt;0,0.00025*N305,0),IF('prijem - EUR-viac-domacnosti'!$I$121=TRUE,IF('prijem - EUR-viac-domacnosti'!$F$121&gt;0,0.00025*N305*-1,0),0))</f>
        <v>0</v>
      </c>
    </row>
    <row r="307" spans="1:18" x14ac:dyDescent="0.2">
      <c r="A307" s="89">
        <v>291</v>
      </c>
      <c r="B307" s="186" t="e">
        <f t="shared" si="41"/>
        <v>#NUM!</v>
      </c>
      <c r="C307" s="171" t="e">
        <f t="shared" si="42"/>
        <v>#NUM!</v>
      </c>
      <c r="D307" s="171" t="e">
        <f t="shared" si="43"/>
        <v>#NUM!</v>
      </c>
      <c r="E307" s="171" t="e">
        <f t="shared" si="44"/>
        <v>#NUM!</v>
      </c>
      <c r="F307" s="171" t="e">
        <f t="shared" si="45"/>
        <v>#NUM!</v>
      </c>
      <c r="G307" s="186">
        <f>IF('prijem - EUR-viac-domacnosti'!$I$120=TRUE,IF($C$11&gt;0,0.00025*C306,0),IF('prijem - EUR-viac-domacnosti'!$I$121=TRUE,IF('prijem - EUR-viac-domacnosti'!$F$121&gt;0,0.00025*C306,0),0))</f>
        <v>0</v>
      </c>
      <c r="L307" s="89">
        <v>291</v>
      </c>
      <c r="M307" s="186" t="e">
        <f t="shared" si="46"/>
        <v>#DIV/0!</v>
      </c>
      <c r="N307" s="171" t="e">
        <f t="shared" si="47"/>
        <v>#DIV/0!</v>
      </c>
      <c r="O307" s="171" t="e">
        <f t="shared" si="40"/>
        <v>#DIV/0!</v>
      </c>
      <c r="P307" s="171" t="e">
        <f t="shared" si="48"/>
        <v>#DIV/0!</v>
      </c>
      <c r="Q307" s="171" t="e">
        <f t="shared" si="49"/>
        <v>#DIV/0!</v>
      </c>
      <c r="R307" s="186">
        <f>IF('prijem - EUR-viac-domacnosti'!$I$120=TRUE,IF($C$11&gt;0,0.00025*N306,0),IF('prijem - EUR-viac-domacnosti'!$I$121=TRUE,IF('prijem - EUR-viac-domacnosti'!$F$121&gt;0,0.00025*N306*-1,0),0))</f>
        <v>0</v>
      </c>
    </row>
    <row r="308" spans="1:18" x14ac:dyDescent="0.2">
      <c r="A308" s="89">
        <v>292</v>
      </c>
      <c r="B308" s="186" t="e">
        <f t="shared" si="41"/>
        <v>#NUM!</v>
      </c>
      <c r="C308" s="171" t="e">
        <f t="shared" si="42"/>
        <v>#NUM!</v>
      </c>
      <c r="D308" s="171" t="e">
        <f t="shared" si="43"/>
        <v>#NUM!</v>
      </c>
      <c r="E308" s="171" t="e">
        <f t="shared" si="44"/>
        <v>#NUM!</v>
      </c>
      <c r="F308" s="171" t="e">
        <f t="shared" si="45"/>
        <v>#NUM!</v>
      </c>
      <c r="G308" s="186">
        <f>IF('prijem - EUR-viac-domacnosti'!$I$120=TRUE,IF($C$11&gt;0,0.00025*C307,0),IF('prijem - EUR-viac-domacnosti'!$I$121=TRUE,IF('prijem - EUR-viac-domacnosti'!$F$121&gt;0,0.00025*C307,0),0))</f>
        <v>0</v>
      </c>
      <c r="L308" s="89">
        <v>292</v>
      </c>
      <c r="M308" s="186" t="e">
        <f t="shared" si="46"/>
        <v>#DIV/0!</v>
      </c>
      <c r="N308" s="171" t="e">
        <f t="shared" si="47"/>
        <v>#DIV/0!</v>
      </c>
      <c r="O308" s="171" t="e">
        <f t="shared" si="40"/>
        <v>#DIV/0!</v>
      </c>
      <c r="P308" s="171" t="e">
        <f t="shared" si="48"/>
        <v>#DIV/0!</v>
      </c>
      <c r="Q308" s="171" t="e">
        <f t="shared" si="49"/>
        <v>#DIV/0!</v>
      </c>
      <c r="R308" s="186">
        <f>IF('prijem - EUR-viac-domacnosti'!$I$120=TRUE,IF($C$11&gt;0,0.00025*N307,0),IF('prijem - EUR-viac-domacnosti'!$I$121=TRUE,IF('prijem - EUR-viac-domacnosti'!$F$121&gt;0,0.00025*N307*-1,0),0))</f>
        <v>0</v>
      </c>
    </row>
    <row r="309" spans="1:18" x14ac:dyDescent="0.2">
      <c r="A309" s="89">
        <v>293</v>
      </c>
      <c r="B309" s="186" t="e">
        <f t="shared" si="41"/>
        <v>#NUM!</v>
      </c>
      <c r="C309" s="171" t="e">
        <f t="shared" si="42"/>
        <v>#NUM!</v>
      </c>
      <c r="D309" s="171" t="e">
        <f t="shared" si="43"/>
        <v>#NUM!</v>
      </c>
      <c r="E309" s="171" t="e">
        <f t="shared" si="44"/>
        <v>#NUM!</v>
      </c>
      <c r="F309" s="171" t="e">
        <f t="shared" si="45"/>
        <v>#NUM!</v>
      </c>
      <c r="G309" s="186">
        <f>IF('prijem - EUR-viac-domacnosti'!$I$120=TRUE,IF($C$11&gt;0,0.00025*C308,0),IF('prijem - EUR-viac-domacnosti'!$I$121=TRUE,IF('prijem - EUR-viac-domacnosti'!$F$121&gt;0,0.00025*C308,0),0))</f>
        <v>0</v>
      </c>
      <c r="L309" s="89">
        <v>293</v>
      </c>
      <c r="M309" s="186" t="e">
        <f t="shared" si="46"/>
        <v>#DIV/0!</v>
      </c>
      <c r="N309" s="171" t="e">
        <f t="shared" si="47"/>
        <v>#DIV/0!</v>
      </c>
      <c r="O309" s="171" t="e">
        <f t="shared" si="40"/>
        <v>#DIV/0!</v>
      </c>
      <c r="P309" s="171" t="e">
        <f t="shared" si="48"/>
        <v>#DIV/0!</v>
      </c>
      <c r="Q309" s="171" t="e">
        <f t="shared" si="49"/>
        <v>#DIV/0!</v>
      </c>
      <c r="R309" s="186">
        <f>IF('prijem - EUR-viac-domacnosti'!$I$120=TRUE,IF($C$11&gt;0,0.00025*N308,0),IF('prijem - EUR-viac-domacnosti'!$I$121=TRUE,IF('prijem - EUR-viac-domacnosti'!$F$121&gt;0,0.00025*N308*-1,0),0))</f>
        <v>0</v>
      </c>
    </row>
    <row r="310" spans="1:18" x14ac:dyDescent="0.2">
      <c r="A310" s="89">
        <v>294</v>
      </c>
      <c r="B310" s="186" t="e">
        <f t="shared" si="41"/>
        <v>#NUM!</v>
      </c>
      <c r="C310" s="171" t="e">
        <f t="shared" si="42"/>
        <v>#NUM!</v>
      </c>
      <c r="D310" s="171" t="e">
        <f t="shared" si="43"/>
        <v>#NUM!</v>
      </c>
      <c r="E310" s="171" t="e">
        <f t="shared" si="44"/>
        <v>#NUM!</v>
      </c>
      <c r="F310" s="171" t="e">
        <f t="shared" si="45"/>
        <v>#NUM!</v>
      </c>
      <c r="G310" s="186">
        <f>IF('prijem - EUR-viac-domacnosti'!$I$120=TRUE,IF($C$11&gt;0,0.00025*C309,0),IF('prijem - EUR-viac-domacnosti'!$I$121=TRUE,IF('prijem - EUR-viac-domacnosti'!$F$121&gt;0,0.00025*C309,0),0))</f>
        <v>0</v>
      </c>
      <c r="L310" s="89">
        <v>294</v>
      </c>
      <c r="M310" s="186" t="e">
        <f t="shared" si="46"/>
        <v>#DIV/0!</v>
      </c>
      <c r="N310" s="171" t="e">
        <f t="shared" si="47"/>
        <v>#DIV/0!</v>
      </c>
      <c r="O310" s="171" t="e">
        <f t="shared" si="40"/>
        <v>#DIV/0!</v>
      </c>
      <c r="P310" s="171" t="e">
        <f t="shared" si="48"/>
        <v>#DIV/0!</v>
      </c>
      <c r="Q310" s="171" t="e">
        <f t="shared" si="49"/>
        <v>#DIV/0!</v>
      </c>
      <c r="R310" s="186">
        <f>IF('prijem - EUR-viac-domacnosti'!$I$120=TRUE,IF($C$11&gt;0,0.00025*N309,0),IF('prijem - EUR-viac-domacnosti'!$I$121=TRUE,IF('prijem - EUR-viac-domacnosti'!$F$121&gt;0,0.00025*N309*-1,0),0))</f>
        <v>0</v>
      </c>
    </row>
    <row r="311" spans="1:18" x14ac:dyDescent="0.2">
      <c r="A311" s="89">
        <v>295</v>
      </c>
      <c r="B311" s="186" t="e">
        <f t="shared" si="41"/>
        <v>#NUM!</v>
      </c>
      <c r="C311" s="171" t="e">
        <f t="shared" si="42"/>
        <v>#NUM!</v>
      </c>
      <c r="D311" s="171" t="e">
        <f t="shared" si="43"/>
        <v>#NUM!</v>
      </c>
      <c r="E311" s="171" t="e">
        <f t="shared" si="44"/>
        <v>#NUM!</v>
      </c>
      <c r="F311" s="171" t="e">
        <f t="shared" si="45"/>
        <v>#NUM!</v>
      </c>
      <c r="G311" s="186">
        <f>IF('prijem - EUR-viac-domacnosti'!$I$120=TRUE,IF($C$11&gt;0,0.00025*C310,0),IF('prijem - EUR-viac-domacnosti'!$I$121=TRUE,IF('prijem - EUR-viac-domacnosti'!$F$121&gt;0,0.00025*C310,0),0))</f>
        <v>0</v>
      </c>
      <c r="L311" s="89">
        <v>295</v>
      </c>
      <c r="M311" s="186" t="e">
        <f t="shared" si="46"/>
        <v>#DIV/0!</v>
      </c>
      <c r="N311" s="171" t="e">
        <f t="shared" si="47"/>
        <v>#DIV/0!</v>
      </c>
      <c r="O311" s="171" t="e">
        <f t="shared" si="40"/>
        <v>#DIV/0!</v>
      </c>
      <c r="P311" s="171" t="e">
        <f t="shared" si="48"/>
        <v>#DIV/0!</v>
      </c>
      <c r="Q311" s="171" t="e">
        <f t="shared" si="49"/>
        <v>#DIV/0!</v>
      </c>
      <c r="R311" s="186">
        <f>IF('prijem - EUR-viac-domacnosti'!$I$120=TRUE,IF($C$11&gt;0,0.00025*N310,0),IF('prijem - EUR-viac-domacnosti'!$I$121=TRUE,IF('prijem - EUR-viac-domacnosti'!$F$121&gt;0,0.00025*N310*-1,0),0))</f>
        <v>0</v>
      </c>
    </row>
    <row r="312" spans="1:18" x14ac:dyDescent="0.2">
      <c r="A312" s="89">
        <v>296</v>
      </c>
      <c r="B312" s="186" t="e">
        <f t="shared" si="41"/>
        <v>#NUM!</v>
      </c>
      <c r="C312" s="171" t="e">
        <f t="shared" si="42"/>
        <v>#NUM!</v>
      </c>
      <c r="D312" s="171" t="e">
        <f t="shared" si="43"/>
        <v>#NUM!</v>
      </c>
      <c r="E312" s="171" t="e">
        <f t="shared" si="44"/>
        <v>#NUM!</v>
      </c>
      <c r="F312" s="171" t="e">
        <f t="shared" si="45"/>
        <v>#NUM!</v>
      </c>
      <c r="G312" s="186">
        <f>IF('prijem - EUR-viac-domacnosti'!$I$120=TRUE,IF($C$11&gt;0,0.00025*C311,0),IF('prijem - EUR-viac-domacnosti'!$I$121=TRUE,IF('prijem - EUR-viac-domacnosti'!$F$121&gt;0,0.00025*C311,0),0))</f>
        <v>0</v>
      </c>
      <c r="L312" s="89">
        <v>296</v>
      </c>
      <c r="M312" s="186" t="e">
        <f t="shared" si="46"/>
        <v>#DIV/0!</v>
      </c>
      <c r="N312" s="171" t="e">
        <f t="shared" si="47"/>
        <v>#DIV/0!</v>
      </c>
      <c r="O312" s="171" t="e">
        <f t="shared" si="40"/>
        <v>#DIV/0!</v>
      </c>
      <c r="P312" s="171" t="e">
        <f t="shared" si="48"/>
        <v>#DIV/0!</v>
      </c>
      <c r="Q312" s="171" t="e">
        <f t="shared" si="49"/>
        <v>#DIV/0!</v>
      </c>
      <c r="R312" s="186">
        <f>IF('prijem - EUR-viac-domacnosti'!$I$120=TRUE,IF($C$11&gt;0,0.00025*N311,0),IF('prijem - EUR-viac-domacnosti'!$I$121=TRUE,IF('prijem - EUR-viac-domacnosti'!$F$121&gt;0,0.00025*N311*-1,0),0))</f>
        <v>0</v>
      </c>
    </row>
    <row r="313" spans="1:18" x14ac:dyDescent="0.2">
      <c r="A313" s="89">
        <v>297</v>
      </c>
      <c r="B313" s="186" t="e">
        <f t="shared" si="41"/>
        <v>#NUM!</v>
      </c>
      <c r="C313" s="171" t="e">
        <f t="shared" si="42"/>
        <v>#NUM!</v>
      </c>
      <c r="D313" s="171" t="e">
        <f t="shared" si="43"/>
        <v>#NUM!</v>
      </c>
      <c r="E313" s="171" t="e">
        <f t="shared" si="44"/>
        <v>#NUM!</v>
      </c>
      <c r="F313" s="171" t="e">
        <f t="shared" si="45"/>
        <v>#NUM!</v>
      </c>
      <c r="G313" s="186">
        <f>IF('prijem - EUR-viac-domacnosti'!$I$120=TRUE,IF($C$11&gt;0,0.00025*C312,0),IF('prijem - EUR-viac-domacnosti'!$I$121=TRUE,IF('prijem - EUR-viac-domacnosti'!$F$121&gt;0,0.00025*C312,0),0))</f>
        <v>0</v>
      </c>
      <c r="L313" s="89">
        <v>297</v>
      </c>
      <c r="M313" s="186" t="e">
        <f t="shared" si="46"/>
        <v>#DIV/0!</v>
      </c>
      <c r="N313" s="171" t="e">
        <f t="shared" si="47"/>
        <v>#DIV/0!</v>
      </c>
      <c r="O313" s="171" t="e">
        <f t="shared" si="40"/>
        <v>#DIV/0!</v>
      </c>
      <c r="P313" s="171" t="e">
        <f t="shared" si="48"/>
        <v>#DIV/0!</v>
      </c>
      <c r="Q313" s="171" t="e">
        <f t="shared" si="49"/>
        <v>#DIV/0!</v>
      </c>
      <c r="R313" s="186">
        <f>IF('prijem - EUR-viac-domacnosti'!$I$120=TRUE,IF($C$11&gt;0,0.00025*N312,0),IF('prijem - EUR-viac-domacnosti'!$I$121=TRUE,IF('prijem - EUR-viac-domacnosti'!$F$121&gt;0,0.00025*N312*-1,0),0))</f>
        <v>0</v>
      </c>
    </row>
    <row r="314" spans="1:18" x14ac:dyDescent="0.2">
      <c r="A314" s="89">
        <v>298</v>
      </c>
      <c r="B314" s="186" t="e">
        <f t="shared" si="41"/>
        <v>#NUM!</v>
      </c>
      <c r="C314" s="171" t="e">
        <f t="shared" si="42"/>
        <v>#NUM!</v>
      </c>
      <c r="D314" s="171" t="e">
        <f t="shared" si="43"/>
        <v>#NUM!</v>
      </c>
      <c r="E314" s="171" t="e">
        <f t="shared" si="44"/>
        <v>#NUM!</v>
      </c>
      <c r="F314" s="171" t="e">
        <f t="shared" si="45"/>
        <v>#NUM!</v>
      </c>
      <c r="G314" s="186">
        <f>IF('prijem - EUR-viac-domacnosti'!$I$120=TRUE,IF($C$11&gt;0,0.00025*C313,0),IF('prijem - EUR-viac-domacnosti'!$I$121=TRUE,IF('prijem - EUR-viac-domacnosti'!$F$121&gt;0,0.00025*C313,0),0))</f>
        <v>0</v>
      </c>
      <c r="L314" s="89">
        <v>298</v>
      </c>
      <c r="M314" s="186" t="e">
        <f t="shared" si="46"/>
        <v>#DIV/0!</v>
      </c>
      <c r="N314" s="171" t="e">
        <f t="shared" si="47"/>
        <v>#DIV/0!</v>
      </c>
      <c r="O314" s="171" t="e">
        <f t="shared" si="40"/>
        <v>#DIV/0!</v>
      </c>
      <c r="P314" s="171" t="e">
        <f t="shared" si="48"/>
        <v>#DIV/0!</v>
      </c>
      <c r="Q314" s="171" t="e">
        <f t="shared" si="49"/>
        <v>#DIV/0!</v>
      </c>
      <c r="R314" s="186">
        <f>IF('prijem - EUR-viac-domacnosti'!$I$120=TRUE,IF($C$11&gt;0,0.00025*N313,0),IF('prijem - EUR-viac-domacnosti'!$I$121=TRUE,IF('prijem - EUR-viac-domacnosti'!$F$121&gt;0,0.00025*N313*-1,0),0))</f>
        <v>0</v>
      </c>
    </row>
    <row r="315" spans="1:18" x14ac:dyDescent="0.2">
      <c r="A315" s="89">
        <v>299</v>
      </c>
      <c r="B315" s="186" t="e">
        <f t="shared" si="41"/>
        <v>#NUM!</v>
      </c>
      <c r="C315" s="171" t="e">
        <f t="shared" si="42"/>
        <v>#NUM!</v>
      </c>
      <c r="D315" s="171" t="e">
        <f t="shared" si="43"/>
        <v>#NUM!</v>
      </c>
      <c r="E315" s="171" t="e">
        <f t="shared" si="44"/>
        <v>#NUM!</v>
      </c>
      <c r="F315" s="171" t="e">
        <f t="shared" si="45"/>
        <v>#NUM!</v>
      </c>
      <c r="G315" s="186">
        <f>IF('prijem - EUR-viac-domacnosti'!$I$120=TRUE,IF($C$11&gt;0,0.00025*C314,0),IF('prijem - EUR-viac-domacnosti'!$I$121=TRUE,IF('prijem - EUR-viac-domacnosti'!$F$121&gt;0,0.00025*C314,0),0))</f>
        <v>0</v>
      </c>
      <c r="L315" s="89">
        <v>299</v>
      </c>
      <c r="M315" s="186" t="e">
        <f t="shared" si="46"/>
        <v>#DIV/0!</v>
      </c>
      <c r="N315" s="171" t="e">
        <f t="shared" si="47"/>
        <v>#DIV/0!</v>
      </c>
      <c r="O315" s="171" t="e">
        <f t="shared" si="40"/>
        <v>#DIV/0!</v>
      </c>
      <c r="P315" s="171" t="e">
        <f t="shared" si="48"/>
        <v>#DIV/0!</v>
      </c>
      <c r="Q315" s="171" t="e">
        <f t="shared" si="49"/>
        <v>#DIV/0!</v>
      </c>
      <c r="R315" s="186">
        <f>IF('prijem - EUR-viac-domacnosti'!$I$120=TRUE,IF($C$11&gt;0,0.00025*N314,0),IF('prijem - EUR-viac-domacnosti'!$I$121=TRUE,IF('prijem - EUR-viac-domacnosti'!$F$121&gt;0,0.00025*N314*-1,0),0))</f>
        <v>0</v>
      </c>
    </row>
    <row r="316" spans="1:18" x14ac:dyDescent="0.2">
      <c r="A316" s="89">
        <v>300</v>
      </c>
      <c r="B316" s="186" t="e">
        <f t="shared" si="41"/>
        <v>#NUM!</v>
      </c>
      <c r="C316" s="171" t="e">
        <f t="shared" si="42"/>
        <v>#NUM!</v>
      </c>
      <c r="D316" s="171" t="e">
        <f t="shared" si="43"/>
        <v>#NUM!</v>
      </c>
      <c r="E316" s="171" t="e">
        <f t="shared" si="44"/>
        <v>#NUM!</v>
      </c>
      <c r="F316" s="171" t="e">
        <f t="shared" si="45"/>
        <v>#NUM!</v>
      </c>
      <c r="G316" s="186">
        <f>IF('prijem - EUR-viac-domacnosti'!$I$120=TRUE,IF($C$11&gt;0,0.00025*C315,0),IF('prijem - EUR-viac-domacnosti'!$I$121=TRUE,IF('prijem - EUR-viac-domacnosti'!$F$121&gt;0,0.00025*C315,0),0))</f>
        <v>0</v>
      </c>
      <c r="L316" s="89">
        <v>300</v>
      </c>
      <c r="M316" s="186" t="e">
        <f t="shared" si="46"/>
        <v>#DIV/0!</v>
      </c>
      <c r="N316" s="171" t="e">
        <f t="shared" si="47"/>
        <v>#DIV/0!</v>
      </c>
      <c r="O316" s="171" t="e">
        <f t="shared" si="40"/>
        <v>#DIV/0!</v>
      </c>
      <c r="P316" s="171" t="e">
        <f t="shared" si="48"/>
        <v>#DIV/0!</v>
      </c>
      <c r="Q316" s="171" t="e">
        <f t="shared" si="49"/>
        <v>#DIV/0!</v>
      </c>
      <c r="R316" s="186">
        <f>IF('prijem - EUR-viac-domacnosti'!$I$120=TRUE,IF($C$11&gt;0,0.00025*N315,0),IF('prijem - EUR-viac-domacnosti'!$I$121=TRUE,IF('prijem - EUR-viac-domacnosti'!$F$121&gt;0,0.00025*N315*-1,0),0))</f>
        <v>0</v>
      </c>
    </row>
    <row r="317" spans="1:18" x14ac:dyDescent="0.2">
      <c r="A317" s="89">
        <v>301</v>
      </c>
      <c r="B317" s="186" t="e">
        <f t="shared" si="41"/>
        <v>#NUM!</v>
      </c>
      <c r="C317" s="171" t="e">
        <f t="shared" si="42"/>
        <v>#NUM!</v>
      </c>
      <c r="D317" s="171" t="e">
        <f t="shared" si="43"/>
        <v>#NUM!</v>
      </c>
      <c r="E317" s="171" t="e">
        <f t="shared" si="44"/>
        <v>#NUM!</v>
      </c>
      <c r="F317" s="171" t="e">
        <f t="shared" si="45"/>
        <v>#NUM!</v>
      </c>
      <c r="G317" s="186">
        <f>IF('prijem - EUR-viac-domacnosti'!$I$120=TRUE,IF($C$11&gt;0,0.00025*C316,0),IF('prijem - EUR-viac-domacnosti'!$I$121=TRUE,IF('prijem - EUR-viac-domacnosti'!$F$121&gt;0,0.00025*C316,0),0))</f>
        <v>0</v>
      </c>
      <c r="L317" s="89">
        <v>301</v>
      </c>
      <c r="M317" s="186" t="e">
        <f t="shared" si="46"/>
        <v>#DIV/0!</v>
      </c>
      <c r="N317" s="171" t="e">
        <f t="shared" si="47"/>
        <v>#DIV/0!</v>
      </c>
      <c r="O317" s="171" t="e">
        <f t="shared" si="40"/>
        <v>#DIV/0!</v>
      </c>
      <c r="P317" s="171" t="e">
        <f t="shared" si="48"/>
        <v>#DIV/0!</v>
      </c>
      <c r="Q317" s="171" t="e">
        <f t="shared" si="49"/>
        <v>#DIV/0!</v>
      </c>
      <c r="R317" s="186">
        <f>IF('prijem - EUR-viac-domacnosti'!$I$120=TRUE,IF($C$11&gt;0,0.00025*N316,0),IF('prijem - EUR-viac-domacnosti'!$I$121=TRUE,IF('prijem - EUR-viac-domacnosti'!$F$121&gt;0,0.00025*N316*-1,0),0))</f>
        <v>0</v>
      </c>
    </row>
    <row r="318" spans="1:18" x14ac:dyDescent="0.2">
      <c r="A318" s="89">
        <v>302</v>
      </c>
      <c r="B318" s="186" t="e">
        <f t="shared" si="41"/>
        <v>#NUM!</v>
      </c>
      <c r="C318" s="171" t="e">
        <f t="shared" si="42"/>
        <v>#NUM!</v>
      </c>
      <c r="D318" s="171" t="e">
        <f t="shared" si="43"/>
        <v>#NUM!</v>
      </c>
      <c r="E318" s="171" t="e">
        <f t="shared" si="44"/>
        <v>#NUM!</v>
      </c>
      <c r="F318" s="171" t="e">
        <f t="shared" si="45"/>
        <v>#NUM!</v>
      </c>
      <c r="G318" s="186">
        <f>IF('prijem - EUR-viac-domacnosti'!$I$120=TRUE,IF($C$11&gt;0,0.00025*C317,0),IF('prijem - EUR-viac-domacnosti'!$I$121=TRUE,IF('prijem - EUR-viac-domacnosti'!$F$121&gt;0,0.00025*C317,0),0))</f>
        <v>0</v>
      </c>
      <c r="L318" s="89">
        <v>302</v>
      </c>
      <c r="M318" s="186" t="e">
        <f t="shared" si="46"/>
        <v>#DIV/0!</v>
      </c>
      <c r="N318" s="171" t="e">
        <f t="shared" si="47"/>
        <v>#DIV/0!</v>
      </c>
      <c r="O318" s="171" t="e">
        <f t="shared" si="40"/>
        <v>#DIV/0!</v>
      </c>
      <c r="P318" s="171" t="e">
        <f t="shared" si="48"/>
        <v>#DIV/0!</v>
      </c>
      <c r="Q318" s="171" t="e">
        <f t="shared" si="49"/>
        <v>#DIV/0!</v>
      </c>
      <c r="R318" s="186">
        <f>IF('prijem - EUR-viac-domacnosti'!$I$120=TRUE,IF($C$11&gt;0,0.00025*N317,0),IF('prijem - EUR-viac-domacnosti'!$I$121=TRUE,IF('prijem - EUR-viac-domacnosti'!$F$121&gt;0,0.00025*N317*-1,0),0))</f>
        <v>0</v>
      </c>
    </row>
    <row r="319" spans="1:18" x14ac:dyDescent="0.2">
      <c r="A319" s="89">
        <v>303</v>
      </c>
      <c r="B319" s="186" t="e">
        <f t="shared" si="41"/>
        <v>#NUM!</v>
      </c>
      <c r="C319" s="171" t="e">
        <f t="shared" si="42"/>
        <v>#NUM!</v>
      </c>
      <c r="D319" s="171" t="e">
        <f t="shared" si="43"/>
        <v>#NUM!</v>
      </c>
      <c r="E319" s="171" t="e">
        <f t="shared" si="44"/>
        <v>#NUM!</v>
      </c>
      <c r="F319" s="171" t="e">
        <f t="shared" si="45"/>
        <v>#NUM!</v>
      </c>
      <c r="G319" s="186">
        <f>IF('prijem - EUR-viac-domacnosti'!$I$120=TRUE,IF($C$11&gt;0,0.00025*C318,0),IF('prijem - EUR-viac-domacnosti'!$I$121=TRUE,IF('prijem - EUR-viac-domacnosti'!$F$121&gt;0,0.00025*C318,0),0))</f>
        <v>0</v>
      </c>
      <c r="L319" s="89">
        <v>303</v>
      </c>
      <c r="M319" s="186" t="e">
        <f t="shared" si="46"/>
        <v>#DIV/0!</v>
      </c>
      <c r="N319" s="171" t="e">
        <f t="shared" si="47"/>
        <v>#DIV/0!</v>
      </c>
      <c r="O319" s="171" t="e">
        <f t="shared" si="40"/>
        <v>#DIV/0!</v>
      </c>
      <c r="P319" s="171" t="e">
        <f t="shared" si="48"/>
        <v>#DIV/0!</v>
      </c>
      <c r="Q319" s="171" t="e">
        <f t="shared" si="49"/>
        <v>#DIV/0!</v>
      </c>
      <c r="R319" s="186">
        <f>IF('prijem - EUR-viac-domacnosti'!$I$120=TRUE,IF($C$11&gt;0,0.00025*N318,0),IF('prijem - EUR-viac-domacnosti'!$I$121=TRUE,IF('prijem - EUR-viac-domacnosti'!$F$121&gt;0,0.00025*N318*-1,0),0))</f>
        <v>0</v>
      </c>
    </row>
    <row r="320" spans="1:18" x14ac:dyDescent="0.2">
      <c r="A320" s="89">
        <v>304</v>
      </c>
      <c r="B320" s="186" t="e">
        <f t="shared" si="41"/>
        <v>#NUM!</v>
      </c>
      <c r="C320" s="171" t="e">
        <f t="shared" si="42"/>
        <v>#NUM!</v>
      </c>
      <c r="D320" s="171" t="e">
        <f t="shared" si="43"/>
        <v>#NUM!</v>
      </c>
      <c r="E320" s="171" t="e">
        <f t="shared" si="44"/>
        <v>#NUM!</v>
      </c>
      <c r="F320" s="171" t="e">
        <f t="shared" si="45"/>
        <v>#NUM!</v>
      </c>
      <c r="G320" s="186">
        <f>IF('prijem - EUR-viac-domacnosti'!$I$120=TRUE,IF($C$11&gt;0,0.00025*C319,0),IF('prijem - EUR-viac-domacnosti'!$I$121=TRUE,IF('prijem - EUR-viac-domacnosti'!$F$121&gt;0,0.00025*C319,0),0))</f>
        <v>0</v>
      </c>
      <c r="L320" s="89">
        <v>304</v>
      </c>
      <c r="M320" s="186" t="e">
        <f t="shared" si="46"/>
        <v>#DIV/0!</v>
      </c>
      <c r="N320" s="171" t="e">
        <f t="shared" si="47"/>
        <v>#DIV/0!</v>
      </c>
      <c r="O320" s="171" t="e">
        <f t="shared" si="40"/>
        <v>#DIV/0!</v>
      </c>
      <c r="P320" s="171" t="e">
        <f t="shared" si="48"/>
        <v>#DIV/0!</v>
      </c>
      <c r="Q320" s="171" t="e">
        <f t="shared" si="49"/>
        <v>#DIV/0!</v>
      </c>
      <c r="R320" s="186">
        <f>IF('prijem - EUR-viac-domacnosti'!$I$120=TRUE,IF($C$11&gt;0,0.00025*N319,0),IF('prijem - EUR-viac-domacnosti'!$I$121=TRUE,IF('prijem - EUR-viac-domacnosti'!$F$121&gt;0,0.00025*N319*-1,0),0))</f>
        <v>0</v>
      </c>
    </row>
    <row r="321" spans="1:18" x14ac:dyDescent="0.2">
      <c r="A321" s="89">
        <v>305</v>
      </c>
      <c r="B321" s="186" t="e">
        <f t="shared" si="41"/>
        <v>#NUM!</v>
      </c>
      <c r="C321" s="171" t="e">
        <f t="shared" si="42"/>
        <v>#NUM!</v>
      </c>
      <c r="D321" s="171" t="e">
        <f t="shared" si="43"/>
        <v>#NUM!</v>
      </c>
      <c r="E321" s="171" t="e">
        <f t="shared" si="44"/>
        <v>#NUM!</v>
      </c>
      <c r="F321" s="171" t="e">
        <f t="shared" si="45"/>
        <v>#NUM!</v>
      </c>
      <c r="G321" s="186">
        <f>IF('prijem - EUR-viac-domacnosti'!$I$120=TRUE,IF($C$11&gt;0,0.00025*C320,0),IF('prijem - EUR-viac-domacnosti'!$I$121=TRUE,IF('prijem - EUR-viac-domacnosti'!$F$121&gt;0,0.00025*C320,0),0))</f>
        <v>0</v>
      </c>
      <c r="L321" s="89">
        <v>305</v>
      </c>
      <c r="M321" s="186" t="e">
        <f t="shared" si="46"/>
        <v>#DIV/0!</v>
      </c>
      <c r="N321" s="171" t="e">
        <f t="shared" si="47"/>
        <v>#DIV/0!</v>
      </c>
      <c r="O321" s="171" t="e">
        <f t="shared" si="40"/>
        <v>#DIV/0!</v>
      </c>
      <c r="P321" s="171" t="e">
        <f t="shared" si="48"/>
        <v>#DIV/0!</v>
      </c>
      <c r="Q321" s="171" t="e">
        <f t="shared" si="49"/>
        <v>#DIV/0!</v>
      </c>
      <c r="R321" s="186">
        <f>IF('prijem - EUR-viac-domacnosti'!$I$120=TRUE,IF($C$11&gt;0,0.00025*N320,0),IF('prijem - EUR-viac-domacnosti'!$I$121=TRUE,IF('prijem - EUR-viac-domacnosti'!$F$121&gt;0,0.00025*N320*-1,0),0))</f>
        <v>0</v>
      </c>
    </row>
    <row r="322" spans="1:18" x14ac:dyDescent="0.2">
      <c r="A322" s="89">
        <v>306</v>
      </c>
      <c r="B322" s="186" t="e">
        <f t="shared" si="41"/>
        <v>#NUM!</v>
      </c>
      <c r="C322" s="171" t="e">
        <f t="shared" si="42"/>
        <v>#NUM!</v>
      </c>
      <c r="D322" s="171" t="e">
        <f t="shared" si="43"/>
        <v>#NUM!</v>
      </c>
      <c r="E322" s="171" t="e">
        <f t="shared" si="44"/>
        <v>#NUM!</v>
      </c>
      <c r="F322" s="171" t="e">
        <f t="shared" si="45"/>
        <v>#NUM!</v>
      </c>
      <c r="G322" s="186">
        <f>IF('prijem - EUR-viac-domacnosti'!$I$120=TRUE,IF($C$11&gt;0,0.00025*C321,0),IF('prijem - EUR-viac-domacnosti'!$I$121=TRUE,IF('prijem - EUR-viac-domacnosti'!$F$121&gt;0,0.00025*C321,0),0))</f>
        <v>0</v>
      </c>
      <c r="L322" s="89">
        <v>306</v>
      </c>
      <c r="M322" s="186" t="e">
        <f t="shared" si="46"/>
        <v>#DIV/0!</v>
      </c>
      <c r="N322" s="171" t="e">
        <f t="shared" si="47"/>
        <v>#DIV/0!</v>
      </c>
      <c r="O322" s="171" t="e">
        <f t="shared" si="40"/>
        <v>#DIV/0!</v>
      </c>
      <c r="P322" s="171" t="e">
        <f t="shared" si="48"/>
        <v>#DIV/0!</v>
      </c>
      <c r="Q322" s="171" t="e">
        <f t="shared" si="49"/>
        <v>#DIV/0!</v>
      </c>
      <c r="R322" s="186">
        <f>IF('prijem - EUR-viac-domacnosti'!$I$120=TRUE,IF($C$11&gt;0,0.00025*N321,0),IF('prijem - EUR-viac-domacnosti'!$I$121=TRUE,IF('prijem - EUR-viac-domacnosti'!$F$121&gt;0,0.00025*N321*-1,0),0))</f>
        <v>0</v>
      </c>
    </row>
    <row r="323" spans="1:18" x14ac:dyDescent="0.2">
      <c r="A323" s="89">
        <v>307</v>
      </c>
      <c r="B323" s="186" t="e">
        <f t="shared" si="41"/>
        <v>#NUM!</v>
      </c>
      <c r="C323" s="171" t="e">
        <f t="shared" si="42"/>
        <v>#NUM!</v>
      </c>
      <c r="D323" s="171" t="e">
        <f t="shared" si="43"/>
        <v>#NUM!</v>
      </c>
      <c r="E323" s="171" t="e">
        <f t="shared" si="44"/>
        <v>#NUM!</v>
      </c>
      <c r="F323" s="171" t="e">
        <f t="shared" si="45"/>
        <v>#NUM!</v>
      </c>
      <c r="G323" s="186">
        <f>IF('prijem - EUR-viac-domacnosti'!$I$120=TRUE,IF($C$11&gt;0,0.00025*C322,0),IF('prijem - EUR-viac-domacnosti'!$I$121=TRUE,IF('prijem - EUR-viac-domacnosti'!$F$121&gt;0,0.00025*C322,0),0))</f>
        <v>0</v>
      </c>
      <c r="L323" s="89">
        <v>307</v>
      </c>
      <c r="M323" s="186" t="e">
        <f t="shared" si="46"/>
        <v>#DIV/0!</v>
      </c>
      <c r="N323" s="171" t="e">
        <f t="shared" si="47"/>
        <v>#DIV/0!</v>
      </c>
      <c r="O323" s="171" t="e">
        <f t="shared" si="40"/>
        <v>#DIV/0!</v>
      </c>
      <c r="P323" s="171" t="e">
        <f t="shared" si="48"/>
        <v>#DIV/0!</v>
      </c>
      <c r="Q323" s="171" t="e">
        <f t="shared" si="49"/>
        <v>#DIV/0!</v>
      </c>
      <c r="R323" s="186">
        <f>IF('prijem - EUR-viac-domacnosti'!$I$120=TRUE,IF($C$11&gt;0,0.00025*N322,0),IF('prijem - EUR-viac-domacnosti'!$I$121=TRUE,IF('prijem - EUR-viac-domacnosti'!$F$121&gt;0,0.00025*N322*-1,0),0))</f>
        <v>0</v>
      </c>
    </row>
    <row r="324" spans="1:18" x14ac:dyDescent="0.2">
      <c r="A324" s="89">
        <v>308</v>
      </c>
      <c r="B324" s="186" t="e">
        <f t="shared" si="41"/>
        <v>#NUM!</v>
      </c>
      <c r="C324" s="171" t="e">
        <f t="shared" si="42"/>
        <v>#NUM!</v>
      </c>
      <c r="D324" s="171" t="e">
        <f t="shared" si="43"/>
        <v>#NUM!</v>
      </c>
      <c r="E324" s="171" t="e">
        <f t="shared" si="44"/>
        <v>#NUM!</v>
      </c>
      <c r="F324" s="171" t="e">
        <f t="shared" si="45"/>
        <v>#NUM!</v>
      </c>
      <c r="G324" s="186">
        <f>IF('prijem - EUR-viac-domacnosti'!$I$120=TRUE,IF($C$11&gt;0,0.00025*C323,0),IF('prijem - EUR-viac-domacnosti'!$I$121=TRUE,IF('prijem - EUR-viac-domacnosti'!$F$121&gt;0,0.00025*C323,0),0))</f>
        <v>0</v>
      </c>
      <c r="L324" s="89">
        <v>308</v>
      </c>
      <c r="M324" s="186" t="e">
        <f t="shared" si="46"/>
        <v>#DIV/0!</v>
      </c>
      <c r="N324" s="171" t="e">
        <f t="shared" si="47"/>
        <v>#DIV/0!</v>
      </c>
      <c r="O324" s="171" t="e">
        <f t="shared" si="40"/>
        <v>#DIV/0!</v>
      </c>
      <c r="P324" s="171" t="e">
        <f t="shared" si="48"/>
        <v>#DIV/0!</v>
      </c>
      <c r="Q324" s="171" t="e">
        <f t="shared" si="49"/>
        <v>#DIV/0!</v>
      </c>
      <c r="R324" s="186">
        <f>IF('prijem - EUR-viac-domacnosti'!$I$120=TRUE,IF($C$11&gt;0,0.00025*N323,0),IF('prijem - EUR-viac-domacnosti'!$I$121=TRUE,IF('prijem - EUR-viac-domacnosti'!$F$121&gt;0,0.00025*N323*-1,0),0))</f>
        <v>0</v>
      </c>
    </row>
    <row r="325" spans="1:18" x14ac:dyDescent="0.2">
      <c r="A325" s="89">
        <v>309</v>
      </c>
      <c r="B325" s="186" t="e">
        <f t="shared" si="41"/>
        <v>#NUM!</v>
      </c>
      <c r="C325" s="171" t="e">
        <f t="shared" si="42"/>
        <v>#NUM!</v>
      </c>
      <c r="D325" s="171" t="e">
        <f t="shared" si="43"/>
        <v>#NUM!</v>
      </c>
      <c r="E325" s="171" t="e">
        <f t="shared" si="44"/>
        <v>#NUM!</v>
      </c>
      <c r="F325" s="171" t="e">
        <f t="shared" si="45"/>
        <v>#NUM!</v>
      </c>
      <c r="G325" s="186">
        <f>IF('prijem - EUR-viac-domacnosti'!$I$120=TRUE,IF($C$11&gt;0,0.00025*C324,0),IF('prijem - EUR-viac-domacnosti'!$I$121=TRUE,IF('prijem - EUR-viac-domacnosti'!$F$121&gt;0,0.00025*C324,0),0))</f>
        <v>0</v>
      </c>
      <c r="L325" s="89">
        <v>309</v>
      </c>
      <c r="M325" s="186" t="e">
        <f t="shared" si="46"/>
        <v>#DIV/0!</v>
      </c>
      <c r="N325" s="171" t="e">
        <f t="shared" si="47"/>
        <v>#DIV/0!</v>
      </c>
      <c r="O325" s="171" t="e">
        <f t="shared" si="40"/>
        <v>#DIV/0!</v>
      </c>
      <c r="P325" s="171" t="e">
        <f t="shared" si="48"/>
        <v>#DIV/0!</v>
      </c>
      <c r="Q325" s="171" t="e">
        <f t="shared" si="49"/>
        <v>#DIV/0!</v>
      </c>
      <c r="R325" s="186">
        <f>IF('prijem - EUR-viac-domacnosti'!$I$120=TRUE,IF($C$11&gt;0,0.00025*N324,0),IF('prijem - EUR-viac-domacnosti'!$I$121=TRUE,IF('prijem - EUR-viac-domacnosti'!$F$121&gt;0,0.00025*N324*-1,0),0))</f>
        <v>0</v>
      </c>
    </row>
    <row r="326" spans="1:18" x14ac:dyDescent="0.2">
      <c r="A326" s="89">
        <v>310</v>
      </c>
      <c r="B326" s="186" t="e">
        <f t="shared" si="41"/>
        <v>#NUM!</v>
      </c>
      <c r="C326" s="171" t="e">
        <f t="shared" si="42"/>
        <v>#NUM!</v>
      </c>
      <c r="D326" s="171" t="e">
        <f t="shared" si="43"/>
        <v>#NUM!</v>
      </c>
      <c r="E326" s="171" t="e">
        <f t="shared" si="44"/>
        <v>#NUM!</v>
      </c>
      <c r="F326" s="171" t="e">
        <f t="shared" si="45"/>
        <v>#NUM!</v>
      </c>
      <c r="G326" s="186">
        <f>IF('prijem - EUR-viac-domacnosti'!$I$120=TRUE,IF($C$11&gt;0,0.00025*C325,0),IF('prijem - EUR-viac-domacnosti'!$I$121=TRUE,IF('prijem - EUR-viac-domacnosti'!$F$121&gt;0,0.00025*C325,0),0))</f>
        <v>0</v>
      </c>
      <c r="L326" s="89">
        <v>310</v>
      </c>
      <c r="M326" s="186" t="e">
        <f t="shared" si="46"/>
        <v>#DIV/0!</v>
      </c>
      <c r="N326" s="171" t="e">
        <f t="shared" si="47"/>
        <v>#DIV/0!</v>
      </c>
      <c r="O326" s="171" t="e">
        <f t="shared" si="40"/>
        <v>#DIV/0!</v>
      </c>
      <c r="P326" s="171" t="e">
        <f t="shared" si="48"/>
        <v>#DIV/0!</v>
      </c>
      <c r="Q326" s="171" t="e">
        <f t="shared" si="49"/>
        <v>#DIV/0!</v>
      </c>
      <c r="R326" s="186">
        <f>IF('prijem - EUR-viac-domacnosti'!$I$120=TRUE,IF($C$11&gt;0,0.00025*N325,0),IF('prijem - EUR-viac-domacnosti'!$I$121=TRUE,IF('prijem - EUR-viac-domacnosti'!$F$121&gt;0,0.00025*N325*-1,0),0))</f>
        <v>0</v>
      </c>
    </row>
    <row r="327" spans="1:18" x14ac:dyDescent="0.2">
      <c r="A327" s="89">
        <v>311</v>
      </c>
      <c r="B327" s="186" t="e">
        <f t="shared" si="41"/>
        <v>#NUM!</v>
      </c>
      <c r="C327" s="171" t="e">
        <f t="shared" si="42"/>
        <v>#NUM!</v>
      </c>
      <c r="D327" s="171" t="e">
        <f t="shared" si="43"/>
        <v>#NUM!</v>
      </c>
      <c r="E327" s="171" t="e">
        <f t="shared" si="44"/>
        <v>#NUM!</v>
      </c>
      <c r="F327" s="171" t="e">
        <f t="shared" si="45"/>
        <v>#NUM!</v>
      </c>
      <c r="G327" s="186">
        <f>IF('prijem - EUR-viac-domacnosti'!$I$120=TRUE,IF($C$11&gt;0,0.00025*C326,0),IF('prijem - EUR-viac-domacnosti'!$I$121=TRUE,IF('prijem - EUR-viac-domacnosti'!$F$121&gt;0,0.00025*C326,0),0))</f>
        <v>0</v>
      </c>
      <c r="L327" s="89">
        <v>311</v>
      </c>
      <c r="M327" s="186" t="e">
        <f t="shared" si="46"/>
        <v>#DIV/0!</v>
      </c>
      <c r="N327" s="171" t="e">
        <f t="shared" si="47"/>
        <v>#DIV/0!</v>
      </c>
      <c r="O327" s="171" t="e">
        <f t="shared" si="40"/>
        <v>#DIV/0!</v>
      </c>
      <c r="P327" s="171" t="e">
        <f t="shared" si="48"/>
        <v>#DIV/0!</v>
      </c>
      <c r="Q327" s="171" t="e">
        <f t="shared" si="49"/>
        <v>#DIV/0!</v>
      </c>
      <c r="R327" s="186">
        <f>IF('prijem - EUR-viac-domacnosti'!$I$120=TRUE,IF($C$11&gt;0,0.00025*N326,0),IF('prijem - EUR-viac-domacnosti'!$I$121=TRUE,IF('prijem - EUR-viac-domacnosti'!$F$121&gt;0,0.00025*N326*-1,0),0))</f>
        <v>0</v>
      </c>
    </row>
    <row r="328" spans="1:18" x14ac:dyDescent="0.2">
      <c r="A328" s="89">
        <v>312</v>
      </c>
      <c r="B328" s="186" t="e">
        <f t="shared" si="41"/>
        <v>#NUM!</v>
      </c>
      <c r="C328" s="171" t="e">
        <f t="shared" si="42"/>
        <v>#NUM!</v>
      </c>
      <c r="D328" s="171" t="e">
        <f t="shared" si="43"/>
        <v>#NUM!</v>
      </c>
      <c r="E328" s="171" t="e">
        <f t="shared" si="44"/>
        <v>#NUM!</v>
      </c>
      <c r="F328" s="171" t="e">
        <f t="shared" si="45"/>
        <v>#NUM!</v>
      </c>
      <c r="G328" s="186">
        <f>IF('prijem - EUR-viac-domacnosti'!$I$120=TRUE,IF($C$11&gt;0,0.00025*C327,0),IF('prijem - EUR-viac-domacnosti'!$I$121=TRUE,IF('prijem - EUR-viac-domacnosti'!$F$121&gt;0,0.00025*C327,0),0))</f>
        <v>0</v>
      </c>
      <c r="L328" s="89">
        <v>312</v>
      </c>
      <c r="M328" s="186" t="e">
        <f t="shared" si="46"/>
        <v>#DIV/0!</v>
      </c>
      <c r="N328" s="171" t="e">
        <f t="shared" si="47"/>
        <v>#DIV/0!</v>
      </c>
      <c r="O328" s="171" t="e">
        <f t="shared" si="40"/>
        <v>#DIV/0!</v>
      </c>
      <c r="P328" s="171" t="e">
        <f t="shared" si="48"/>
        <v>#DIV/0!</v>
      </c>
      <c r="Q328" s="171" t="e">
        <f t="shared" si="49"/>
        <v>#DIV/0!</v>
      </c>
      <c r="R328" s="186">
        <f>IF('prijem - EUR-viac-domacnosti'!$I$120=TRUE,IF($C$11&gt;0,0.00025*N327,0),IF('prijem - EUR-viac-domacnosti'!$I$121=TRUE,IF('prijem - EUR-viac-domacnosti'!$F$121&gt;0,0.00025*N327*-1,0),0))</f>
        <v>0</v>
      </c>
    </row>
    <row r="329" spans="1:18" x14ac:dyDescent="0.2">
      <c r="A329" s="89">
        <v>313</v>
      </c>
      <c r="B329" s="186" t="e">
        <f t="shared" si="41"/>
        <v>#NUM!</v>
      </c>
      <c r="C329" s="171" t="e">
        <f t="shared" si="42"/>
        <v>#NUM!</v>
      </c>
      <c r="D329" s="171" t="e">
        <f t="shared" si="43"/>
        <v>#NUM!</v>
      </c>
      <c r="E329" s="171" t="e">
        <f t="shared" si="44"/>
        <v>#NUM!</v>
      </c>
      <c r="F329" s="171" t="e">
        <f t="shared" si="45"/>
        <v>#NUM!</v>
      </c>
      <c r="G329" s="186">
        <f>IF('prijem - EUR-viac-domacnosti'!$I$120=TRUE,IF($C$11&gt;0,0.00025*C328,0),IF('prijem - EUR-viac-domacnosti'!$I$121=TRUE,IF('prijem - EUR-viac-domacnosti'!$F$121&gt;0,0.00025*C328,0),0))</f>
        <v>0</v>
      </c>
      <c r="L329" s="89">
        <v>313</v>
      </c>
      <c r="M329" s="186" t="e">
        <f t="shared" si="46"/>
        <v>#DIV/0!</v>
      </c>
      <c r="N329" s="171" t="e">
        <f t="shared" si="47"/>
        <v>#DIV/0!</v>
      </c>
      <c r="O329" s="171" t="e">
        <f t="shared" si="40"/>
        <v>#DIV/0!</v>
      </c>
      <c r="P329" s="171" t="e">
        <f t="shared" si="48"/>
        <v>#DIV/0!</v>
      </c>
      <c r="Q329" s="171" t="e">
        <f t="shared" si="49"/>
        <v>#DIV/0!</v>
      </c>
      <c r="R329" s="186">
        <f>IF('prijem - EUR-viac-domacnosti'!$I$120=TRUE,IF($C$11&gt;0,0.00025*N328,0),IF('prijem - EUR-viac-domacnosti'!$I$121=TRUE,IF('prijem - EUR-viac-domacnosti'!$F$121&gt;0,0.00025*N328*-1,0),0))</f>
        <v>0</v>
      </c>
    </row>
    <row r="330" spans="1:18" x14ac:dyDescent="0.2">
      <c r="A330" s="89">
        <v>314</v>
      </c>
      <c r="B330" s="186" t="e">
        <f t="shared" si="41"/>
        <v>#NUM!</v>
      </c>
      <c r="C330" s="171" t="e">
        <f t="shared" si="42"/>
        <v>#NUM!</v>
      </c>
      <c r="D330" s="171" t="e">
        <f t="shared" si="43"/>
        <v>#NUM!</v>
      </c>
      <c r="E330" s="171" t="e">
        <f t="shared" si="44"/>
        <v>#NUM!</v>
      </c>
      <c r="F330" s="171" t="e">
        <f t="shared" si="45"/>
        <v>#NUM!</v>
      </c>
      <c r="G330" s="186">
        <f>IF('prijem - EUR-viac-domacnosti'!$I$120=TRUE,IF($C$11&gt;0,0.00025*C329,0),IF('prijem - EUR-viac-domacnosti'!$I$121=TRUE,IF('prijem - EUR-viac-domacnosti'!$F$121&gt;0,0.00025*C329,0),0))</f>
        <v>0</v>
      </c>
      <c r="L330" s="89">
        <v>314</v>
      </c>
      <c r="M330" s="186" t="e">
        <f t="shared" si="46"/>
        <v>#DIV/0!</v>
      </c>
      <c r="N330" s="171" t="e">
        <f t="shared" si="47"/>
        <v>#DIV/0!</v>
      </c>
      <c r="O330" s="171" t="e">
        <f t="shared" si="40"/>
        <v>#DIV/0!</v>
      </c>
      <c r="P330" s="171" t="e">
        <f t="shared" si="48"/>
        <v>#DIV/0!</v>
      </c>
      <c r="Q330" s="171" t="e">
        <f t="shared" si="49"/>
        <v>#DIV/0!</v>
      </c>
      <c r="R330" s="186">
        <f>IF('prijem - EUR-viac-domacnosti'!$I$120=TRUE,IF($C$11&gt;0,0.00025*N329,0),IF('prijem - EUR-viac-domacnosti'!$I$121=TRUE,IF('prijem - EUR-viac-domacnosti'!$F$121&gt;0,0.00025*N329*-1,0),0))</f>
        <v>0</v>
      </c>
    </row>
    <row r="331" spans="1:18" x14ac:dyDescent="0.2">
      <c r="A331" s="89">
        <v>315</v>
      </c>
      <c r="B331" s="186" t="e">
        <f t="shared" si="41"/>
        <v>#NUM!</v>
      </c>
      <c r="C331" s="171" t="e">
        <f t="shared" si="42"/>
        <v>#NUM!</v>
      </c>
      <c r="D331" s="171" t="e">
        <f t="shared" si="43"/>
        <v>#NUM!</v>
      </c>
      <c r="E331" s="171" t="e">
        <f t="shared" si="44"/>
        <v>#NUM!</v>
      </c>
      <c r="F331" s="171" t="e">
        <f t="shared" si="45"/>
        <v>#NUM!</v>
      </c>
      <c r="G331" s="186">
        <f>IF('prijem - EUR-viac-domacnosti'!$I$120=TRUE,IF($C$11&gt;0,0.00025*C330,0),IF('prijem - EUR-viac-domacnosti'!$I$121=TRUE,IF('prijem - EUR-viac-domacnosti'!$F$121&gt;0,0.00025*C330,0),0))</f>
        <v>0</v>
      </c>
      <c r="L331" s="89">
        <v>315</v>
      </c>
      <c r="M331" s="186" t="e">
        <f t="shared" si="46"/>
        <v>#DIV/0!</v>
      </c>
      <c r="N331" s="171" t="e">
        <f t="shared" si="47"/>
        <v>#DIV/0!</v>
      </c>
      <c r="O331" s="171" t="e">
        <f t="shared" si="40"/>
        <v>#DIV/0!</v>
      </c>
      <c r="P331" s="171" t="e">
        <f t="shared" si="48"/>
        <v>#DIV/0!</v>
      </c>
      <c r="Q331" s="171" t="e">
        <f t="shared" si="49"/>
        <v>#DIV/0!</v>
      </c>
      <c r="R331" s="186">
        <f>IF('prijem - EUR-viac-domacnosti'!$I$120=TRUE,IF($C$11&gt;0,0.00025*N330,0),IF('prijem - EUR-viac-domacnosti'!$I$121=TRUE,IF('prijem - EUR-viac-domacnosti'!$F$121&gt;0,0.00025*N330*-1,0),0))</f>
        <v>0</v>
      </c>
    </row>
    <row r="332" spans="1:18" x14ac:dyDescent="0.2">
      <c r="A332" s="89">
        <v>316</v>
      </c>
      <c r="B332" s="186" t="e">
        <f t="shared" si="41"/>
        <v>#NUM!</v>
      </c>
      <c r="C332" s="171" t="e">
        <f t="shared" si="42"/>
        <v>#NUM!</v>
      </c>
      <c r="D332" s="171" t="e">
        <f t="shared" si="43"/>
        <v>#NUM!</v>
      </c>
      <c r="E332" s="171" t="e">
        <f t="shared" si="44"/>
        <v>#NUM!</v>
      </c>
      <c r="F332" s="171" t="e">
        <f t="shared" si="45"/>
        <v>#NUM!</v>
      </c>
      <c r="G332" s="186">
        <f>IF('prijem - EUR-viac-domacnosti'!$I$120=TRUE,IF($C$11&gt;0,0.00025*C331,0),IF('prijem - EUR-viac-domacnosti'!$I$121=TRUE,IF('prijem - EUR-viac-domacnosti'!$F$121&gt;0,0.00025*C331,0),0))</f>
        <v>0</v>
      </c>
      <c r="L332" s="89">
        <v>316</v>
      </c>
      <c r="M332" s="186" t="e">
        <f t="shared" si="46"/>
        <v>#DIV/0!</v>
      </c>
      <c r="N332" s="171" t="e">
        <f t="shared" si="47"/>
        <v>#DIV/0!</v>
      </c>
      <c r="O332" s="171" t="e">
        <f t="shared" si="40"/>
        <v>#DIV/0!</v>
      </c>
      <c r="P332" s="171" t="e">
        <f t="shared" si="48"/>
        <v>#DIV/0!</v>
      </c>
      <c r="Q332" s="171" t="e">
        <f t="shared" si="49"/>
        <v>#DIV/0!</v>
      </c>
      <c r="R332" s="186">
        <f>IF('prijem - EUR-viac-domacnosti'!$I$120=TRUE,IF($C$11&gt;0,0.00025*N331,0),IF('prijem - EUR-viac-domacnosti'!$I$121=TRUE,IF('prijem - EUR-viac-domacnosti'!$F$121&gt;0,0.00025*N331*-1,0),0))</f>
        <v>0</v>
      </c>
    </row>
    <row r="333" spans="1:18" x14ac:dyDescent="0.2">
      <c r="A333" s="89">
        <v>317</v>
      </c>
      <c r="B333" s="186" t="e">
        <f t="shared" si="41"/>
        <v>#NUM!</v>
      </c>
      <c r="C333" s="171" t="e">
        <f t="shared" si="42"/>
        <v>#NUM!</v>
      </c>
      <c r="D333" s="171" t="e">
        <f t="shared" si="43"/>
        <v>#NUM!</v>
      </c>
      <c r="E333" s="171" t="e">
        <f t="shared" si="44"/>
        <v>#NUM!</v>
      </c>
      <c r="F333" s="171" t="e">
        <f t="shared" si="45"/>
        <v>#NUM!</v>
      </c>
      <c r="G333" s="186">
        <f>IF('prijem - EUR-viac-domacnosti'!$I$120=TRUE,IF($C$11&gt;0,0.00025*C332,0),IF('prijem - EUR-viac-domacnosti'!$I$121=TRUE,IF('prijem - EUR-viac-domacnosti'!$F$121&gt;0,0.00025*C332,0),0))</f>
        <v>0</v>
      </c>
      <c r="L333" s="89">
        <v>317</v>
      </c>
      <c r="M333" s="186" t="e">
        <f t="shared" si="46"/>
        <v>#DIV/0!</v>
      </c>
      <c r="N333" s="171" t="e">
        <f t="shared" si="47"/>
        <v>#DIV/0!</v>
      </c>
      <c r="O333" s="171" t="e">
        <f t="shared" si="40"/>
        <v>#DIV/0!</v>
      </c>
      <c r="P333" s="171" t="e">
        <f t="shared" si="48"/>
        <v>#DIV/0!</v>
      </c>
      <c r="Q333" s="171" t="e">
        <f t="shared" si="49"/>
        <v>#DIV/0!</v>
      </c>
      <c r="R333" s="186">
        <f>IF('prijem - EUR-viac-domacnosti'!$I$120=TRUE,IF($C$11&gt;0,0.00025*N332,0),IF('prijem - EUR-viac-domacnosti'!$I$121=TRUE,IF('prijem - EUR-viac-domacnosti'!$F$121&gt;0,0.00025*N332*-1,0),0))</f>
        <v>0</v>
      </c>
    </row>
    <row r="334" spans="1:18" x14ac:dyDescent="0.2">
      <c r="A334" s="89">
        <v>318</v>
      </c>
      <c r="B334" s="186" t="e">
        <f t="shared" si="41"/>
        <v>#NUM!</v>
      </c>
      <c r="C334" s="171" t="e">
        <f t="shared" si="42"/>
        <v>#NUM!</v>
      </c>
      <c r="D334" s="171" t="e">
        <f t="shared" si="43"/>
        <v>#NUM!</v>
      </c>
      <c r="E334" s="171" t="e">
        <f t="shared" si="44"/>
        <v>#NUM!</v>
      </c>
      <c r="F334" s="171" t="e">
        <f t="shared" si="45"/>
        <v>#NUM!</v>
      </c>
      <c r="G334" s="186">
        <f>IF('prijem - EUR-viac-domacnosti'!$I$120=TRUE,IF($C$11&gt;0,0.00025*C333,0),IF('prijem - EUR-viac-domacnosti'!$I$121=TRUE,IF('prijem - EUR-viac-domacnosti'!$F$121&gt;0,0.00025*C333,0),0))</f>
        <v>0</v>
      </c>
      <c r="L334" s="89">
        <v>318</v>
      </c>
      <c r="M334" s="186" t="e">
        <f t="shared" si="46"/>
        <v>#DIV/0!</v>
      </c>
      <c r="N334" s="171" t="e">
        <f t="shared" si="47"/>
        <v>#DIV/0!</v>
      </c>
      <c r="O334" s="171" t="e">
        <f t="shared" si="40"/>
        <v>#DIV/0!</v>
      </c>
      <c r="P334" s="171" t="e">
        <f t="shared" si="48"/>
        <v>#DIV/0!</v>
      </c>
      <c r="Q334" s="171" t="e">
        <f t="shared" si="49"/>
        <v>#DIV/0!</v>
      </c>
      <c r="R334" s="186">
        <f>IF('prijem - EUR-viac-domacnosti'!$I$120=TRUE,IF($C$11&gt;0,0.00025*N333,0),IF('prijem - EUR-viac-domacnosti'!$I$121=TRUE,IF('prijem - EUR-viac-domacnosti'!$F$121&gt;0,0.00025*N333*-1,0),0))</f>
        <v>0</v>
      </c>
    </row>
    <row r="335" spans="1:18" x14ac:dyDescent="0.2">
      <c r="A335" s="89">
        <v>319</v>
      </c>
      <c r="B335" s="186" t="e">
        <f t="shared" si="41"/>
        <v>#NUM!</v>
      </c>
      <c r="C335" s="171" t="e">
        <f t="shared" si="42"/>
        <v>#NUM!</v>
      </c>
      <c r="D335" s="171" t="e">
        <f t="shared" si="43"/>
        <v>#NUM!</v>
      </c>
      <c r="E335" s="171" t="e">
        <f t="shared" si="44"/>
        <v>#NUM!</v>
      </c>
      <c r="F335" s="171" t="e">
        <f t="shared" si="45"/>
        <v>#NUM!</v>
      </c>
      <c r="G335" s="186">
        <f>IF('prijem - EUR-viac-domacnosti'!$I$120=TRUE,IF($C$11&gt;0,0.00025*C334,0),IF('prijem - EUR-viac-domacnosti'!$I$121=TRUE,IF('prijem - EUR-viac-domacnosti'!$F$121&gt;0,0.00025*C334,0),0))</f>
        <v>0</v>
      </c>
      <c r="L335" s="89">
        <v>319</v>
      </c>
      <c r="M335" s="186" t="e">
        <f t="shared" si="46"/>
        <v>#DIV/0!</v>
      </c>
      <c r="N335" s="171" t="e">
        <f t="shared" si="47"/>
        <v>#DIV/0!</v>
      </c>
      <c r="O335" s="171" t="e">
        <f t="shared" si="40"/>
        <v>#DIV/0!</v>
      </c>
      <c r="P335" s="171" t="e">
        <f t="shared" si="48"/>
        <v>#DIV/0!</v>
      </c>
      <c r="Q335" s="171" t="e">
        <f t="shared" si="49"/>
        <v>#DIV/0!</v>
      </c>
      <c r="R335" s="186">
        <f>IF('prijem - EUR-viac-domacnosti'!$I$120=TRUE,IF($C$11&gt;0,0.00025*N334,0),IF('prijem - EUR-viac-domacnosti'!$I$121=TRUE,IF('prijem - EUR-viac-domacnosti'!$F$121&gt;0,0.00025*N334*-1,0),0))</f>
        <v>0</v>
      </c>
    </row>
    <row r="336" spans="1:18" x14ac:dyDescent="0.2">
      <c r="A336" s="89">
        <v>320</v>
      </c>
      <c r="B336" s="186" t="e">
        <f t="shared" si="41"/>
        <v>#NUM!</v>
      </c>
      <c r="C336" s="171" t="e">
        <f t="shared" si="42"/>
        <v>#NUM!</v>
      </c>
      <c r="D336" s="171" t="e">
        <f t="shared" si="43"/>
        <v>#NUM!</v>
      </c>
      <c r="E336" s="171" t="e">
        <f t="shared" si="44"/>
        <v>#NUM!</v>
      </c>
      <c r="F336" s="171" t="e">
        <f t="shared" si="45"/>
        <v>#NUM!</v>
      </c>
      <c r="G336" s="186">
        <f>IF('prijem - EUR-viac-domacnosti'!$I$120=TRUE,IF($C$11&gt;0,0.00025*C335,0),IF('prijem - EUR-viac-domacnosti'!$I$121=TRUE,IF('prijem - EUR-viac-domacnosti'!$F$121&gt;0,0.00025*C335,0),0))</f>
        <v>0</v>
      </c>
      <c r="L336" s="89">
        <v>320</v>
      </c>
      <c r="M336" s="186" t="e">
        <f t="shared" si="46"/>
        <v>#DIV/0!</v>
      </c>
      <c r="N336" s="171" t="e">
        <f t="shared" si="47"/>
        <v>#DIV/0!</v>
      </c>
      <c r="O336" s="171" t="e">
        <f t="shared" si="40"/>
        <v>#DIV/0!</v>
      </c>
      <c r="P336" s="171" t="e">
        <f t="shared" si="48"/>
        <v>#DIV/0!</v>
      </c>
      <c r="Q336" s="171" t="e">
        <f t="shared" si="49"/>
        <v>#DIV/0!</v>
      </c>
      <c r="R336" s="186">
        <f>IF('prijem - EUR-viac-domacnosti'!$I$120=TRUE,IF($C$11&gt;0,0.00025*N335,0),IF('prijem - EUR-viac-domacnosti'!$I$121=TRUE,IF('prijem - EUR-viac-domacnosti'!$F$121&gt;0,0.00025*N335*-1,0),0))</f>
        <v>0</v>
      </c>
    </row>
    <row r="337" spans="1:18" x14ac:dyDescent="0.2">
      <c r="A337" s="89">
        <v>321</v>
      </c>
      <c r="B337" s="186" t="e">
        <f t="shared" si="41"/>
        <v>#NUM!</v>
      </c>
      <c r="C337" s="171" t="e">
        <f t="shared" si="42"/>
        <v>#NUM!</v>
      </c>
      <c r="D337" s="171" t="e">
        <f t="shared" si="43"/>
        <v>#NUM!</v>
      </c>
      <c r="E337" s="171" t="e">
        <f t="shared" si="44"/>
        <v>#NUM!</v>
      </c>
      <c r="F337" s="171" t="e">
        <f t="shared" si="45"/>
        <v>#NUM!</v>
      </c>
      <c r="G337" s="186">
        <f>IF('prijem - EUR-viac-domacnosti'!$I$120=TRUE,IF($C$11&gt;0,0.00025*C336,0),IF('prijem - EUR-viac-domacnosti'!$I$121=TRUE,IF('prijem - EUR-viac-domacnosti'!$F$121&gt;0,0.00025*C336,0),0))</f>
        <v>0</v>
      </c>
      <c r="L337" s="89">
        <v>321</v>
      </c>
      <c r="M337" s="186" t="e">
        <f t="shared" si="46"/>
        <v>#DIV/0!</v>
      </c>
      <c r="N337" s="171" t="e">
        <f t="shared" si="47"/>
        <v>#DIV/0!</v>
      </c>
      <c r="O337" s="171" t="e">
        <f t="shared" ref="O337:O400" si="50">$N$16/$N$5</f>
        <v>#DIV/0!</v>
      </c>
      <c r="P337" s="171" t="e">
        <f t="shared" si="48"/>
        <v>#DIV/0!</v>
      </c>
      <c r="Q337" s="171" t="e">
        <f t="shared" si="49"/>
        <v>#DIV/0!</v>
      </c>
      <c r="R337" s="186">
        <f>IF('prijem - EUR-viac-domacnosti'!$I$120=TRUE,IF($C$11&gt;0,0.00025*N336,0),IF('prijem - EUR-viac-domacnosti'!$I$121=TRUE,IF('prijem - EUR-viac-domacnosti'!$F$121&gt;0,0.00025*N336*-1,0),0))</f>
        <v>0</v>
      </c>
    </row>
    <row r="338" spans="1:18" x14ac:dyDescent="0.2">
      <c r="A338" s="89">
        <v>322</v>
      </c>
      <c r="B338" s="186" t="e">
        <f t="shared" ref="B338:B401" si="51">IF(C337&gt;0.00001,F338-G338,0)</f>
        <v>#NUM!</v>
      </c>
      <c r="C338" s="171" t="e">
        <f t="shared" ref="C338:C401" si="52">MAX(C337-D338,0)</f>
        <v>#NUM!</v>
      </c>
      <c r="D338" s="171" t="e">
        <f t="shared" ref="D338:D401" si="53">(F338-E338)*-1</f>
        <v>#NUM!</v>
      </c>
      <c r="E338" s="171" t="e">
        <f t="shared" ref="E338:E401" si="54">IPMT($C$4/12,1,$C$5,C337)</f>
        <v>#NUM!</v>
      </c>
      <c r="F338" s="171" t="e">
        <f t="shared" ref="F338:F401" si="55">PMT($C$4/12,$C$5,$C$3)</f>
        <v>#NUM!</v>
      </c>
      <c r="G338" s="186">
        <f>IF('prijem - EUR-viac-domacnosti'!$I$120=TRUE,IF($C$11&gt;0,0.00025*C337,0),IF('prijem - EUR-viac-domacnosti'!$I$121=TRUE,IF('prijem - EUR-viac-domacnosti'!$F$121&gt;0,0.00025*C337,0),0))</f>
        <v>0</v>
      </c>
      <c r="L338" s="89">
        <v>322</v>
      </c>
      <c r="M338" s="186" t="e">
        <f t="shared" ref="M338:M401" si="56">IF(N337&gt;0.00001,Q338-R338,0)*-1</f>
        <v>#DIV/0!</v>
      </c>
      <c r="N338" s="171" t="e">
        <f t="shared" ref="N338:N401" si="57">MAX(N337-O338,0)</f>
        <v>#DIV/0!</v>
      </c>
      <c r="O338" s="171" t="e">
        <f t="shared" si="50"/>
        <v>#DIV/0!</v>
      </c>
      <c r="P338" s="171" t="e">
        <f t="shared" ref="P338:P401" si="58">N337*$N$4/12</f>
        <v>#DIV/0!</v>
      </c>
      <c r="Q338" s="171" t="e">
        <f t="shared" ref="Q338:Q401" si="59">P338+O338</f>
        <v>#DIV/0!</v>
      </c>
      <c r="R338" s="186">
        <f>IF('prijem - EUR-viac-domacnosti'!$I$120=TRUE,IF($C$11&gt;0,0.00025*N337,0),IF('prijem - EUR-viac-domacnosti'!$I$121=TRUE,IF('prijem - EUR-viac-domacnosti'!$F$121&gt;0,0.00025*N337*-1,0),0))</f>
        <v>0</v>
      </c>
    </row>
    <row r="339" spans="1:18" x14ac:dyDescent="0.2">
      <c r="A339" s="89">
        <v>323</v>
      </c>
      <c r="B339" s="186" t="e">
        <f t="shared" si="51"/>
        <v>#NUM!</v>
      </c>
      <c r="C339" s="171" t="e">
        <f t="shared" si="52"/>
        <v>#NUM!</v>
      </c>
      <c r="D339" s="171" t="e">
        <f t="shared" si="53"/>
        <v>#NUM!</v>
      </c>
      <c r="E339" s="171" t="e">
        <f t="shared" si="54"/>
        <v>#NUM!</v>
      </c>
      <c r="F339" s="171" t="e">
        <f t="shared" si="55"/>
        <v>#NUM!</v>
      </c>
      <c r="G339" s="186">
        <f>IF('prijem - EUR-viac-domacnosti'!$I$120=TRUE,IF($C$11&gt;0,0.00025*C338,0),IF('prijem - EUR-viac-domacnosti'!$I$121=TRUE,IF('prijem - EUR-viac-domacnosti'!$F$121&gt;0,0.00025*C338,0),0))</f>
        <v>0</v>
      </c>
      <c r="L339" s="89">
        <v>323</v>
      </c>
      <c r="M339" s="186" t="e">
        <f t="shared" si="56"/>
        <v>#DIV/0!</v>
      </c>
      <c r="N339" s="171" t="e">
        <f t="shared" si="57"/>
        <v>#DIV/0!</v>
      </c>
      <c r="O339" s="171" t="e">
        <f t="shared" si="50"/>
        <v>#DIV/0!</v>
      </c>
      <c r="P339" s="171" t="e">
        <f t="shared" si="58"/>
        <v>#DIV/0!</v>
      </c>
      <c r="Q339" s="171" t="e">
        <f t="shared" si="59"/>
        <v>#DIV/0!</v>
      </c>
      <c r="R339" s="186">
        <f>IF('prijem - EUR-viac-domacnosti'!$I$120=TRUE,IF($C$11&gt;0,0.00025*N338,0),IF('prijem - EUR-viac-domacnosti'!$I$121=TRUE,IF('prijem - EUR-viac-domacnosti'!$F$121&gt;0,0.00025*N338*-1,0),0))</f>
        <v>0</v>
      </c>
    </row>
    <row r="340" spans="1:18" x14ac:dyDescent="0.2">
      <c r="A340" s="89">
        <v>324</v>
      </c>
      <c r="B340" s="186" t="e">
        <f t="shared" si="51"/>
        <v>#NUM!</v>
      </c>
      <c r="C340" s="171" t="e">
        <f t="shared" si="52"/>
        <v>#NUM!</v>
      </c>
      <c r="D340" s="171" t="e">
        <f t="shared" si="53"/>
        <v>#NUM!</v>
      </c>
      <c r="E340" s="171" t="e">
        <f t="shared" si="54"/>
        <v>#NUM!</v>
      </c>
      <c r="F340" s="171" t="e">
        <f t="shared" si="55"/>
        <v>#NUM!</v>
      </c>
      <c r="G340" s="186">
        <f>IF('prijem - EUR-viac-domacnosti'!$I$120=TRUE,IF($C$11&gt;0,0.00025*C339,0),IF('prijem - EUR-viac-domacnosti'!$I$121=TRUE,IF('prijem - EUR-viac-domacnosti'!$F$121&gt;0,0.00025*C339,0),0))</f>
        <v>0</v>
      </c>
      <c r="L340" s="89">
        <v>324</v>
      </c>
      <c r="M340" s="186" t="e">
        <f t="shared" si="56"/>
        <v>#DIV/0!</v>
      </c>
      <c r="N340" s="171" t="e">
        <f t="shared" si="57"/>
        <v>#DIV/0!</v>
      </c>
      <c r="O340" s="171" t="e">
        <f t="shared" si="50"/>
        <v>#DIV/0!</v>
      </c>
      <c r="P340" s="171" t="e">
        <f t="shared" si="58"/>
        <v>#DIV/0!</v>
      </c>
      <c r="Q340" s="171" t="e">
        <f t="shared" si="59"/>
        <v>#DIV/0!</v>
      </c>
      <c r="R340" s="186">
        <f>IF('prijem - EUR-viac-domacnosti'!$I$120=TRUE,IF($C$11&gt;0,0.00025*N339,0),IF('prijem - EUR-viac-domacnosti'!$I$121=TRUE,IF('prijem - EUR-viac-domacnosti'!$F$121&gt;0,0.00025*N339*-1,0),0))</f>
        <v>0</v>
      </c>
    </row>
    <row r="341" spans="1:18" x14ac:dyDescent="0.2">
      <c r="A341" s="89">
        <v>325</v>
      </c>
      <c r="B341" s="186" t="e">
        <f t="shared" si="51"/>
        <v>#NUM!</v>
      </c>
      <c r="C341" s="171" t="e">
        <f t="shared" si="52"/>
        <v>#NUM!</v>
      </c>
      <c r="D341" s="171" t="e">
        <f t="shared" si="53"/>
        <v>#NUM!</v>
      </c>
      <c r="E341" s="171" t="e">
        <f t="shared" si="54"/>
        <v>#NUM!</v>
      </c>
      <c r="F341" s="171" t="e">
        <f t="shared" si="55"/>
        <v>#NUM!</v>
      </c>
      <c r="G341" s="186">
        <f>IF('prijem - EUR-viac-domacnosti'!$I$120=TRUE,IF($C$11&gt;0,0.00025*C340,0),IF('prijem - EUR-viac-domacnosti'!$I$121=TRUE,IF('prijem - EUR-viac-domacnosti'!$F$121&gt;0,0.00025*C340,0),0))</f>
        <v>0</v>
      </c>
      <c r="L341" s="89">
        <v>325</v>
      </c>
      <c r="M341" s="186" t="e">
        <f t="shared" si="56"/>
        <v>#DIV/0!</v>
      </c>
      <c r="N341" s="171" t="e">
        <f t="shared" si="57"/>
        <v>#DIV/0!</v>
      </c>
      <c r="O341" s="171" t="e">
        <f t="shared" si="50"/>
        <v>#DIV/0!</v>
      </c>
      <c r="P341" s="171" t="e">
        <f t="shared" si="58"/>
        <v>#DIV/0!</v>
      </c>
      <c r="Q341" s="171" t="e">
        <f t="shared" si="59"/>
        <v>#DIV/0!</v>
      </c>
      <c r="R341" s="186">
        <f>IF('prijem - EUR-viac-domacnosti'!$I$120=TRUE,IF($C$11&gt;0,0.00025*N340,0),IF('prijem - EUR-viac-domacnosti'!$I$121=TRUE,IF('prijem - EUR-viac-domacnosti'!$F$121&gt;0,0.00025*N340*-1,0),0))</f>
        <v>0</v>
      </c>
    </row>
    <row r="342" spans="1:18" x14ac:dyDescent="0.2">
      <c r="A342" s="89">
        <v>326</v>
      </c>
      <c r="B342" s="186" t="e">
        <f t="shared" si="51"/>
        <v>#NUM!</v>
      </c>
      <c r="C342" s="171" t="e">
        <f t="shared" si="52"/>
        <v>#NUM!</v>
      </c>
      <c r="D342" s="171" t="e">
        <f t="shared" si="53"/>
        <v>#NUM!</v>
      </c>
      <c r="E342" s="171" t="e">
        <f t="shared" si="54"/>
        <v>#NUM!</v>
      </c>
      <c r="F342" s="171" t="e">
        <f t="shared" si="55"/>
        <v>#NUM!</v>
      </c>
      <c r="G342" s="186">
        <f>IF('prijem - EUR-viac-domacnosti'!$I$120=TRUE,IF($C$11&gt;0,0.00025*C341,0),IF('prijem - EUR-viac-domacnosti'!$I$121=TRUE,IF('prijem - EUR-viac-domacnosti'!$F$121&gt;0,0.00025*C341,0),0))</f>
        <v>0</v>
      </c>
      <c r="L342" s="89">
        <v>326</v>
      </c>
      <c r="M342" s="186" t="e">
        <f t="shared" si="56"/>
        <v>#DIV/0!</v>
      </c>
      <c r="N342" s="171" t="e">
        <f t="shared" si="57"/>
        <v>#DIV/0!</v>
      </c>
      <c r="O342" s="171" t="e">
        <f t="shared" si="50"/>
        <v>#DIV/0!</v>
      </c>
      <c r="P342" s="171" t="e">
        <f t="shared" si="58"/>
        <v>#DIV/0!</v>
      </c>
      <c r="Q342" s="171" t="e">
        <f t="shared" si="59"/>
        <v>#DIV/0!</v>
      </c>
      <c r="R342" s="186">
        <f>IF('prijem - EUR-viac-domacnosti'!$I$120=TRUE,IF($C$11&gt;0,0.00025*N341,0),IF('prijem - EUR-viac-domacnosti'!$I$121=TRUE,IF('prijem - EUR-viac-domacnosti'!$F$121&gt;0,0.00025*N341*-1,0),0))</f>
        <v>0</v>
      </c>
    </row>
    <row r="343" spans="1:18" x14ac:dyDescent="0.2">
      <c r="A343" s="89">
        <v>327</v>
      </c>
      <c r="B343" s="186" t="e">
        <f t="shared" si="51"/>
        <v>#NUM!</v>
      </c>
      <c r="C343" s="171" t="e">
        <f t="shared" si="52"/>
        <v>#NUM!</v>
      </c>
      <c r="D343" s="171" t="e">
        <f t="shared" si="53"/>
        <v>#NUM!</v>
      </c>
      <c r="E343" s="171" t="e">
        <f t="shared" si="54"/>
        <v>#NUM!</v>
      </c>
      <c r="F343" s="171" t="e">
        <f t="shared" si="55"/>
        <v>#NUM!</v>
      </c>
      <c r="G343" s="186">
        <f>IF('prijem - EUR-viac-domacnosti'!$I$120=TRUE,IF($C$11&gt;0,0.00025*C342,0),IF('prijem - EUR-viac-domacnosti'!$I$121=TRUE,IF('prijem - EUR-viac-domacnosti'!$F$121&gt;0,0.00025*C342,0),0))</f>
        <v>0</v>
      </c>
      <c r="L343" s="89">
        <v>327</v>
      </c>
      <c r="M343" s="186" t="e">
        <f t="shared" si="56"/>
        <v>#DIV/0!</v>
      </c>
      <c r="N343" s="171" t="e">
        <f t="shared" si="57"/>
        <v>#DIV/0!</v>
      </c>
      <c r="O343" s="171" t="e">
        <f t="shared" si="50"/>
        <v>#DIV/0!</v>
      </c>
      <c r="P343" s="171" t="e">
        <f t="shared" si="58"/>
        <v>#DIV/0!</v>
      </c>
      <c r="Q343" s="171" t="e">
        <f t="shared" si="59"/>
        <v>#DIV/0!</v>
      </c>
      <c r="R343" s="186">
        <f>IF('prijem - EUR-viac-domacnosti'!$I$120=TRUE,IF($C$11&gt;0,0.00025*N342,0),IF('prijem - EUR-viac-domacnosti'!$I$121=TRUE,IF('prijem - EUR-viac-domacnosti'!$F$121&gt;0,0.00025*N342*-1,0),0))</f>
        <v>0</v>
      </c>
    </row>
    <row r="344" spans="1:18" x14ac:dyDescent="0.2">
      <c r="A344" s="89">
        <v>328</v>
      </c>
      <c r="B344" s="186" t="e">
        <f t="shared" si="51"/>
        <v>#NUM!</v>
      </c>
      <c r="C344" s="171" t="e">
        <f t="shared" si="52"/>
        <v>#NUM!</v>
      </c>
      <c r="D344" s="171" t="e">
        <f t="shared" si="53"/>
        <v>#NUM!</v>
      </c>
      <c r="E344" s="171" t="e">
        <f t="shared" si="54"/>
        <v>#NUM!</v>
      </c>
      <c r="F344" s="171" t="e">
        <f t="shared" si="55"/>
        <v>#NUM!</v>
      </c>
      <c r="G344" s="186">
        <f>IF('prijem - EUR-viac-domacnosti'!$I$120=TRUE,IF($C$11&gt;0,0.00025*C343,0),IF('prijem - EUR-viac-domacnosti'!$I$121=TRUE,IF('prijem - EUR-viac-domacnosti'!$F$121&gt;0,0.00025*C343,0),0))</f>
        <v>0</v>
      </c>
      <c r="L344" s="89">
        <v>328</v>
      </c>
      <c r="M344" s="186" t="e">
        <f t="shared" si="56"/>
        <v>#DIV/0!</v>
      </c>
      <c r="N344" s="171" t="e">
        <f t="shared" si="57"/>
        <v>#DIV/0!</v>
      </c>
      <c r="O344" s="171" t="e">
        <f t="shared" si="50"/>
        <v>#DIV/0!</v>
      </c>
      <c r="P344" s="171" t="e">
        <f t="shared" si="58"/>
        <v>#DIV/0!</v>
      </c>
      <c r="Q344" s="171" t="e">
        <f t="shared" si="59"/>
        <v>#DIV/0!</v>
      </c>
      <c r="R344" s="186">
        <f>IF('prijem - EUR-viac-domacnosti'!$I$120=TRUE,IF($C$11&gt;0,0.00025*N343,0),IF('prijem - EUR-viac-domacnosti'!$I$121=TRUE,IF('prijem - EUR-viac-domacnosti'!$F$121&gt;0,0.00025*N343*-1,0),0))</f>
        <v>0</v>
      </c>
    </row>
    <row r="345" spans="1:18" x14ac:dyDescent="0.2">
      <c r="A345" s="89">
        <v>329</v>
      </c>
      <c r="B345" s="186" t="e">
        <f t="shared" si="51"/>
        <v>#NUM!</v>
      </c>
      <c r="C345" s="171" t="e">
        <f t="shared" si="52"/>
        <v>#NUM!</v>
      </c>
      <c r="D345" s="171" t="e">
        <f t="shared" si="53"/>
        <v>#NUM!</v>
      </c>
      <c r="E345" s="171" t="e">
        <f t="shared" si="54"/>
        <v>#NUM!</v>
      </c>
      <c r="F345" s="171" t="e">
        <f t="shared" si="55"/>
        <v>#NUM!</v>
      </c>
      <c r="G345" s="186">
        <f>IF('prijem - EUR-viac-domacnosti'!$I$120=TRUE,IF($C$11&gt;0,0.00025*C344,0),IF('prijem - EUR-viac-domacnosti'!$I$121=TRUE,IF('prijem - EUR-viac-domacnosti'!$F$121&gt;0,0.00025*C344,0),0))</f>
        <v>0</v>
      </c>
      <c r="L345" s="89">
        <v>329</v>
      </c>
      <c r="M345" s="186" t="e">
        <f t="shared" si="56"/>
        <v>#DIV/0!</v>
      </c>
      <c r="N345" s="171" t="e">
        <f t="shared" si="57"/>
        <v>#DIV/0!</v>
      </c>
      <c r="O345" s="171" t="e">
        <f t="shared" si="50"/>
        <v>#DIV/0!</v>
      </c>
      <c r="P345" s="171" t="e">
        <f t="shared" si="58"/>
        <v>#DIV/0!</v>
      </c>
      <c r="Q345" s="171" t="e">
        <f t="shared" si="59"/>
        <v>#DIV/0!</v>
      </c>
      <c r="R345" s="186">
        <f>IF('prijem - EUR-viac-domacnosti'!$I$120=TRUE,IF($C$11&gt;0,0.00025*N344,0),IF('prijem - EUR-viac-domacnosti'!$I$121=TRUE,IF('prijem - EUR-viac-domacnosti'!$F$121&gt;0,0.00025*N344*-1,0),0))</f>
        <v>0</v>
      </c>
    </row>
    <row r="346" spans="1:18" x14ac:dyDescent="0.2">
      <c r="A346" s="89">
        <v>330</v>
      </c>
      <c r="B346" s="186" t="e">
        <f t="shared" si="51"/>
        <v>#NUM!</v>
      </c>
      <c r="C346" s="171" t="e">
        <f t="shared" si="52"/>
        <v>#NUM!</v>
      </c>
      <c r="D346" s="171" t="e">
        <f t="shared" si="53"/>
        <v>#NUM!</v>
      </c>
      <c r="E346" s="171" t="e">
        <f t="shared" si="54"/>
        <v>#NUM!</v>
      </c>
      <c r="F346" s="171" t="e">
        <f t="shared" si="55"/>
        <v>#NUM!</v>
      </c>
      <c r="G346" s="186">
        <f>IF('prijem - EUR-viac-domacnosti'!$I$120=TRUE,IF($C$11&gt;0,0.00025*C345,0),IF('prijem - EUR-viac-domacnosti'!$I$121=TRUE,IF('prijem - EUR-viac-domacnosti'!$F$121&gt;0,0.00025*C345,0),0))</f>
        <v>0</v>
      </c>
      <c r="L346" s="89">
        <v>330</v>
      </c>
      <c r="M346" s="186" t="e">
        <f t="shared" si="56"/>
        <v>#DIV/0!</v>
      </c>
      <c r="N346" s="171" t="e">
        <f t="shared" si="57"/>
        <v>#DIV/0!</v>
      </c>
      <c r="O346" s="171" t="e">
        <f t="shared" si="50"/>
        <v>#DIV/0!</v>
      </c>
      <c r="P346" s="171" t="e">
        <f t="shared" si="58"/>
        <v>#DIV/0!</v>
      </c>
      <c r="Q346" s="171" t="e">
        <f t="shared" si="59"/>
        <v>#DIV/0!</v>
      </c>
      <c r="R346" s="186">
        <f>IF('prijem - EUR-viac-domacnosti'!$I$120=TRUE,IF($C$11&gt;0,0.00025*N345,0),IF('prijem - EUR-viac-domacnosti'!$I$121=TRUE,IF('prijem - EUR-viac-domacnosti'!$F$121&gt;0,0.00025*N345*-1,0),0))</f>
        <v>0</v>
      </c>
    </row>
    <row r="347" spans="1:18" x14ac:dyDescent="0.2">
      <c r="A347" s="89">
        <v>331</v>
      </c>
      <c r="B347" s="186" t="e">
        <f t="shared" si="51"/>
        <v>#NUM!</v>
      </c>
      <c r="C347" s="171" t="e">
        <f t="shared" si="52"/>
        <v>#NUM!</v>
      </c>
      <c r="D347" s="171" t="e">
        <f t="shared" si="53"/>
        <v>#NUM!</v>
      </c>
      <c r="E347" s="171" t="e">
        <f t="shared" si="54"/>
        <v>#NUM!</v>
      </c>
      <c r="F347" s="171" t="e">
        <f t="shared" si="55"/>
        <v>#NUM!</v>
      </c>
      <c r="G347" s="186">
        <f>IF('prijem - EUR-viac-domacnosti'!$I$120=TRUE,IF($C$11&gt;0,0.00025*C346,0),IF('prijem - EUR-viac-domacnosti'!$I$121=TRUE,IF('prijem - EUR-viac-domacnosti'!$F$121&gt;0,0.00025*C346,0),0))</f>
        <v>0</v>
      </c>
      <c r="L347" s="89">
        <v>331</v>
      </c>
      <c r="M347" s="186" t="e">
        <f t="shared" si="56"/>
        <v>#DIV/0!</v>
      </c>
      <c r="N347" s="171" t="e">
        <f t="shared" si="57"/>
        <v>#DIV/0!</v>
      </c>
      <c r="O347" s="171" t="e">
        <f t="shared" si="50"/>
        <v>#DIV/0!</v>
      </c>
      <c r="P347" s="171" t="e">
        <f t="shared" si="58"/>
        <v>#DIV/0!</v>
      </c>
      <c r="Q347" s="171" t="e">
        <f t="shared" si="59"/>
        <v>#DIV/0!</v>
      </c>
      <c r="R347" s="186">
        <f>IF('prijem - EUR-viac-domacnosti'!$I$120=TRUE,IF($C$11&gt;0,0.00025*N346,0),IF('prijem - EUR-viac-domacnosti'!$I$121=TRUE,IF('prijem - EUR-viac-domacnosti'!$F$121&gt;0,0.00025*N346*-1,0),0))</f>
        <v>0</v>
      </c>
    </row>
    <row r="348" spans="1:18" x14ac:dyDescent="0.2">
      <c r="A348" s="89">
        <v>332</v>
      </c>
      <c r="B348" s="186" t="e">
        <f t="shared" si="51"/>
        <v>#NUM!</v>
      </c>
      <c r="C348" s="171" t="e">
        <f t="shared" si="52"/>
        <v>#NUM!</v>
      </c>
      <c r="D348" s="171" t="e">
        <f t="shared" si="53"/>
        <v>#NUM!</v>
      </c>
      <c r="E348" s="171" t="e">
        <f t="shared" si="54"/>
        <v>#NUM!</v>
      </c>
      <c r="F348" s="171" t="e">
        <f t="shared" si="55"/>
        <v>#NUM!</v>
      </c>
      <c r="G348" s="186">
        <f>IF('prijem - EUR-viac-domacnosti'!$I$120=TRUE,IF($C$11&gt;0,0.00025*C347,0),IF('prijem - EUR-viac-domacnosti'!$I$121=TRUE,IF('prijem - EUR-viac-domacnosti'!$F$121&gt;0,0.00025*C347,0),0))</f>
        <v>0</v>
      </c>
      <c r="L348" s="89">
        <v>332</v>
      </c>
      <c r="M348" s="186" t="e">
        <f t="shared" si="56"/>
        <v>#DIV/0!</v>
      </c>
      <c r="N348" s="171" t="e">
        <f t="shared" si="57"/>
        <v>#DIV/0!</v>
      </c>
      <c r="O348" s="171" t="e">
        <f t="shared" si="50"/>
        <v>#DIV/0!</v>
      </c>
      <c r="P348" s="171" t="e">
        <f t="shared" si="58"/>
        <v>#DIV/0!</v>
      </c>
      <c r="Q348" s="171" t="e">
        <f t="shared" si="59"/>
        <v>#DIV/0!</v>
      </c>
      <c r="R348" s="186">
        <f>IF('prijem - EUR-viac-domacnosti'!$I$120=TRUE,IF($C$11&gt;0,0.00025*N347,0),IF('prijem - EUR-viac-domacnosti'!$I$121=TRUE,IF('prijem - EUR-viac-domacnosti'!$F$121&gt;0,0.00025*N347*-1,0),0))</f>
        <v>0</v>
      </c>
    </row>
    <row r="349" spans="1:18" x14ac:dyDescent="0.2">
      <c r="A349" s="89">
        <v>333</v>
      </c>
      <c r="B349" s="186" t="e">
        <f t="shared" si="51"/>
        <v>#NUM!</v>
      </c>
      <c r="C349" s="171" t="e">
        <f t="shared" si="52"/>
        <v>#NUM!</v>
      </c>
      <c r="D349" s="171" t="e">
        <f t="shared" si="53"/>
        <v>#NUM!</v>
      </c>
      <c r="E349" s="171" t="e">
        <f t="shared" si="54"/>
        <v>#NUM!</v>
      </c>
      <c r="F349" s="171" t="e">
        <f t="shared" si="55"/>
        <v>#NUM!</v>
      </c>
      <c r="G349" s="186">
        <f>IF('prijem - EUR-viac-domacnosti'!$I$120=TRUE,IF($C$11&gt;0,0.00025*C348,0),IF('prijem - EUR-viac-domacnosti'!$I$121=TRUE,IF('prijem - EUR-viac-domacnosti'!$F$121&gt;0,0.00025*C348,0),0))</f>
        <v>0</v>
      </c>
      <c r="L349" s="89">
        <v>333</v>
      </c>
      <c r="M349" s="186" t="e">
        <f t="shared" si="56"/>
        <v>#DIV/0!</v>
      </c>
      <c r="N349" s="171" t="e">
        <f t="shared" si="57"/>
        <v>#DIV/0!</v>
      </c>
      <c r="O349" s="171" t="e">
        <f t="shared" si="50"/>
        <v>#DIV/0!</v>
      </c>
      <c r="P349" s="171" t="e">
        <f t="shared" si="58"/>
        <v>#DIV/0!</v>
      </c>
      <c r="Q349" s="171" t="e">
        <f t="shared" si="59"/>
        <v>#DIV/0!</v>
      </c>
      <c r="R349" s="186">
        <f>IF('prijem - EUR-viac-domacnosti'!$I$120=TRUE,IF($C$11&gt;0,0.00025*N348,0),IF('prijem - EUR-viac-domacnosti'!$I$121=TRUE,IF('prijem - EUR-viac-domacnosti'!$F$121&gt;0,0.00025*N348*-1,0),0))</f>
        <v>0</v>
      </c>
    </row>
    <row r="350" spans="1:18" x14ac:dyDescent="0.2">
      <c r="A350" s="89">
        <v>334</v>
      </c>
      <c r="B350" s="186" t="e">
        <f t="shared" si="51"/>
        <v>#NUM!</v>
      </c>
      <c r="C350" s="171" t="e">
        <f t="shared" si="52"/>
        <v>#NUM!</v>
      </c>
      <c r="D350" s="171" t="e">
        <f t="shared" si="53"/>
        <v>#NUM!</v>
      </c>
      <c r="E350" s="171" t="e">
        <f t="shared" si="54"/>
        <v>#NUM!</v>
      </c>
      <c r="F350" s="171" t="e">
        <f t="shared" si="55"/>
        <v>#NUM!</v>
      </c>
      <c r="G350" s="186">
        <f>IF('prijem - EUR-viac-domacnosti'!$I$120=TRUE,IF($C$11&gt;0,0.00025*C349,0),IF('prijem - EUR-viac-domacnosti'!$I$121=TRUE,IF('prijem - EUR-viac-domacnosti'!$F$121&gt;0,0.00025*C349,0),0))</f>
        <v>0</v>
      </c>
      <c r="L350" s="89">
        <v>334</v>
      </c>
      <c r="M350" s="186" t="e">
        <f t="shared" si="56"/>
        <v>#DIV/0!</v>
      </c>
      <c r="N350" s="171" t="e">
        <f t="shared" si="57"/>
        <v>#DIV/0!</v>
      </c>
      <c r="O350" s="171" t="e">
        <f t="shared" si="50"/>
        <v>#DIV/0!</v>
      </c>
      <c r="P350" s="171" t="e">
        <f t="shared" si="58"/>
        <v>#DIV/0!</v>
      </c>
      <c r="Q350" s="171" t="e">
        <f t="shared" si="59"/>
        <v>#DIV/0!</v>
      </c>
      <c r="R350" s="186">
        <f>IF('prijem - EUR-viac-domacnosti'!$I$120=TRUE,IF($C$11&gt;0,0.00025*N349,0),IF('prijem - EUR-viac-domacnosti'!$I$121=TRUE,IF('prijem - EUR-viac-domacnosti'!$F$121&gt;0,0.00025*N349*-1,0),0))</f>
        <v>0</v>
      </c>
    </row>
    <row r="351" spans="1:18" x14ac:dyDescent="0.2">
      <c r="A351" s="89">
        <v>335</v>
      </c>
      <c r="B351" s="186" t="e">
        <f t="shared" si="51"/>
        <v>#NUM!</v>
      </c>
      <c r="C351" s="171" t="e">
        <f t="shared" si="52"/>
        <v>#NUM!</v>
      </c>
      <c r="D351" s="171" t="e">
        <f t="shared" si="53"/>
        <v>#NUM!</v>
      </c>
      <c r="E351" s="171" t="e">
        <f t="shared" si="54"/>
        <v>#NUM!</v>
      </c>
      <c r="F351" s="171" t="e">
        <f t="shared" si="55"/>
        <v>#NUM!</v>
      </c>
      <c r="G351" s="186">
        <f>IF('prijem - EUR-viac-domacnosti'!$I$120=TRUE,IF($C$11&gt;0,0.00025*C350,0),IF('prijem - EUR-viac-domacnosti'!$I$121=TRUE,IF('prijem - EUR-viac-domacnosti'!$F$121&gt;0,0.00025*C350,0),0))</f>
        <v>0</v>
      </c>
      <c r="L351" s="89">
        <v>335</v>
      </c>
      <c r="M351" s="186" t="e">
        <f t="shared" si="56"/>
        <v>#DIV/0!</v>
      </c>
      <c r="N351" s="171" t="e">
        <f t="shared" si="57"/>
        <v>#DIV/0!</v>
      </c>
      <c r="O351" s="171" t="e">
        <f t="shared" si="50"/>
        <v>#DIV/0!</v>
      </c>
      <c r="P351" s="171" t="e">
        <f t="shared" si="58"/>
        <v>#DIV/0!</v>
      </c>
      <c r="Q351" s="171" t="e">
        <f t="shared" si="59"/>
        <v>#DIV/0!</v>
      </c>
      <c r="R351" s="186">
        <f>IF('prijem - EUR-viac-domacnosti'!$I$120=TRUE,IF($C$11&gt;0,0.00025*N350,0),IF('prijem - EUR-viac-domacnosti'!$I$121=TRUE,IF('prijem - EUR-viac-domacnosti'!$F$121&gt;0,0.00025*N350*-1,0),0))</f>
        <v>0</v>
      </c>
    </row>
    <row r="352" spans="1:18" x14ac:dyDescent="0.2">
      <c r="A352" s="89">
        <v>336</v>
      </c>
      <c r="B352" s="186" t="e">
        <f t="shared" si="51"/>
        <v>#NUM!</v>
      </c>
      <c r="C352" s="171" t="e">
        <f t="shared" si="52"/>
        <v>#NUM!</v>
      </c>
      <c r="D352" s="171" t="e">
        <f t="shared" si="53"/>
        <v>#NUM!</v>
      </c>
      <c r="E352" s="171" t="e">
        <f t="shared" si="54"/>
        <v>#NUM!</v>
      </c>
      <c r="F352" s="171" t="e">
        <f t="shared" si="55"/>
        <v>#NUM!</v>
      </c>
      <c r="G352" s="186">
        <f>IF('prijem - EUR-viac-domacnosti'!$I$120=TRUE,IF($C$11&gt;0,0.00025*C351,0),IF('prijem - EUR-viac-domacnosti'!$I$121=TRUE,IF('prijem - EUR-viac-domacnosti'!$F$121&gt;0,0.00025*C351,0),0))</f>
        <v>0</v>
      </c>
      <c r="L352" s="89">
        <v>336</v>
      </c>
      <c r="M352" s="186" t="e">
        <f t="shared" si="56"/>
        <v>#DIV/0!</v>
      </c>
      <c r="N352" s="171" t="e">
        <f t="shared" si="57"/>
        <v>#DIV/0!</v>
      </c>
      <c r="O352" s="171" t="e">
        <f t="shared" si="50"/>
        <v>#DIV/0!</v>
      </c>
      <c r="P352" s="171" t="e">
        <f t="shared" si="58"/>
        <v>#DIV/0!</v>
      </c>
      <c r="Q352" s="171" t="e">
        <f t="shared" si="59"/>
        <v>#DIV/0!</v>
      </c>
      <c r="R352" s="186">
        <f>IF('prijem - EUR-viac-domacnosti'!$I$120=TRUE,IF($C$11&gt;0,0.00025*N351,0),IF('prijem - EUR-viac-domacnosti'!$I$121=TRUE,IF('prijem - EUR-viac-domacnosti'!$F$121&gt;0,0.00025*N351*-1,0),0))</f>
        <v>0</v>
      </c>
    </row>
    <row r="353" spans="1:18" x14ac:dyDescent="0.2">
      <c r="A353" s="89">
        <v>337</v>
      </c>
      <c r="B353" s="186" t="e">
        <f t="shared" si="51"/>
        <v>#NUM!</v>
      </c>
      <c r="C353" s="171" t="e">
        <f t="shared" si="52"/>
        <v>#NUM!</v>
      </c>
      <c r="D353" s="171" t="e">
        <f t="shared" si="53"/>
        <v>#NUM!</v>
      </c>
      <c r="E353" s="171" t="e">
        <f t="shared" si="54"/>
        <v>#NUM!</v>
      </c>
      <c r="F353" s="171" t="e">
        <f t="shared" si="55"/>
        <v>#NUM!</v>
      </c>
      <c r="G353" s="186">
        <f>IF('prijem - EUR-viac-domacnosti'!$I$120=TRUE,IF($C$11&gt;0,0.00025*C352,0),IF('prijem - EUR-viac-domacnosti'!$I$121=TRUE,IF('prijem - EUR-viac-domacnosti'!$F$121&gt;0,0.00025*C352,0),0))</f>
        <v>0</v>
      </c>
      <c r="L353" s="89">
        <v>337</v>
      </c>
      <c r="M353" s="186" t="e">
        <f t="shared" si="56"/>
        <v>#DIV/0!</v>
      </c>
      <c r="N353" s="171" t="e">
        <f t="shared" si="57"/>
        <v>#DIV/0!</v>
      </c>
      <c r="O353" s="171" t="e">
        <f t="shared" si="50"/>
        <v>#DIV/0!</v>
      </c>
      <c r="P353" s="171" t="e">
        <f t="shared" si="58"/>
        <v>#DIV/0!</v>
      </c>
      <c r="Q353" s="171" t="e">
        <f t="shared" si="59"/>
        <v>#DIV/0!</v>
      </c>
      <c r="R353" s="186">
        <f>IF('prijem - EUR-viac-domacnosti'!$I$120=TRUE,IF($C$11&gt;0,0.00025*N352,0),IF('prijem - EUR-viac-domacnosti'!$I$121=TRUE,IF('prijem - EUR-viac-domacnosti'!$F$121&gt;0,0.00025*N352*-1,0),0))</f>
        <v>0</v>
      </c>
    </row>
    <row r="354" spans="1:18" x14ac:dyDescent="0.2">
      <c r="A354" s="89">
        <v>338</v>
      </c>
      <c r="B354" s="186" t="e">
        <f t="shared" si="51"/>
        <v>#NUM!</v>
      </c>
      <c r="C354" s="171" t="e">
        <f t="shared" si="52"/>
        <v>#NUM!</v>
      </c>
      <c r="D354" s="171" t="e">
        <f t="shared" si="53"/>
        <v>#NUM!</v>
      </c>
      <c r="E354" s="171" t="e">
        <f t="shared" si="54"/>
        <v>#NUM!</v>
      </c>
      <c r="F354" s="171" t="e">
        <f t="shared" si="55"/>
        <v>#NUM!</v>
      </c>
      <c r="G354" s="186">
        <f>IF('prijem - EUR-viac-domacnosti'!$I$120=TRUE,IF($C$11&gt;0,0.00025*C353,0),IF('prijem - EUR-viac-domacnosti'!$I$121=TRUE,IF('prijem - EUR-viac-domacnosti'!$F$121&gt;0,0.00025*C353,0),0))</f>
        <v>0</v>
      </c>
      <c r="L354" s="89">
        <v>338</v>
      </c>
      <c r="M354" s="186" t="e">
        <f t="shared" si="56"/>
        <v>#DIV/0!</v>
      </c>
      <c r="N354" s="171" t="e">
        <f t="shared" si="57"/>
        <v>#DIV/0!</v>
      </c>
      <c r="O354" s="171" t="e">
        <f t="shared" si="50"/>
        <v>#DIV/0!</v>
      </c>
      <c r="P354" s="171" t="e">
        <f t="shared" si="58"/>
        <v>#DIV/0!</v>
      </c>
      <c r="Q354" s="171" t="e">
        <f t="shared" si="59"/>
        <v>#DIV/0!</v>
      </c>
      <c r="R354" s="186">
        <f>IF('prijem - EUR-viac-domacnosti'!$I$120=TRUE,IF($C$11&gt;0,0.00025*N353,0),IF('prijem - EUR-viac-domacnosti'!$I$121=TRUE,IF('prijem - EUR-viac-domacnosti'!$F$121&gt;0,0.00025*N353*-1,0),0))</f>
        <v>0</v>
      </c>
    </row>
    <row r="355" spans="1:18" x14ac:dyDescent="0.2">
      <c r="A355" s="89">
        <v>339</v>
      </c>
      <c r="B355" s="186" t="e">
        <f t="shared" si="51"/>
        <v>#NUM!</v>
      </c>
      <c r="C355" s="171" t="e">
        <f t="shared" si="52"/>
        <v>#NUM!</v>
      </c>
      <c r="D355" s="171" t="e">
        <f t="shared" si="53"/>
        <v>#NUM!</v>
      </c>
      <c r="E355" s="171" t="e">
        <f t="shared" si="54"/>
        <v>#NUM!</v>
      </c>
      <c r="F355" s="171" t="e">
        <f t="shared" si="55"/>
        <v>#NUM!</v>
      </c>
      <c r="G355" s="186">
        <f>IF('prijem - EUR-viac-domacnosti'!$I$120=TRUE,IF($C$11&gt;0,0.00025*C354,0),IF('prijem - EUR-viac-domacnosti'!$I$121=TRUE,IF('prijem - EUR-viac-domacnosti'!$F$121&gt;0,0.00025*C354,0),0))</f>
        <v>0</v>
      </c>
      <c r="L355" s="89">
        <v>339</v>
      </c>
      <c r="M355" s="186" t="e">
        <f t="shared" si="56"/>
        <v>#DIV/0!</v>
      </c>
      <c r="N355" s="171" t="e">
        <f t="shared" si="57"/>
        <v>#DIV/0!</v>
      </c>
      <c r="O355" s="171" t="e">
        <f t="shared" si="50"/>
        <v>#DIV/0!</v>
      </c>
      <c r="P355" s="171" t="e">
        <f t="shared" si="58"/>
        <v>#DIV/0!</v>
      </c>
      <c r="Q355" s="171" t="e">
        <f t="shared" si="59"/>
        <v>#DIV/0!</v>
      </c>
      <c r="R355" s="186">
        <f>IF('prijem - EUR-viac-domacnosti'!$I$120=TRUE,IF($C$11&gt;0,0.00025*N354,0),IF('prijem - EUR-viac-domacnosti'!$I$121=TRUE,IF('prijem - EUR-viac-domacnosti'!$F$121&gt;0,0.00025*N354*-1,0),0))</f>
        <v>0</v>
      </c>
    </row>
    <row r="356" spans="1:18" x14ac:dyDescent="0.2">
      <c r="A356" s="89">
        <v>340</v>
      </c>
      <c r="B356" s="186" t="e">
        <f t="shared" si="51"/>
        <v>#NUM!</v>
      </c>
      <c r="C356" s="171" t="e">
        <f t="shared" si="52"/>
        <v>#NUM!</v>
      </c>
      <c r="D356" s="171" t="e">
        <f t="shared" si="53"/>
        <v>#NUM!</v>
      </c>
      <c r="E356" s="171" t="e">
        <f t="shared" si="54"/>
        <v>#NUM!</v>
      </c>
      <c r="F356" s="171" t="e">
        <f t="shared" si="55"/>
        <v>#NUM!</v>
      </c>
      <c r="G356" s="186">
        <f>IF('prijem - EUR-viac-domacnosti'!$I$120=TRUE,IF($C$11&gt;0,0.00025*C355,0),IF('prijem - EUR-viac-domacnosti'!$I$121=TRUE,IF('prijem - EUR-viac-domacnosti'!$F$121&gt;0,0.00025*C355,0),0))</f>
        <v>0</v>
      </c>
      <c r="L356" s="89">
        <v>340</v>
      </c>
      <c r="M356" s="186" t="e">
        <f t="shared" si="56"/>
        <v>#DIV/0!</v>
      </c>
      <c r="N356" s="171" t="e">
        <f t="shared" si="57"/>
        <v>#DIV/0!</v>
      </c>
      <c r="O356" s="171" t="e">
        <f t="shared" si="50"/>
        <v>#DIV/0!</v>
      </c>
      <c r="P356" s="171" t="e">
        <f t="shared" si="58"/>
        <v>#DIV/0!</v>
      </c>
      <c r="Q356" s="171" t="e">
        <f t="shared" si="59"/>
        <v>#DIV/0!</v>
      </c>
      <c r="R356" s="186">
        <f>IF('prijem - EUR-viac-domacnosti'!$I$120=TRUE,IF($C$11&gt;0,0.00025*N355,0),IF('prijem - EUR-viac-domacnosti'!$I$121=TRUE,IF('prijem - EUR-viac-domacnosti'!$F$121&gt;0,0.00025*N355*-1,0),0))</f>
        <v>0</v>
      </c>
    </row>
    <row r="357" spans="1:18" x14ac:dyDescent="0.2">
      <c r="A357" s="89">
        <v>341</v>
      </c>
      <c r="B357" s="186" t="e">
        <f t="shared" si="51"/>
        <v>#NUM!</v>
      </c>
      <c r="C357" s="171" t="e">
        <f t="shared" si="52"/>
        <v>#NUM!</v>
      </c>
      <c r="D357" s="171" t="e">
        <f t="shared" si="53"/>
        <v>#NUM!</v>
      </c>
      <c r="E357" s="171" t="e">
        <f t="shared" si="54"/>
        <v>#NUM!</v>
      </c>
      <c r="F357" s="171" t="e">
        <f t="shared" si="55"/>
        <v>#NUM!</v>
      </c>
      <c r="G357" s="186">
        <f>IF('prijem - EUR-viac-domacnosti'!$I$120=TRUE,IF($C$11&gt;0,0.00025*C356,0),IF('prijem - EUR-viac-domacnosti'!$I$121=TRUE,IF('prijem - EUR-viac-domacnosti'!$F$121&gt;0,0.00025*C356,0),0))</f>
        <v>0</v>
      </c>
      <c r="L357" s="89">
        <v>341</v>
      </c>
      <c r="M357" s="186" t="e">
        <f t="shared" si="56"/>
        <v>#DIV/0!</v>
      </c>
      <c r="N357" s="171" t="e">
        <f t="shared" si="57"/>
        <v>#DIV/0!</v>
      </c>
      <c r="O357" s="171" t="e">
        <f t="shared" si="50"/>
        <v>#DIV/0!</v>
      </c>
      <c r="P357" s="171" t="e">
        <f t="shared" si="58"/>
        <v>#DIV/0!</v>
      </c>
      <c r="Q357" s="171" t="e">
        <f t="shared" si="59"/>
        <v>#DIV/0!</v>
      </c>
      <c r="R357" s="186">
        <f>IF('prijem - EUR-viac-domacnosti'!$I$120=TRUE,IF($C$11&gt;0,0.00025*N356,0),IF('prijem - EUR-viac-domacnosti'!$I$121=TRUE,IF('prijem - EUR-viac-domacnosti'!$F$121&gt;0,0.00025*N356*-1,0),0))</f>
        <v>0</v>
      </c>
    </row>
    <row r="358" spans="1:18" x14ac:dyDescent="0.2">
      <c r="A358" s="89">
        <v>342</v>
      </c>
      <c r="B358" s="186" t="e">
        <f t="shared" si="51"/>
        <v>#NUM!</v>
      </c>
      <c r="C358" s="171" t="e">
        <f t="shared" si="52"/>
        <v>#NUM!</v>
      </c>
      <c r="D358" s="171" t="e">
        <f t="shared" si="53"/>
        <v>#NUM!</v>
      </c>
      <c r="E358" s="171" t="e">
        <f t="shared" si="54"/>
        <v>#NUM!</v>
      </c>
      <c r="F358" s="171" t="e">
        <f t="shared" si="55"/>
        <v>#NUM!</v>
      </c>
      <c r="G358" s="186">
        <f>IF('prijem - EUR-viac-domacnosti'!$I$120=TRUE,IF($C$11&gt;0,0.00025*C357,0),IF('prijem - EUR-viac-domacnosti'!$I$121=TRUE,IF('prijem - EUR-viac-domacnosti'!$F$121&gt;0,0.00025*C357,0),0))</f>
        <v>0</v>
      </c>
      <c r="L358" s="89">
        <v>342</v>
      </c>
      <c r="M358" s="186" t="e">
        <f t="shared" si="56"/>
        <v>#DIV/0!</v>
      </c>
      <c r="N358" s="171" t="e">
        <f t="shared" si="57"/>
        <v>#DIV/0!</v>
      </c>
      <c r="O358" s="171" t="e">
        <f t="shared" si="50"/>
        <v>#DIV/0!</v>
      </c>
      <c r="P358" s="171" t="e">
        <f t="shared" si="58"/>
        <v>#DIV/0!</v>
      </c>
      <c r="Q358" s="171" t="e">
        <f t="shared" si="59"/>
        <v>#DIV/0!</v>
      </c>
      <c r="R358" s="186">
        <f>IF('prijem - EUR-viac-domacnosti'!$I$120=TRUE,IF($C$11&gt;0,0.00025*N357,0),IF('prijem - EUR-viac-domacnosti'!$I$121=TRUE,IF('prijem - EUR-viac-domacnosti'!$F$121&gt;0,0.00025*N357*-1,0),0))</f>
        <v>0</v>
      </c>
    </row>
    <row r="359" spans="1:18" x14ac:dyDescent="0.2">
      <c r="A359" s="89">
        <v>343</v>
      </c>
      <c r="B359" s="186" t="e">
        <f t="shared" si="51"/>
        <v>#NUM!</v>
      </c>
      <c r="C359" s="171" t="e">
        <f t="shared" si="52"/>
        <v>#NUM!</v>
      </c>
      <c r="D359" s="171" t="e">
        <f t="shared" si="53"/>
        <v>#NUM!</v>
      </c>
      <c r="E359" s="171" t="e">
        <f t="shared" si="54"/>
        <v>#NUM!</v>
      </c>
      <c r="F359" s="171" t="e">
        <f t="shared" si="55"/>
        <v>#NUM!</v>
      </c>
      <c r="G359" s="186">
        <f>IF('prijem - EUR-viac-domacnosti'!$I$120=TRUE,IF($C$11&gt;0,0.00025*C358,0),IF('prijem - EUR-viac-domacnosti'!$I$121=TRUE,IF('prijem - EUR-viac-domacnosti'!$F$121&gt;0,0.00025*C358,0),0))</f>
        <v>0</v>
      </c>
      <c r="L359" s="89">
        <v>343</v>
      </c>
      <c r="M359" s="186" t="e">
        <f t="shared" si="56"/>
        <v>#DIV/0!</v>
      </c>
      <c r="N359" s="171" t="e">
        <f t="shared" si="57"/>
        <v>#DIV/0!</v>
      </c>
      <c r="O359" s="171" t="e">
        <f t="shared" si="50"/>
        <v>#DIV/0!</v>
      </c>
      <c r="P359" s="171" t="e">
        <f t="shared" si="58"/>
        <v>#DIV/0!</v>
      </c>
      <c r="Q359" s="171" t="e">
        <f t="shared" si="59"/>
        <v>#DIV/0!</v>
      </c>
      <c r="R359" s="186">
        <f>IF('prijem - EUR-viac-domacnosti'!$I$120=TRUE,IF($C$11&gt;0,0.00025*N358,0),IF('prijem - EUR-viac-domacnosti'!$I$121=TRUE,IF('prijem - EUR-viac-domacnosti'!$F$121&gt;0,0.00025*N358*-1,0),0))</f>
        <v>0</v>
      </c>
    </row>
    <row r="360" spans="1:18" x14ac:dyDescent="0.2">
      <c r="A360" s="89">
        <v>344</v>
      </c>
      <c r="B360" s="186" t="e">
        <f t="shared" si="51"/>
        <v>#NUM!</v>
      </c>
      <c r="C360" s="171" t="e">
        <f t="shared" si="52"/>
        <v>#NUM!</v>
      </c>
      <c r="D360" s="171" t="e">
        <f t="shared" si="53"/>
        <v>#NUM!</v>
      </c>
      <c r="E360" s="171" t="e">
        <f t="shared" si="54"/>
        <v>#NUM!</v>
      </c>
      <c r="F360" s="171" t="e">
        <f t="shared" si="55"/>
        <v>#NUM!</v>
      </c>
      <c r="G360" s="186">
        <f>IF('prijem - EUR-viac-domacnosti'!$I$120=TRUE,IF($C$11&gt;0,0.00025*C359,0),IF('prijem - EUR-viac-domacnosti'!$I$121=TRUE,IF('prijem - EUR-viac-domacnosti'!$F$121&gt;0,0.00025*C359,0),0))</f>
        <v>0</v>
      </c>
      <c r="L360" s="89">
        <v>344</v>
      </c>
      <c r="M360" s="186" t="e">
        <f t="shared" si="56"/>
        <v>#DIV/0!</v>
      </c>
      <c r="N360" s="171" t="e">
        <f t="shared" si="57"/>
        <v>#DIV/0!</v>
      </c>
      <c r="O360" s="171" t="e">
        <f t="shared" si="50"/>
        <v>#DIV/0!</v>
      </c>
      <c r="P360" s="171" t="e">
        <f t="shared" si="58"/>
        <v>#DIV/0!</v>
      </c>
      <c r="Q360" s="171" t="e">
        <f t="shared" si="59"/>
        <v>#DIV/0!</v>
      </c>
      <c r="R360" s="186">
        <f>IF('prijem - EUR-viac-domacnosti'!$I$120=TRUE,IF($C$11&gt;0,0.00025*N359,0),IF('prijem - EUR-viac-domacnosti'!$I$121=TRUE,IF('prijem - EUR-viac-domacnosti'!$F$121&gt;0,0.00025*N359*-1,0),0))</f>
        <v>0</v>
      </c>
    </row>
    <row r="361" spans="1:18" x14ac:dyDescent="0.2">
      <c r="A361" s="89">
        <v>345</v>
      </c>
      <c r="B361" s="186" t="e">
        <f t="shared" si="51"/>
        <v>#NUM!</v>
      </c>
      <c r="C361" s="171" t="e">
        <f t="shared" si="52"/>
        <v>#NUM!</v>
      </c>
      <c r="D361" s="171" t="e">
        <f t="shared" si="53"/>
        <v>#NUM!</v>
      </c>
      <c r="E361" s="171" t="e">
        <f t="shared" si="54"/>
        <v>#NUM!</v>
      </c>
      <c r="F361" s="171" t="e">
        <f t="shared" si="55"/>
        <v>#NUM!</v>
      </c>
      <c r="G361" s="186">
        <f>IF('prijem - EUR-viac-domacnosti'!$I$120=TRUE,IF($C$11&gt;0,0.00025*C360,0),IF('prijem - EUR-viac-domacnosti'!$I$121=TRUE,IF('prijem - EUR-viac-domacnosti'!$F$121&gt;0,0.00025*C360,0),0))</f>
        <v>0</v>
      </c>
      <c r="L361" s="89">
        <v>345</v>
      </c>
      <c r="M361" s="186" t="e">
        <f t="shared" si="56"/>
        <v>#DIV/0!</v>
      </c>
      <c r="N361" s="171" t="e">
        <f t="shared" si="57"/>
        <v>#DIV/0!</v>
      </c>
      <c r="O361" s="171" t="e">
        <f t="shared" si="50"/>
        <v>#DIV/0!</v>
      </c>
      <c r="P361" s="171" t="e">
        <f t="shared" si="58"/>
        <v>#DIV/0!</v>
      </c>
      <c r="Q361" s="171" t="e">
        <f t="shared" si="59"/>
        <v>#DIV/0!</v>
      </c>
      <c r="R361" s="186">
        <f>IF('prijem - EUR-viac-domacnosti'!$I$120=TRUE,IF($C$11&gt;0,0.00025*N360,0),IF('prijem - EUR-viac-domacnosti'!$I$121=TRUE,IF('prijem - EUR-viac-domacnosti'!$F$121&gt;0,0.00025*N360*-1,0),0))</f>
        <v>0</v>
      </c>
    </row>
    <row r="362" spans="1:18" x14ac:dyDescent="0.2">
      <c r="A362" s="89">
        <v>346</v>
      </c>
      <c r="B362" s="186" t="e">
        <f t="shared" si="51"/>
        <v>#NUM!</v>
      </c>
      <c r="C362" s="171" t="e">
        <f t="shared" si="52"/>
        <v>#NUM!</v>
      </c>
      <c r="D362" s="171" t="e">
        <f t="shared" si="53"/>
        <v>#NUM!</v>
      </c>
      <c r="E362" s="171" t="e">
        <f t="shared" si="54"/>
        <v>#NUM!</v>
      </c>
      <c r="F362" s="171" t="e">
        <f t="shared" si="55"/>
        <v>#NUM!</v>
      </c>
      <c r="G362" s="186">
        <f>IF('prijem - EUR-viac-domacnosti'!$I$120=TRUE,IF($C$11&gt;0,0.00025*C361,0),IF('prijem - EUR-viac-domacnosti'!$I$121=TRUE,IF('prijem - EUR-viac-domacnosti'!$F$121&gt;0,0.00025*C361,0),0))</f>
        <v>0</v>
      </c>
      <c r="L362" s="89">
        <v>346</v>
      </c>
      <c r="M362" s="186" t="e">
        <f t="shared" si="56"/>
        <v>#DIV/0!</v>
      </c>
      <c r="N362" s="171" t="e">
        <f t="shared" si="57"/>
        <v>#DIV/0!</v>
      </c>
      <c r="O362" s="171" t="e">
        <f t="shared" si="50"/>
        <v>#DIV/0!</v>
      </c>
      <c r="P362" s="171" t="e">
        <f t="shared" si="58"/>
        <v>#DIV/0!</v>
      </c>
      <c r="Q362" s="171" t="e">
        <f t="shared" si="59"/>
        <v>#DIV/0!</v>
      </c>
      <c r="R362" s="186">
        <f>IF('prijem - EUR-viac-domacnosti'!$I$120=TRUE,IF($C$11&gt;0,0.00025*N361,0),IF('prijem - EUR-viac-domacnosti'!$I$121=TRUE,IF('prijem - EUR-viac-domacnosti'!$F$121&gt;0,0.00025*N361*-1,0),0))</f>
        <v>0</v>
      </c>
    </row>
    <row r="363" spans="1:18" x14ac:dyDescent="0.2">
      <c r="A363" s="89">
        <v>347</v>
      </c>
      <c r="B363" s="186" t="e">
        <f t="shared" si="51"/>
        <v>#NUM!</v>
      </c>
      <c r="C363" s="171" t="e">
        <f t="shared" si="52"/>
        <v>#NUM!</v>
      </c>
      <c r="D363" s="171" t="e">
        <f t="shared" si="53"/>
        <v>#NUM!</v>
      </c>
      <c r="E363" s="171" t="e">
        <f t="shared" si="54"/>
        <v>#NUM!</v>
      </c>
      <c r="F363" s="171" t="e">
        <f t="shared" si="55"/>
        <v>#NUM!</v>
      </c>
      <c r="G363" s="186">
        <f>IF('prijem - EUR-viac-domacnosti'!$I$120=TRUE,IF($C$11&gt;0,0.00025*C362,0),IF('prijem - EUR-viac-domacnosti'!$I$121=TRUE,IF('prijem - EUR-viac-domacnosti'!$F$121&gt;0,0.00025*C362,0),0))</f>
        <v>0</v>
      </c>
      <c r="L363" s="89">
        <v>347</v>
      </c>
      <c r="M363" s="186" t="e">
        <f t="shared" si="56"/>
        <v>#DIV/0!</v>
      </c>
      <c r="N363" s="171" t="e">
        <f t="shared" si="57"/>
        <v>#DIV/0!</v>
      </c>
      <c r="O363" s="171" t="e">
        <f t="shared" si="50"/>
        <v>#DIV/0!</v>
      </c>
      <c r="P363" s="171" t="e">
        <f t="shared" si="58"/>
        <v>#DIV/0!</v>
      </c>
      <c r="Q363" s="171" t="e">
        <f t="shared" si="59"/>
        <v>#DIV/0!</v>
      </c>
      <c r="R363" s="186">
        <f>IF('prijem - EUR-viac-domacnosti'!$I$120=TRUE,IF($C$11&gt;0,0.00025*N362,0),IF('prijem - EUR-viac-domacnosti'!$I$121=TRUE,IF('prijem - EUR-viac-domacnosti'!$F$121&gt;0,0.00025*N362*-1,0),0))</f>
        <v>0</v>
      </c>
    </row>
    <row r="364" spans="1:18" x14ac:dyDescent="0.2">
      <c r="A364" s="89">
        <v>348</v>
      </c>
      <c r="B364" s="186" t="e">
        <f t="shared" si="51"/>
        <v>#NUM!</v>
      </c>
      <c r="C364" s="171" t="e">
        <f t="shared" si="52"/>
        <v>#NUM!</v>
      </c>
      <c r="D364" s="171" t="e">
        <f t="shared" si="53"/>
        <v>#NUM!</v>
      </c>
      <c r="E364" s="171" t="e">
        <f t="shared" si="54"/>
        <v>#NUM!</v>
      </c>
      <c r="F364" s="171" t="e">
        <f t="shared" si="55"/>
        <v>#NUM!</v>
      </c>
      <c r="G364" s="186">
        <f>IF('prijem - EUR-viac-domacnosti'!$I$120=TRUE,IF($C$11&gt;0,0.00025*C363,0),IF('prijem - EUR-viac-domacnosti'!$I$121=TRUE,IF('prijem - EUR-viac-domacnosti'!$F$121&gt;0,0.00025*C363,0),0))</f>
        <v>0</v>
      </c>
      <c r="L364" s="89">
        <v>348</v>
      </c>
      <c r="M364" s="186" t="e">
        <f t="shared" si="56"/>
        <v>#DIV/0!</v>
      </c>
      <c r="N364" s="171" t="e">
        <f t="shared" si="57"/>
        <v>#DIV/0!</v>
      </c>
      <c r="O364" s="171" t="e">
        <f t="shared" si="50"/>
        <v>#DIV/0!</v>
      </c>
      <c r="P364" s="171" t="e">
        <f t="shared" si="58"/>
        <v>#DIV/0!</v>
      </c>
      <c r="Q364" s="171" t="e">
        <f t="shared" si="59"/>
        <v>#DIV/0!</v>
      </c>
      <c r="R364" s="186">
        <f>IF('prijem - EUR-viac-domacnosti'!$I$120=TRUE,IF($C$11&gt;0,0.00025*N363,0),IF('prijem - EUR-viac-domacnosti'!$I$121=TRUE,IF('prijem - EUR-viac-domacnosti'!$F$121&gt;0,0.00025*N363*-1,0),0))</f>
        <v>0</v>
      </c>
    </row>
    <row r="365" spans="1:18" x14ac:dyDescent="0.2">
      <c r="A365" s="89">
        <v>349</v>
      </c>
      <c r="B365" s="186" t="e">
        <f t="shared" si="51"/>
        <v>#NUM!</v>
      </c>
      <c r="C365" s="171" t="e">
        <f t="shared" si="52"/>
        <v>#NUM!</v>
      </c>
      <c r="D365" s="171" t="e">
        <f t="shared" si="53"/>
        <v>#NUM!</v>
      </c>
      <c r="E365" s="171" t="e">
        <f t="shared" si="54"/>
        <v>#NUM!</v>
      </c>
      <c r="F365" s="171" t="e">
        <f t="shared" si="55"/>
        <v>#NUM!</v>
      </c>
      <c r="G365" s="186">
        <f>IF('prijem - EUR-viac-domacnosti'!$I$120=TRUE,IF($C$11&gt;0,0.00025*C364,0),IF('prijem - EUR-viac-domacnosti'!$I$121=TRUE,IF('prijem - EUR-viac-domacnosti'!$F$121&gt;0,0.00025*C364,0),0))</f>
        <v>0</v>
      </c>
      <c r="L365" s="89">
        <v>349</v>
      </c>
      <c r="M365" s="186" t="e">
        <f t="shared" si="56"/>
        <v>#DIV/0!</v>
      </c>
      <c r="N365" s="171" t="e">
        <f t="shared" si="57"/>
        <v>#DIV/0!</v>
      </c>
      <c r="O365" s="171" t="e">
        <f t="shared" si="50"/>
        <v>#DIV/0!</v>
      </c>
      <c r="P365" s="171" t="e">
        <f t="shared" si="58"/>
        <v>#DIV/0!</v>
      </c>
      <c r="Q365" s="171" t="e">
        <f t="shared" si="59"/>
        <v>#DIV/0!</v>
      </c>
      <c r="R365" s="186">
        <f>IF('prijem - EUR-viac-domacnosti'!$I$120=TRUE,IF($C$11&gt;0,0.00025*N364,0),IF('prijem - EUR-viac-domacnosti'!$I$121=TRUE,IF('prijem - EUR-viac-domacnosti'!$F$121&gt;0,0.00025*N364*-1,0),0))</f>
        <v>0</v>
      </c>
    </row>
    <row r="366" spans="1:18" x14ac:dyDescent="0.2">
      <c r="A366" s="89">
        <v>350</v>
      </c>
      <c r="B366" s="186" t="e">
        <f t="shared" si="51"/>
        <v>#NUM!</v>
      </c>
      <c r="C366" s="171" t="e">
        <f t="shared" si="52"/>
        <v>#NUM!</v>
      </c>
      <c r="D366" s="171" t="e">
        <f t="shared" si="53"/>
        <v>#NUM!</v>
      </c>
      <c r="E366" s="171" t="e">
        <f t="shared" si="54"/>
        <v>#NUM!</v>
      </c>
      <c r="F366" s="171" t="e">
        <f t="shared" si="55"/>
        <v>#NUM!</v>
      </c>
      <c r="G366" s="186">
        <f>IF('prijem - EUR-viac-domacnosti'!$I$120=TRUE,IF($C$11&gt;0,0.00025*C365,0),IF('prijem - EUR-viac-domacnosti'!$I$121=TRUE,IF('prijem - EUR-viac-domacnosti'!$F$121&gt;0,0.00025*C365,0),0))</f>
        <v>0</v>
      </c>
      <c r="L366" s="89">
        <v>350</v>
      </c>
      <c r="M366" s="186" t="e">
        <f t="shared" si="56"/>
        <v>#DIV/0!</v>
      </c>
      <c r="N366" s="171" t="e">
        <f t="shared" si="57"/>
        <v>#DIV/0!</v>
      </c>
      <c r="O366" s="171" t="e">
        <f t="shared" si="50"/>
        <v>#DIV/0!</v>
      </c>
      <c r="P366" s="171" t="e">
        <f t="shared" si="58"/>
        <v>#DIV/0!</v>
      </c>
      <c r="Q366" s="171" t="e">
        <f t="shared" si="59"/>
        <v>#DIV/0!</v>
      </c>
      <c r="R366" s="186">
        <f>IF('prijem - EUR-viac-domacnosti'!$I$120=TRUE,IF($C$11&gt;0,0.00025*N365,0),IF('prijem - EUR-viac-domacnosti'!$I$121=TRUE,IF('prijem - EUR-viac-domacnosti'!$F$121&gt;0,0.00025*N365*-1,0),0))</f>
        <v>0</v>
      </c>
    </row>
    <row r="367" spans="1:18" x14ac:dyDescent="0.2">
      <c r="A367" s="89">
        <v>351</v>
      </c>
      <c r="B367" s="186" t="e">
        <f t="shared" si="51"/>
        <v>#NUM!</v>
      </c>
      <c r="C367" s="171" t="e">
        <f t="shared" si="52"/>
        <v>#NUM!</v>
      </c>
      <c r="D367" s="171" t="e">
        <f t="shared" si="53"/>
        <v>#NUM!</v>
      </c>
      <c r="E367" s="171" t="e">
        <f t="shared" si="54"/>
        <v>#NUM!</v>
      </c>
      <c r="F367" s="171" t="e">
        <f t="shared" si="55"/>
        <v>#NUM!</v>
      </c>
      <c r="G367" s="186">
        <f>IF('prijem - EUR-viac-domacnosti'!$I$120=TRUE,IF($C$11&gt;0,0.00025*C366,0),IF('prijem - EUR-viac-domacnosti'!$I$121=TRUE,IF('prijem - EUR-viac-domacnosti'!$F$121&gt;0,0.00025*C366,0),0))</f>
        <v>0</v>
      </c>
      <c r="L367" s="89">
        <v>351</v>
      </c>
      <c r="M367" s="186" t="e">
        <f t="shared" si="56"/>
        <v>#DIV/0!</v>
      </c>
      <c r="N367" s="171" t="e">
        <f t="shared" si="57"/>
        <v>#DIV/0!</v>
      </c>
      <c r="O367" s="171" t="e">
        <f t="shared" si="50"/>
        <v>#DIV/0!</v>
      </c>
      <c r="P367" s="171" t="e">
        <f t="shared" si="58"/>
        <v>#DIV/0!</v>
      </c>
      <c r="Q367" s="171" t="e">
        <f t="shared" si="59"/>
        <v>#DIV/0!</v>
      </c>
      <c r="R367" s="186">
        <f>IF('prijem - EUR-viac-domacnosti'!$I$120=TRUE,IF($C$11&gt;0,0.00025*N366,0),IF('prijem - EUR-viac-domacnosti'!$I$121=TRUE,IF('prijem - EUR-viac-domacnosti'!$F$121&gt;0,0.00025*N366*-1,0),0))</f>
        <v>0</v>
      </c>
    </row>
    <row r="368" spans="1:18" x14ac:dyDescent="0.2">
      <c r="A368" s="89">
        <v>352</v>
      </c>
      <c r="B368" s="186" t="e">
        <f t="shared" si="51"/>
        <v>#NUM!</v>
      </c>
      <c r="C368" s="171" t="e">
        <f t="shared" si="52"/>
        <v>#NUM!</v>
      </c>
      <c r="D368" s="171" t="e">
        <f t="shared" si="53"/>
        <v>#NUM!</v>
      </c>
      <c r="E368" s="171" t="e">
        <f t="shared" si="54"/>
        <v>#NUM!</v>
      </c>
      <c r="F368" s="171" t="e">
        <f t="shared" si="55"/>
        <v>#NUM!</v>
      </c>
      <c r="G368" s="186">
        <f>IF('prijem - EUR-viac-domacnosti'!$I$120=TRUE,IF($C$11&gt;0,0.00025*C367,0),IF('prijem - EUR-viac-domacnosti'!$I$121=TRUE,IF('prijem - EUR-viac-domacnosti'!$F$121&gt;0,0.00025*C367,0),0))</f>
        <v>0</v>
      </c>
      <c r="L368" s="89">
        <v>352</v>
      </c>
      <c r="M368" s="186" t="e">
        <f t="shared" si="56"/>
        <v>#DIV/0!</v>
      </c>
      <c r="N368" s="171" t="e">
        <f t="shared" si="57"/>
        <v>#DIV/0!</v>
      </c>
      <c r="O368" s="171" t="e">
        <f t="shared" si="50"/>
        <v>#DIV/0!</v>
      </c>
      <c r="P368" s="171" t="e">
        <f t="shared" si="58"/>
        <v>#DIV/0!</v>
      </c>
      <c r="Q368" s="171" t="e">
        <f t="shared" si="59"/>
        <v>#DIV/0!</v>
      </c>
      <c r="R368" s="186">
        <f>IF('prijem - EUR-viac-domacnosti'!$I$120=TRUE,IF($C$11&gt;0,0.00025*N367,0),IF('prijem - EUR-viac-domacnosti'!$I$121=TRUE,IF('prijem - EUR-viac-domacnosti'!$F$121&gt;0,0.00025*N367*-1,0),0))</f>
        <v>0</v>
      </c>
    </row>
    <row r="369" spans="1:18" x14ac:dyDescent="0.2">
      <c r="A369" s="89">
        <v>353</v>
      </c>
      <c r="B369" s="186" t="e">
        <f t="shared" si="51"/>
        <v>#NUM!</v>
      </c>
      <c r="C369" s="171" t="e">
        <f t="shared" si="52"/>
        <v>#NUM!</v>
      </c>
      <c r="D369" s="171" t="e">
        <f t="shared" si="53"/>
        <v>#NUM!</v>
      </c>
      <c r="E369" s="171" t="e">
        <f t="shared" si="54"/>
        <v>#NUM!</v>
      </c>
      <c r="F369" s="171" t="e">
        <f t="shared" si="55"/>
        <v>#NUM!</v>
      </c>
      <c r="G369" s="186">
        <f>IF('prijem - EUR-viac-domacnosti'!$I$120=TRUE,IF($C$11&gt;0,0.00025*C368,0),IF('prijem - EUR-viac-domacnosti'!$I$121=TRUE,IF('prijem - EUR-viac-domacnosti'!$F$121&gt;0,0.00025*C368,0),0))</f>
        <v>0</v>
      </c>
      <c r="L369" s="89">
        <v>353</v>
      </c>
      <c r="M369" s="186" t="e">
        <f t="shared" si="56"/>
        <v>#DIV/0!</v>
      </c>
      <c r="N369" s="171" t="e">
        <f t="shared" si="57"/>
        <v>#DIV/0!</v>
      </c>
      <c r="O369" s="171" t="e">
        <f t="shared" si="50"/>
        <v>#DIV/0!</v>
      </c>
      <c r="P369" s="171" t="e">
        <f t="shared" si="58"/>
        <v>#DIV/0!</v>
      </c>
      <c r="Q369" s="171" t="e">
        <f t="shared" si="59"/>
        <v>#DIV/0!</v>
      </c>
      <c r="R369" s="186">
        <f>IF('prijem - EUR-viac-domacnosti'!$I$120=TRUE,IF($C$11&gt;0,0.00025*N368,0),IF('prijem - EUR-viac-domacnosti'!$I$121=TRUE,IF('prijem - EUR-viac-domacnosti'!$F$121&gt;0,0.00025*N368*-1,0),0))</f>
        <v>0</v>
      </c>
    </row>
    <row r="370" spans="1:18" x14ac:dyDescent="0.2">
      <c r="A370" s="89">
        <v>354</v>
      </c>
      <c r="B370" s="186" t="e">
        <f t="shared" si="51"/>
        <v>#NUM!</v>
      </c>
      <c r="C370" s="171" t="e">
        <f t="shared" si="52"/>
        <v>#NUM!</v>
      </c>
      <c r="D370" s="171" t="e">
        <f t="shared" si="53"/>
        <v>#NUM!</v>
      </c>
      <c r="E370" s="171" t="e">
        <f t="shared" si="54"/>
        <v>#NUM!</v>
      </c>
      <c r="F370" s="171" t="e">
        <f t="shared" si="55"/>
        <v>#NUM!</v>
      </c>
      <c r="G370" s="186">
        <f>IF('prijem - EUR-viac-domacnosti'!$I$120=TRUE,IF($C$11&gt;0,0.00025*C369,0),IF('prijem - EUR-viac-domacnosti'!$I$121=TRUE,IF('prijem - EUR-viac-domacnosti'!$F$121&gt;0,0.00025*C369,0),0))</f>
        <v>0</v>
      </c>
      <c r="L370" s="89">
        <v>354</v>
      </c>
      <c r="M370" s="186" t="e">
        <f t="shared" si="56"/>
        <v>#DIV/0!</v>
      </c>
      <c r="N370" s="171" t="e">
        <f t="shared" si="57"/>
        <v>#DIV/0!</v>
      </c>
      <c r="O370" s="171" t="e">
        <f t="shared" si="50"/>
        <v>#DIV/0!</v>
      </c>
      <c r="P370" s="171" t="e">
        <f t="shared" si="58"/>
        <v>#DIV/0!</v>
      </c>
      <c r="Q370" s="171" t="e">
        <f t="shared" si="59"/>
        <v>#DIV/0!</v>
      </c>
      <c r="R370" s="186">
        <f>IF('prijem - EUR-viac-domacnosti'!$I$120=TRUE,IF($C$11&gt;0,0.00025*N369,0),IF('prijem - EUR-viac-domacnosti'!$I$121=TRUE,IF('prijem - EUR-viac-domacnosti'!$F$121&gt;0,0.00025*N369*-1,0),0))</f>
        <v>0</v>
      </c>
    </row>
    <row r="371" spans="1:18" x14ac:dyDescent="0.2">
      <c r="A371" s="89">
        <v>355</v>
      </c>
      <c r="B371" s="186" t="e">
        <f t="shared" si="51"/>
        <v>#NUM!</v>
      </c>
      <c r="C371" s="171" t="e">
        <f t="shared" si="52"/>
        <v>#NUM!</v>
      </c>
      <c r="D371" s="171" t="e">
        <f t="shared" si="53"/>
        <v>#NUM!</v>
      </c>
      <c r="E371" s="171" t="e">
        <f t="shared" si="54"/>
        <v>#NUM!</v>
      </c>
      <c r="F371" s="171" t="e">
        <f t="shared" si="55"/>
        <v>#NUM!</v>
      </c>
      <c r="G371" s="186">
        <f>IF('prijem - EUR-viac-domacnosti'!$I$120=TRUE,IF($C$11&gt;0,0.00025*C370,0),IF('prijem - EUR-viac-domacnosti'!$I$121=TRUE,IF('prijem - EUR-viac-domacnosti'!$F$121&gt;0,0.00025*C370,0),0))</f>
        <v>0</v>
      </c>
      <c r="L371" s="89">
        <v>355</v>
      </c>
      <c r="M371" s="186" t="e">
        <f t="shared" si="56"/>
        <v>#DIV/0!</v>
      </c>
      <c r="N371" s="171" t="e">
        <f t="shared" si="57"/>
        <v>#DIV/0!</v>
      </c>
      <c r="O371" s="171" t="e">
        <f t="shared" si="50"/>
        <v>#DIV/0!</v>
      </c>
      <c r="P371" s="171" t="e">
        <f t="shared" si="58"/>
        <v>#DIV/0!</v>
      </c>
      <c r="Q371" s="171" t="e">
        <f t="shared" si="59"/>
        <v>#DIV/0!</v>
      </c>
      <c r="R371" s="186">
        <f>IF('prijem - EUR-viac-domacnosti'!$I$120=TRUE,IF($C$11&gt;0,0.00025*N370,0),IF('prijem - EUR-viac-domacnosti'!$I$121=TRUE,IF('prijem - EUR-viac-domacnosti'!$F$121&gt;0,0.00025*N370*-1,0),0))</f>
        <v>0</v>
      </c>
    </row>
    <row r="372" spans="1:18" x14ac:dyDescent="0.2">
      <c r="A372" s="89">
        <v>356</v>
      </c>
      <c r="B372" s="186" t="e">
        <f t="shared" si="51"/>
        <v>#NUM!</v>
      </c>
      <c r="C372" s="171" t="e">
        <f t="shared" si="52"/>
        <v>#NUM!</v>
      </c>
      <c r="D372" s="171" t="e">
        <f t="shared" si="53"/>
        <v>#NUM!</v>
      </c>
      <c r="E372" s="171" t="e">
        <f t="shared" si="54"/>
        <v>#NUM!</v>
      </c>
      <c r="F372" s="171" t="e">
        <f t="shared" si="55"/>
        <v>#NUM!</v>
      </c>
      <c r="G372" s="186">
        <f>IF('prijem - EUR-viac-domacnosti'!$I$120=TRUE,IF($C$11&gt;0,0.00025*C371,0),IF('prijem - EUR-viac-domacnosti'!$I$121=TRUE,IF('prijem - EUR-viac-domacnosti'!$F$121&gt;0,0.00025*C371,0),0))</f>
        <v>0</v>
      </c>
      <c r="L372" s="89">
        <v>356</v>
      </c>
      <c r="M372" s="186" t="e">
        <f t="shared" si="56"/>
        <v>#DIV/0!</v>
      </c>
      <c r="N372" s="171" t="e">
        <f t="shared" si="57"/>
        <v>#DIV/0!</v>
      </c>
      <c r="O372" s="171" t="e">
        <f t="shared" si="50"/>
        <v>#DIV/0!</v>
      </c>
      <c r="P372" s="171" t="e">
        <f t="shared" si="58"/>
        <v>#DIV/0!</v>
      </c>
      <c r="Q372" s="171" t="e">
        <f t="shared" si="59"/>
        <v>#DIV/0!</v>
      </c>
      <c r="R372" s="186">
        <f>IF('prijem - EUR-viac-domacnosti'!$I$120=TRUE,IF($C$11&gt;0,0.00025*N371,0),IF('prijem - EUR-viac-domacnosti'!$I$121=TRUE,IF('prijem - EUR-viac-domacnosti'!$F$121&gt;0,0.00025*N371*-1,0),0))</f>
        <v>0</v>
      </c>
    </row>
    <row r="373" spans="1:18" x14ac:dyDescent="0.2">
      <c r="A373" s="89">
        <v>357</v>
      </c>
      <c r="B373" s="186" t="e">
        <f t="shared" si="51"/>
        <v>#NUM!</v>
      </c>
      <c r="C373" s="171" t="e">
        <f t="shared" si="52"/>
        <v>#NUM!</v>
      </c>
      <c r="D373" s="171" t="e">
        <f t="shared" si="53"/>
        <v>#NUM!</v>
      </c>
      <c r="E373" s="171" t="e">
        <f t="shared" si="54"/>
        <v>#NUM!</v>
      </c>
      <c r="F373" s="171" t="e">
        <f t="shared" si="55"/>
        <v>#NUM!</v>
      </c>
      <c r="G373" s="186">
        <f>IF('prijem - EUR-viac-domacnosti'!$I$120=TRUE,IF($C$11&gt;0,0.00025*C372,0),IF('prijem - EUR-viac-domacnosti'!$I$121=TRUE,IF('prijem - EUR-viac-domacnosti'!$F$121&gt;0,0.00025*C372,0),0))</f>
        <v>0</v>
      </c>
      <c r="L373" s="89">
        <v>357</v>
      </c>
      <c r="M373" s="186" t="e">
        <f t="shared" si="56"/>
        <v>#DIV/0!</v>
      </c>
      <c r="N373" s="171" t="e">
        <f t="shared" si="57"/>
        <v>#DIV/0!</v>
      </c>
      <c r="O373" s="171" t="e">
        <f t="shared" si="50"/>
        <v>#DIV/0!</v>
      </c>
      <c r="P373" s="171" t="e">
        <f t="shared" si="58"/>
        <v>#DIV/0!</v>
      </c>
      <c r="Q373" s="171" t="e">
        <f t="shared" si="59"/>
        <v>#DIV/0!</v>
      </c>
      <c r="R373" s="186">
        <f>IF('prijem - EUR-viac-domacnosti'!$I$120=TRUE,IF($C$11&gt;0,0.00025*N372,0),IF('prijem - EUR-viac-domacnosti'!$I$121=TRUE,IF('prijem - EUR-viac-domacnosti'!$F$121&gt;0,0.00025*N372*-1,0),0))</f>
        <v>0</v>
      </c>
    </row>
    <row r="374" spans="1:18" x14ac:dyDescent="0.2">
      <c r="A374" s="89">
        <v>358</v>
      </c>
      <c r="B374" s="186" t="e">
        <f t="shared" si="51"/>
        <v>#NUM!</v>
      </c>
      <c r="C374" s="171" t="e">
        <f t="shared" si="52"/>
        <v>#NUM!</v>
      </c>
      <c r="D374" s="171" t="e">
        <f t="shared" si="53"/>
        <v>#NUM!</v>
      </c>
      <c r="E374" s="171" t="e">
        <f t="shared" si="54"/>
        <v>#NUM!</v>
      </c>
      <c r="F374" s="171" t="e">
        <f t="shared" si="55"/>
        <v>#NUM!</v>
      </c>
      <c r="G374" s="186">
        <f>IF('prijem - EUR-viac-domacnosti'!$I$120=TRUE,IF($C$11&gt;0,0.00025*C373,0),IF('prijem - EUR-viac-domacnosti'!$I$121=TRUE,IF('prijem - EUR-viac-domacnosti'!$F$121&gt;0,0.00025*C373,0),0))</f>
        <v>0</v>
      </c>
      <c r="L374" s="89">
        <v>358</v>
      </c>
      <c r="M374" s="186" t="e">
        <f t="shared" si="56"/>
        <v>#DIV/0!</v>
      </c>
      <c r="N374" s="171" t="e">
        <f t="shared" si="57"/>
        <v>#DIV/0!</v>
      </c>
      <c r="O374" s="171" t="e">
        <f t="shared" si="50"/>
        <v>#DIV/0!</v>
      </c>
      <c r="P374" s="171" t="e">
        <f t="shared" si="58"/>
        <v>#DIV/0!</v>
      </c>
      <c r="Q374" s="171" t="e">
        <f t="shared" si="59"/>
        <v>#DIV/0!</v>
      </c>
      <c r="R374" s="186">
        <f>IF('prijem - EUR-viac-domacnosti'!$I$120=TRUE,IF($C$11&gt;0,0.00025*N373,0),IF('prijem - EUR-viac-domacnosti'!$I$121=TRUE,IF('prijem - EUR-viac-domacnosti'!$F$121&gt;0,0.00025*N373*-1,0),0))</f>
        <v>0</v>
      </c>
    </row>
    <row r="375" spans="1:18" x14ac:dyDescent="0.2">
      <c r="A375" s="89">
        <v>359</v>
      </c>
      <c r="B375" s="186" t="e">
        <f t="shared" si="51"/>
        <v>#NUM!</v>
      </c>
      <c r="C375" s="171" t="e">
        <f t="shared" si="52"/>
        <v>#NUM!</v>
      </c>
      <c r="D375" s="171" t="e">
        <f t="shared" si="53"/>
        <v>#NUM!</v>
      </c>
      <c r="E375" s="171" t="e">
        <f t="shared" si="54"/>
        <v>#NUM!</v>
      </c>
      <c r="F375" s="171" t="e">
        <f t="shared" si="55"/>
        <v>#NUM!</v>
      </c>
      <c r="G375" s="186">
        <f>IF('prijem - EUR-viac-domacnosti'!$I$120=TRUE,IF($C$11&gt;0,0.00025*C374,0),IF('prijem - EUR-viac-domacnosti'!$I$121=TRUE,IF('prijem - EUR-viac-domacnosti'!$F$121&gt;0,0.00025*C374,0),0))</f>
        <v>0</v>
      </c>
      <c r="L375" s="89">
        <v>359</v>
      </c>
      <c r="M375" s="186" t="e">
        <f t="shared" si="56"/>
        <v>#DIV/0!</v>
      </c>
      <c r="N375" s="171" t="e">
        <f t="shared" si="57"/>
        <v>#DIV/0!</v>
      </c>
      <c r="O375" s="171" t="e">
        <f t="shared" si="50"/>
        <v>#DIV/0!</v>
      </c>
      <c r="P375" s="171" t="e">
        <f t="shared" si="58"/>
        <v>#DIV/0!</v>
      </c>
      <c r="Q375" s="171" t="e">
        <f t="shared" si="59"/>
        <v>#DIV/0!</v>
      </c>
      <c r="R375" s="186">
        <f>IF('prijem - EUR-viac-domacnosti'!$I$120=TRUE,IF($C$11&gt;0,0.00025*N374,0),IF('prijem - EUR-viac-domacnosti'!$I$121=TRUE,IF('prijem - EUR-viac-domacnosti'!$F$121&gt;0,0.00025*N374*-1,0),0))</f>
        <v>0</v>
      </c>
    </row>
    <row r="376" spans="1:18" x14ac:dyDescent="0.2">
      <c r="A376" s="89">
        <v>360</v>
      </c>
      <c r="B376" s="186" t="e">
        <f t="shared" si="51"/>
        <v>#NUM!</v>
      </c>
      <c r="C376" s="171" t="e">
        <f t="shared" si="52"/>
        <v>#NUM!</v>
      </c>
      <c r="D376" s="171" t="e">
        <f t="shared" si="53"/>
        <v>#NUM!</v>
      </c>
      <c r="E376" s="171" t="e">
        <f t="shared" si="54"/>
        <v>#NUM!</v>
      </c>
      <c r="F376" s="171" t="e">
        <f t="shared" si="55"/>
        <v>#NUM!</v>
      </c>
      <c r="G376" s="186">
        <f>IF('prijem - EUR-viac-domacnosti'!$I$120=TRUE,IF($C$11&gt;0,0.00025*C375,0),IF('prijem - EUR-viac-domacnosti'!$I$121=TRUE,IF('prijem - EUR-viac-domacnosti'!$F$121&gt;0,0.00025*C375,0),0))</f>
        <v>0</v>
      </c>
      <c r="L376" s="89">
        <v>360</v>
      </c>
      <c r="M376" s="186" t="e">
        <f t="shared" si="56"/>
        <v>#DIV/0!</v>
      </c>
      <c r="N376" s="171" t="e">
        <f t="shared" si="57"/>
        <v>#DIV/0!</v>
      </c>
      <c r="O376" s="171" t="e">
        <f t="shared" si="50"/>
        <v>#DIV/0!</v>
      </c>
      <c r="P376" s="171" t="e">
        <f t="shared" si="58"/>
        <v>#DIV/0!</v>
      </c>
      <c r="Q376" s="171" t="e">
        <f t="shared" si="59"/>
        <v>#DIV/0!</v>
      </c>
      <c r="R376" s="186">
        <f>IF('prijem - EUR-viac-domacnosti'!$I$120=TRUE,IF($C$11&gt;0,0.00025*N375,0),IF('prijem - EUR-viac-domacnosti'!$I$121=TRUE,IF('prijem - EUR-viac-domacnosti'!$F$121&gt;0,0.00025*N375*-1,0),0))</f>
        <v>0</v>
      </c>
    </row>
    <row r="377" spans="1:18" x14ac:dyDescent="0.2">
      <c r="A377" s="89">
        <v>361</v>
      </c>
      <c r="B377" s="186" t="e">
        <f t="shared" si="51"/>
        <v>#NUM!</v>
      </c>
      <c r="C377" s="171" t="e">
        <f t="shared" si="52"/>
        <v>#NUM!</v>
      </c>
      <c r="D377" s="171" t="e">
        <f t="shared" si="53"/>
        <v>#NUM!</v>
      </c>
      <c r="E377" s="171" t="e">
        <f t="shared" si="54"/>
        <v>#NUM!</v>
      </c>
      <c r="F377" s="171" t="e">
        <f t="shared" si="55"/>
        <v>#NUM!</v>
      </c>
      <c r="G377" s="186">
        <f>IF('prijem - EUR-viac-domacnosti'!$I$120=TRUE,IF($C$11&gt;0,0.00025*C376,0),IF('prijem - EUR-viac-domacnosti'!$I$121=TRUE,IF('prijem - EUR-viac-domacnosti'!$F$121&gt;0,0.00025*C376,0),0))</f>
        <v>0</v>
      </c>
      <c r="L377" s="89">
        <v>361</v>
      </c>
      <c r="M377" s="186" t="e">
        <f t="shared" si="56"/>
        <v>#DIV/0!</v>
      </c>
      <c r="N377" s="171" t="e">
        <f t="shared" si="57"/>
        <v>#DIV/0!</v>
      </c>
      <c r="O377" s="171" t="e">
        <f t="shared" si="50"/>
        <v>#DIV/0!</v>
      </c>
      <c r="P377" s="171" t="e">
        <f t="shared" si="58"/>
        <v>#DIV/0!</v>
      </c>
      <c r="Q377" s="171" t="e">
        <f t="shared" si="59"/>
        <v>#DIV/0!</v>
      </c>
      <c r="R377" s="186">
        <f>IF('prijem - EUR-viac-domacnosti'!$I$120=TRUE,IF($C$11&gt;0,0.00025*N376,0),IF('prijem - EUR-viac-domacnosti'!$I$121=TRUE,IF('prijem - EUR-viac-domacnosti'!$F$121&gt;0,0.00025*N376*-1,0),0))</f>
        <v>0</v>
      </c>
    </row>
    <row r="378" spans="1:18" x14ac:dyDescent="0.2">
      <c r="A378" s="89">
        <v>362</v>
      </c>
      <c r="B378" s="186" t="e">
        <f t="shared" si="51"/>
        <v>#NUM!</v>
      </c>
      <c r="C378" s="171" t="e">
        <f t="shared" si="52"/>
        <v>#NUM!</v>
      </c>
      <c r="D378" s="171" t="e">
        <f t="shared" si="53"/>
        <v>#NUM!</v>
      </c>
      <c r="E378" s="171" t="e">
        <f t="shared" si="54"/>
        <v>#NUM!</v>
      </c>
      <c r="F378" s="171" t="e">
        <f t="shared" si="55"/>
        <v>#NUM!</v>
      </c>
      <c r="G378" s="186">
        <f>IF('prijem - EUR-viac-domacnosti'!$I$120=TRUE,IF($C$11&gt;0,0.00025*C377,0),IF('prijem - EUR-viac-domacnosti'!$I$121=TRUE,IF('prijem - EUR-viac-domacnosti'!$F$121&gt;0,0.00025*C377,0),0))</f>
        <v>0</v>
      </c>
      <c r="L378" s="89">
        <v>362</v>
      </c>
      <c r="M378" s="186" t="e">
        <f t="shared" si="56"/>
        <v>#DIV/0!</v>
      </c>
      <c r="N378" s="171" t="e">
        <f t="shared" si="57"/>
        <v>#DIV/0!</v>
      </c>
      <c r="O378" s="171" t="e">
        <f t="shared" si="50"/>
        <v>#DIV/0!</v>
      </c>
      <c r="P378" s="171" t="e">
        <f t="shared" si="58"/>
        <v>#DIV/0!</v>
      </c>
      <c r="Q378" s="171" t="e">
        <f t="shared" si="59"/>
        <v>#DIV/0!</v>
      </c>
      <c r="R378" s="186">
        <f>IF('prijem - EUR-viac-domacnosti'!$I$120=TRUE,IF($C$11&gt;0,0.00025*N377,0),IF('prijem - EUR-viac-domacnosti'!$I$121=TRUE,IF('prijem - EUR-viac-domacnosti'!$F$121&gt;0,0.00025*N377*-1,0),0))</f>
        <v>0</v>
      </c>
    </row>
    <row r="379" spans="1:18" x14ac:dyDescent="0.2">
      <c r="A379" s="89">
        <v>363</v>
      </c>
      <c r="B379" s="186" t="e">
        <f t="shared" si="51"/>
        <v>#NUM!</v>
      </c>
      <c r="C379" s="171" t="e">
        <f t="shared" si="52"/>
        <v>#NUM!</v>
      </c>
      <c r="D379" s="171" t="e">
        <f t="shared" si="53"/>
        <v>#NUM!</v>
      </c>
      <c r="E379" s="171" t="e">
        <f t="shared" si="54"/>
        <v>#NUM!</v>
      </c>
      <c r="F379" s="171" t="e">
        <f t="shared" si="55"/>
        <v>#NUM!</v>
      </c>
      <c r="G379" s="186">
        <f>IF('prijem - EUR-viac-domacnosti'!$I$120=TRUE,IF($C$11&gt;0,0.00025*C378,0),IF('prijem - EUR-viac-domacnosti'!$I$121=TRUE,IF('prijem - EUR-viac-domacnosti'!$F$121&gt;0,0.00025*C378,0),0))</f>
        <v>0</v>
      </c>
      <c r="L379" s="89">
        <v>363</v>
      </c>
      <c r="M379" s="186" t="e">
        <f t="shared" si="56"/>
        <v>#DIV/0!</v>
      </c>
      <c r="N379" s="171" t="e">
        <f t="shared" si="57"/>
        <v>#DIV/0!</v>
      </c>
      <c r="O379" s="171" t="e">
        <f t="shared" si="50"/>
        <v>#DIV/0!</v>
      </c>
      <c r="P379" s="171" t="e">
        <f t="shared" si="58"/>
        <v>#DIV/0!</v>
      </c>
      <c r="Q379" s="171" t="e">
        <f t="shared" si="59"/>
        <v>#DIV/0!</v>
      </c>
      <c r="R379" s="186">
        <f>IF('prijem - EUR-viac-domacnosti'!$I$120=TRUE,IF($C$11&gt;0,0.00025*N378,0),IF('prijem - EUR-viac-domacnosti'!$I$121=TRUE,IF('prijem - EUR-viac-domacnosti'!$F$121&gt;0,0.00025*N378*-1,0),0))</f>
        <v>0</v>
      </c>
    </row>
    <row r="380" spans="1:18" x14ac:dyDescent="0.2">
      <c r="A380" s="89">
        <v>364</v>
      </c>
      <c r="B380" s="186" t="e">
        <f t="shared" si="51"/>
        <v>#NUM!</v>
      </c>
      <c r="C380" s="171" t="e">
        <f t="shared" si="52"/>
        <v>#NUM!</v>
      </c>
      <c r="D380" s="171" t="e">
        <f t="shared" si="53"/>
        <v>#NUM!</v>
      </c>
      <c r="E380" s="171" t="e">
        <f t="shared" si="54"/>
        <v>#NUM!</v>
      </c>
      <c r="F380" s="171" t="e">
        <f t="shared" si="55"/>
        <v>#NUM!</v>
      </c>
      <c r="G380" s="186">
        <f>IF('prijem - EUR-viac-domacnosti'!$I$120=TRUE,IF($C$11&gt;0,0.00025*C379,0),IF('prijem - EUR-viac-domacnosti'!$I$121=TRUE,IF('prijem - EUR-viac-domacnosti'!$F$121&gt;0,0.00025*C379,0),0))</f>
        <v>0</v>
      </c>
      <c r="L380" s="89">
        <v>364</v>
      </c>
      <c r="M380" s="186" t="e">
        <f t="shared" si="56"/>
        <v>#DIV/0!</v>
      </c>
      <c r="N380" s="171" t="e">
        <f t="shared" si="57"/>
        <v>#DIV/0!</v>
      </c>
      <c r="O380" s="171" t="e">
        <f t="shared" si="50"/>
        <v>#DIV/0!</v>
      </c>
      <c r="P380" s="171" t="e">
        <f t="shared" si="58"/>
        <v>#DIV/0!</v>
      </c>
      <c r="Q380" s="171" t="e">
        <f t="shared" si="59"/>
        <v>#DIV/0!</v>
      </c>
      <c r="R380" s="186">
        <f>IF('prijem - EUR-viac-domacnosti'!$I$120=TRUE,IF($C$11&gt;0,0.00025*N379,0),IF('prijem - EUR-viac-domacnosti'!$I$121=TRUE,IF('prijem - EUR-viac-domacnosti'!$F$121&gt;0,0.00025*N379*-1,0),0))</f>
        <v>0</v>
      </c>
    </row>
    <row r="381" spans="1:18" x14ac:dyDescent="0.2">
      <c r="A381" s="89">
        <v>365</v>
      </c>
      <c r="B381" s="186" t="e">
        <f t="shared" si="51"/>
        <v>#NUM!</v>
      </c>
      <c r="C381" s="171" t="e">
        <f t="shared" si="52"/>
        <v>#NUM!</v>
      </c>
      <c r="D381" s="171" t="e">
        <f t="shared" si="53"/>
        <v>#NUM!</v>
      </c>
      <c r="E381" s="171" t="e">
        <f t="shared" si="54"/>
        <v>#NUM!</v>
      </c>
      <c r="F381" s="171" t="e">
        <f t="shared" si="55"/>
        <v>#NUM!</v>
      </c>
      <c r="G381" s="186">
        <f>IF('prijem - EUR-viac-domacnosti'!$I$120=TRUE,IF($C$11&gt;0,0.00025*C380,0),IF('prijem - EUR-viac-domacnosti'!$I$121=TRUE,IF('prijem - EUR-viac-domacnosti'!$F$121&gt;0,0.00025*C380,0),0))</f>
        <v>0</v>
      </c>
      <c r="L381" s="89">
        <v>365</v>
      </c>
      <c r="M381" s="186" t="e">
        <f t="shared" si="56"/>
        <v>#DIV/0!</v>
      </c>
      <c r="N381" s="171" t="e">
        <f t="shared" si="57"/>
        <v>#DIV/0!</v>
      </c>
      <c r="O381" s="171" t="e">
        <f t="shared" si="50"/>
        <v>#DIV/0!</v>
      </c>
      <c r="P381" s="171" t="e">
        <f t="shared" si="58"/>
        <v>#DIV/0!</v>
      </c>
      <c r="Q381" s="171" t="e">
        <f t="shared" si="59"/>
        <v>#DIV/0!</v>
      </c>
      <c r="R381" s="186">
        <f>IF('prijem - EUR-viac-domacnosti'!$I$120=TRUE,IF($C$11&gt;0,0.00025*N380,0),IF('prijem - EUR-viac-domacnosti'!$I$121=TRUE,IF('prijem - EUR-viac-domacnosti'!$F$121&gt;0,0.00025*N380*-1,0),0))</f>
        <v>0</v>
      </c>
    </row>
    <row r="382" spans="1:18" x14ac:dyDescent="0.2">
      <c r="A382" s="89">
        <v>366</v>
      </c>
      <c r="B382" s="186" t="e">
        <f t="shared" si="51"/>
        <v>#NUM!</v>
      </c>
      <c r="C382" s="171" t="e">
        <f t="shared" si="52"/>
        <v>#NUM!</v>
      </c>
      <c r="D382" s="171" t="e">
        <f t="shared" si="53"/>
        <v>#NUM!</v>
      </c>
      <c r="E382" s="171" t="e">
        <f t="shared" si="54"/>
        <v>#NUM!</v>
      </c>
      <c r="F382" s="171" t="e">
        <f t="shared" si="55"/>
        <v>#NUM!</v>
      </c>
      <c r="G382" s="186">
        <f>IF('prijem - EUR-viac-domacnosti'!$I$120=TRUE,IF($C$11&gt;0,0.00025*C381,0),IF('prijem - EUR-viac-domacnosti'!$I$121=TRUE,IF('prijem - EUR-viac-domacnosti'!$F$121&gt;0,0.00025*C381,0),0))</f>
        <v>0</v>
      </c>
      <c r="L382" s="89">
        <v>366</v>
      </c>
      <c r="M382" s="186" t="e">
        <f t="shared" si="56"/>
        <v>#DIV/0!</v>
      </c>
      <c r="N382" s="171" t="e">
        <f t="shared" si="57"/>
        <v>#DIV/0!</v>
      </c>
      <c r="O382" s="171" t="e">
        <f t="shared" si="50"/>
        <v>#DIV/0!</v>
      </c>
      <c r="P382" s="171" t="e">
        <f t="shared" si="58"/>
        <v>#DIV/0!</v>
      </c>
      <c r="Q382" s="171" t="e">
        <f t="shared" si="59"/>
        <v>#DIV/0!</v>
      </c>
      <c r="R382" s="186">
        <f>IF('prijem - EUR-viac-domacnosti'!$I$120=TRUE,IF($C$11&gt;0,0.00025*N381,0),IF('prijem - EUR-viac-domacnosti'!$I$121=TRUE,IF('prijem - EUR-viac-domacnosti'!$F$121&gt;0,0.00025*N381*-1,0),0))</f>
        <v>0</v>
      </c>
    </row>
    <row r="383" spans="1:18" x14ac:dyDescent="0.2">
      <c r="A383" s="89">
        <v>367</v>
      </c>
      <c r="B383" s="186" t="e">
        <f t="shared" si="51"/>
        <v>#NUM!</v>
      </c>
      <c r="C383" s="171" t="e">
        <f t="shared" si="52"/>
        <v>#NUM!</v>
      </c>
      <c r="D383" s="171" t="e">
        <f t="shared" si="53"/>
        <v>#NUM!</v>
      </c>
      <c r="E383" s="171" t="e">
        <f t="shared" si="54"/>
        <v>#NUM!</v>
      </c>
      <c r="F383" s="171" t="e">
        <f t="shared" si="55"/>
        <v>#NUM!</v>
      </c>
      <c r="G383" s="186">
        <f>IF('prijem - EUR-viac-domacnosti'!$I$120=TRUE,IF($C$11&gt;0,0.00025*C382,0),IF('prijem - EUR-viac-domacnosti'!$I$121=TRUE,IF('prijem - EUR-viac-domacnosti'!$F$121&gt;0,0.00025*C382,0),0))</f>
        <v>0</v>
      </c>
      <c r="L383" s="89">
        <v>367</v>
      </c>
      <c r="M383" s="186" t="e">
        <f t="shared" si="56"/>
        <v>#DIV/0!</v>
      </c>
      <c r="N383" s="171" t="e">
        <f t="shared" si="57"/>
        <v>#DIV/0!</v>
      </c>
      <c r="O383" s="171" t="e">
        <f t="shared" si="50"/>
        <v>#DIV/0!</v>
      </c>
      <c r="P383" s="171" t="e">
        <f t="shared" si="58"/>
        <v>#DIV/0!</v>
      </c>
      <c r="Q383" s="171" t="e">
        <f t="shared" si="59"/>
        <v>#DIV/0!</v>
      </c>
      <c r="R383" s="186">
        <f>IF('prijem - EUR-viac-domacnosti'!$I$120=TRUE,IF($C$11&gt;0,0.00025*N382,0),IF('prijem - EUR-viac-domacnosti'!$I$121=TRUE,IF('prijem - EUR-viac-domacnosti'!$F$121&gt;0,0.00025*N382*-1,0),0))</f>
        <v>0</v>
      </c>
    </row>
    <row r="384" spans="1:18" x14ac:dyDescent="0.2">
      <c r="A384" s="89">
        <v>368</v>
      </c>
      <c r="B384" s="186" t="e">
        <f t="shared" si="51"/>
        <v>#NUM!</v>
      </c>
      <c r="C384" s="171" t="e">
        <f t="shared" si="52"/>
        <v>#NUM!</v>
      </c>
      <c r="D384" s="171" t="e">
        <f t="shared" si="53"/>
        <v>#NUM!</v>
      </c>
      <c r="E384" s="171" t="e">
        <f t="shared" si="54"/>
        <v>#NUM!</v>
      </c>
      <c r="F384" s="171" t="e">
        <f t="shared" si="55"/>
        <v>#NUM!</v>
      </c>
      <c r="G384" s="186">
        <f>IF('prijem - EUR-viac-domacnosti'!$I$120=TRUE,IF($C$11&gt;0,0.00025*C383,0),IF('prijem - EUR-viac-domacnosti'!$I$121=TRUE,IF('prijem - EUR-viac-domacnosti'!$F$121&gt;0,0.00025*C383,0),0))</f>
        <v>0</v>
      </c>
      <c r="L384" s="89">
        <v>368</v>
      </c>
      <c r="M384" s="186" t="e">
        <f t="shared" si="56"/>
        <v>#DIV/0!</v>
      </c>
      <c r="N384" s="171" t="e">
        <f t="shared" si="57"/>
        <v>#DIV/0!</v>
      </c>
      <c r="O384" s="171" t="e">
        <f t="shared" si="50"/>
        <v>#DIV/0!</v>
      </c>
      <c r="P384" s="171" t="e">
        <f t="shared" si="58"/>
        <v>#DIV/0!</v>
      </c>
      <c r="Q384" s="171" t="e">
        <f t="shared" si="59"/>
        <v>#DIV/0!</v>
      </c>
      <c r="R384" s="186">
        <f>IF('prijem - EUR-viac-domacnosti'!$I$120=TRUE,IF($C$11&gt;0,0.00025*N383,0),IF('prijem - EUR-viac-domacnosti'!$I$121=TRUE,IF('prijem - EUR-viac-domacnosti'!$F$121&gt;0,0.00025*N383*-1,0),0))</f>
        <v>0</v>
      </c>
    </row>
    <row r="385" spans="1:18" x14ac:dyDescent="0.2">
      <c r="A385" s="89">
        <v>369</v>
      </c>
      <c r="B385" s="186" t="e">
        <f t="shared" si="51"/>
        <v>#NUM!</v>
      </c>
      <c r="C385" s="171" t="e">
        <f t="shared" si="52"/>
        <v>#NUM!</v>
      </c>
      <c r="D385" s="171" t="e">
        <f t="shared" si="53"/>
        <v>#NUM!</v>
      </c>
      <c r="E385" s="171" t="e">
        <f t="shared" si="54"/>
        <v>#NUM!</v>
      </c>
      <c r="F385" s="171" t="e">
        <f t="shared" si="55"/>
        <v>#NUM!</v>
      </c>
      <c r="G385" s="186">
        <f>IF('prijem - EUR-viac-domacnosti'!$I$120=TRUE,IF($C$11&gt;0,0.00025*C384,0),IF('prijem - EUR-viac-domacnosti'!$I$121=TRUE,IF('prijem - EUR-viac-domacnosti'!$F$121&gt;0,0.00025*C384,0),0))</f>
        <v>0</v>
      </c>
      <c r="L385" s="89">
        <v>369</v>
      </c>
      <c r="M385" s="186" t="e">
        <f t="shared" si="56"/>
        <v>#DIV/0!</v>
      </c>
      <c r="N385" s="171" t="e">
        <f t="shared" si="57"/>
        <v>#DIV/0!</v>
      </c>
      <c r="O385" s="171" t="e">
        <f t="shared" si="50"/>
        <v>#DIV/0!</v>
      </c>
      <c r="P385" s="171" t="e">
        <f t="shared" si="58"/>
        <v>#DIV/0!</v>
      </c>
      <c r="Q385" s="171" t="e">
        <f t="shared" si="59"/>
        <v>#DIV/0!</v>
      </c>
      <c r="R385" s="186">
        <f>IF('prijem - EUR-viac-domacnosti'!$I$120=TRUE,IF($C$11&gt;0,0.00025*N384,0),IF('prijem - EUR-viac-domacnosti'!$I$121=TRUE,IF('prijem - EUR-viac-domacnosti'!$F$121&gt;0,0.00025*N384*-1,0),0))</f>
        <v>0</v>
      </c>
    </row>
    <row r="386" spans="1:18" x14ac:dyDescent="0.2">
      <c r="A386" s="89">
        <v>370</v>
      </c>
      <c r="B386" s="186" t="e">
        <f t="shared" si="51"/>
        <v>#NUM!</v>
      </c>
      <c r="C386" s="171" t="e">
        <f t="shared" si="52"/>
        <v>#NUM!</v>
      </c>
      <c r="D386" s="171" t="e">
        <f t="shared" si="53"/>
        <v>#NUM!</v>
      </c>
      <c r="E386" s="171" t="e">
        <f t="shared" si="54"/>
        <v>#NUM!</v>
      </c>
      <c r="F386" s="171" t="e">
        <f t="shared" si="55"/>
        <v>#NUM!</v>
      </c>
      <c r="G386" s="186">
        <f>IF('prijem - EUR-viac-domacnosti'!$I$120=TRUE,IF($C$11&gt;0,0.00025*C385,0),IF('prijem - EUR-viac-domacnosti'!$I$121=TRUE,IF('prijem - EUR-viac-domacnosti'!$F$121&gt;0,0.00025*C385,0),0))</f>
        <v>0</v>
      </c>
      <c r="L386" s="89">
        <v>370</v>
      </c>
      <c r="M386" s="186" t="e">
        <f t="shared" si="56"/>
        <v>#DIV/0!</v>
      </c>
      <c r="N386" s="171" t="e">
        <f t="shared" si="57"/>
        <v>#DIV/0!</v>
      </c>
      <c r="O386" s="171" t="e">
        <f t="shared" si="50"/>
        <v>#DIV/0!</v>
      </c>
      <c r="P386" s="171" t="e">
        <f t="shared" si="58"/>
        <v>#DIV/0!</v>
      </c>
      <c r="Q386" s="171" t="e">
        <f t="shared" si="59"/>
        <v>#DIV/0!</v>
      </c>
      <c r="R386" s="186">
        <f>IF('prijem - EUR-viac-domacnosti'!$I$120=TRUE,IF($C$11&gt;0,0.00025*N385,0),IF('prijem - EUR-viac-domacnosti'!$I$121=TRUE,IF('prijem - EUR-viac-domacnosti'!$F$121&gt;0,0.00025*N385*-1,0),0))</f>
        <v>0</v>
      </c>
    </row>
    <row r="387" spans="1:18" x14ac:dyDescent="0.2">
      <c r="A387" s="89">
        <v>371</v>
      </c>
      <c r="B387" s="186" t="e">
        <f t="shared" si="51"/>
        <v>#NUM!</v>
      </c>
      <c r="C387" s="171" t="e">
        <f t="shared" si="52"/>
        <v>#NUM!</v>
      </c>
      <c r="D387" s="171" t="e">
        <f t="shared" si="53"/>
        <v>#NUM!</v>
      </c>
      <c r="E387" s="171" t="e">
        <f t="shared" si="54"/>
        <v>#NUM!</v>
      </c>
      <c r="F387" s="171" t="e">
        <f t="shared" si="55"/>
        <v>#NUM!</v>
      </c>
      <c r="G387" s="186">
        <f>IF('prijem - EUR-viac-domacnosti'!$I$120=TRUE,IF($C$11&gt;0,0.00025*C386,0),IF('prijem - EUR-viac-domacnosti'!$I$121=TRUE,IF('prijem - EUR-viac-domacnosti'!$F$121&gt;0,0.00025*C386,0),0))</f>
        <v>0</v>
      </c>
      <c r="L387" s="89">
        <v>371</v>
      </c>
      <c r="M387" s="186" t="e">
        <f t="shared" si="56"/>
        <v>#DIV/0!</v>
      </c>
      <c r="N387" s="171" t="e">
        <f t="shared" si="57"/>
        <v>#DIV/0!</v>
      </c>
      <c r="O387" s="171" t="e">
        <f t="shared" si="50"/>
        <v>#DIV/0!</v>
      </c>
      <c r="P387" s="171" t="e">
        <f t="shared" si="58"/>
        <v>#DIV/0!</v>
      </c>
      <c r="Q387" s="171" t="e">
        <f t="shared" si="59"/>
        <v>#DIV/0!</v>
      </c>
      <c r="R387" s="186">
        <f>IF('prijem - EUR-viac-domacnosti'!$I$120=TRUE,IF($C$11&gt;0,0.00025*N386,0),IF('prijem - EUR-viac-domacnosti'!$I$121=TRUE,IF('prijem - EUR-viac-domacnosti'!$F$121&gt;0,0.00025*N386*-1,0),0))</f>
        <v>0</v>
      </c>
    </row>
    <row r="388" spans="1:18" x14ac:dyDescent="0.2">
      <c r="A388" s="89">
        <v>372</v>
      </c>
      <c r="B388" s="186" t="e">
        <f t="shared" si="51"/>
        <v>#NUM!</v>
      </c>
      <c r="C388" s="171" t="e">
        <f t="shared" si="52"/>
        <v>#NUM!</v>
      </c>
      <c r="D388" s="171" t="e">
        <f t="shared" si="53"/>
        <v>#NUM!</v>
      </c>
      <c r="E388" s="171" t="e">
        <f t="shared" si="54"/>
        <v>#NUM!</v>
      </c>
      <c r="F388" s="171" t="e">
        <f t="shared" si="55"/>
        <v>#NUM!</v>
      </c>
      <c r="G388" s="186">
        <f>IF('prijem - EUR-viac-domacnosti'!$I$120=TRUE,IF($C$11&gt;0,0.00025*C387,0),IF('prijem - EUR-viac-domacnosti'!$I$121=TRUE,IF('prijem - EUR-viac-domacnosti'!$F$121&gt;0,0.00025*C387,0),0))</f>
        <v>0</v>
      </c>
      <c r="L388" s="89">
        <v>372</v>
      </c>
      <c r="M388" s="186" t="e">
        <f t="shared" si="56"/>
        <v>#DIV/0!</v>
      </c>
      <c r="N388" s="171" t="e">
        <f t="shared" si="57"/>
        <v>#DIV/0!</v>
      </c>
      <c r="O388" s="171" t="e">
        <f t="shared" si="50"/>
        <v>#DIV/0!</v>
      </c>
      <c r="P388" s="171" t="e">
        <f t="shared" si="58"/>
        <v>#DIV/0!</v>
      </c>
      <c r="Q388" s="171" t="e">
        <f t="shared" si="59"/>
        <v>#DIV/0!</v>
      </c>
      <c r="R388" s="186">
        <f>IF('prijem - EUR-viac-domacnosti'!$I$120=TRUE,IF($C$11&gt;0,0.00025*N387,0),IF('prijem - EUR-viac-domacnosti'!$I$121=TRUE,IF('prijem - EUR-viac-domacnosti'!$F$121&gt;0,0.00025*N387*-1,0),0))</f>
        <v>0</v>
      </c>
    </row>
    <row r="389" spans="1:18" x14ac:dyDescent="0.2">
      <c r="A389" s="89">
        <v>373</v>
      </c>
      <c r="B389" s="186" t="e">
        <f t="shared" si="51"/>
        <v>#NUM!</v>
      </c>
      <c r="C389" s="171" t="e">
        <f t="shared" si="52"/>
        <v>#NUM!</v>
      </c>
      <c r="D389" s="171" t="e">
        <f t="shared" si="53"/>
        <v>#NUM!</v>
      </c>
      <c r="E389" s="171" t="e">
        <f t="shared" si="54"/>
        <v>#NUM!</v>
      </c>
      <c r="F389" s="171" t="e">
        <f t="shared" si="55"/>
        <v>#NUM!</v>
      </c>
      <c r="G389" s="186">
        <f>IF('prijem - EUR-viac-domacnosti'!$I$120=TRUE,IF($C$11&gt;0,0.00025*C388,0),IF('prijem - EUR-viac-domacnosti'!$I$121=TRUE,IF('prijem - EUR-viac-domacnosti'!$F$121&gt;0,0.00025*C388,0),0))</f>
        <v>0</v>
      </c>
      <c r="L389" s="89">
        <v>373</v>
      </c>
      <c r="M389" s="186" t="e">
        <f t="shared" si="56"/>
        <v>#DIV/0!</v>
      </c>
      <c r="N389" s="171" t="e">
        <f t="shared" si="57"/>
        <v>#DIV/0!</v>
      </c>
      <c r="O389" s="171" t="e">
        <f t="shared" si="50"/>
        <v>#DIV/0!</v>
      </c>
      <c r="P389" s="171" t="e">
        <f t="shared" si="58"/>
        <v>#DIV/0!</v>
      </c>
      <c r="Q389" s="171" t="e">
        <f t="shared" si="59"/>
        <v>#DIV/0!</v>
      </c>
      <c r="R389" s="186">
        <f>IF('prijem - EUR-viac-domacnosti'!$I$120=TRUE,IF($C$11&gt;0,0.00025*N388,0),IF('prijem - EUR-viac-domacnosti'!$I$121=TRUE,IF('prijem - EUR-viac-domacnosti'!$F$121&gt;0,0.00025*N388*-1,0),0))</f>
        <v>0</v>
      </c>
    </row>
    <row r="390" spans="1:18" x14ac:dyDescent="0.2">
      <c r="A390" s="89">
        <v>374</v>
      </c>
      <c r="B390" s="186" t="e">
        <f t="shared" si="51"/>
        <v>#NUM!</v>
      </c>
      <c r="C390" s="171" t="e">
        <f t="shared" si="52"/>
        <v>#NUM!</v>
      </c>
      <c r="D390" s="171" t="e">
        <f t="shared" si="53"/>
        <v>#NUM!</v>
      </c>
      <c r="E390" s="171" t="e">
        <f t="shared" si="54"/>
        <v>#NUM!</v>
      </c>
      <c r="F390" s="171" t="e">
        <f t="shared" si="55"/>
        <v>#NUM!</v>
      </c>
      <c r="G390" s="186">
        <f>IF('prijem - EUR-viac-domacnosti'!$I$120=TRUE,IF($C$11&gt;0,0.00025*C389,0),IF('prijem - EUR-viac-domacnosti'!$I$121=TRUE,IF('prijem - EUR-viac-domacnosti'!$F$121&gt;0,0.00025*C389,0),0))</f>
        <v>0</v>
      </c>
      <c r="L390" s="89">
        <v>374</v>
      </c>
      <c r="M390" s="186" t="e">
        <f t="shared" si="56"/>
        <v>#DIV/0!</v>
      </c>
      <c r="N390" s="171" t="e">
        <f t="shared" si="57"/>
        <v>#DIV/0!</v>
      </c>
      <c r="O390" s="171" t="e">
        <f t="shared" si="50"/>
        <v>#DIV/0!</v>
      </c>
      <c r="P390" s="171" t="e">
        <f t="shared" si="58"/>
        <v>#DIV/0!</v>
      </c>
      <c r="Q390" s="171" t="e">
        <f t="shared" si="59"/>
        <v>#DIV/0!</v>
      </c>
      <c r="R390" s="186">
        <f>IF('prijem - EUR-viac-domacnosti'!$I$120=TRUE,IF($C$11&gt;0,0.00025*N389,0),IF('prijem - EUR-viac-domacnosti'!$I$121=TRUE,IF('prijem - EUR-viac-domacnosti'!$F$121&gt;0,0.00025*N389*-1,0),0))</f>
        <v>0</v>
      </c>
    </row>
    <row r="391" spans="1:18" x14ac:dyDescent="0.2">
      <c r="A391" s="89">
        <v>375</v>
      </c>
      <c r="B391" s="186" t="e">
        <f t="shared" si="51"/>
        <v>#NUM!</v>
      </c>
      <c r="C391" s="171" t="e">
        <f t="shared" si="52"/>
        <v>#NUM!</v>
      </c>
      <c r="D391" s="171" t="e">
        <f t="shared" si="53"/>
        <v>#NUM!</v>
      </c>
      <c r="E391" s="171" t="e">
        <f t="shared" si="54"/>
        <v>#NUM!</v>
      </c>
      <c r="F391" s="171" t="e">
        <f t="shared" si="55"/>
        <v>#NUM!</v>
      </c>
      <c r="G391" s="186">
        <f>IF('prijem - EUR-viac-domacnosti'!$I$120=TRUE,IF($C$11&gt;0,0.00025*C390,0),IF('prijem - EUR-viac-domacnosti'!$I$121=TRUE,IF('prijem - EUR-viac-domacnosti'!$F$121&gt;0,0.00025*C390,0),0))</f>
        <v>0</v>
      </c>
      <c r="L391" s="89">
        <v>375</v>
      </c>
      <c r="M391" s="186" t="e">
        <f t="shared" si="56"/>
        <v>#DIV/0!</v>
      </c>
      <c r="N391" s="171" t="e">
        <f t="shared" si="57"/>
        <v>#DIV/0!</v>
      </c>
      <c r="O391" s="171" t="e">
        <f t="shared" si="50"/>
        <v>#DIV/0!</v>
      </c>
      <c r="P391" s="171" t="e">
        <f t="shared" si="58"/>
        <v>#DIV/0!</v>
      </c>
      <c r="Q391" s="171" t="e">
        <f t="shared" si="59"/>
        <v>#DIV/0!</v>
      </c>
      <c r="R391" s="186">
        <f>IF('prijem - EUR-viac-domacnosti'!$I$120=TRUE,IF($C$11&gt;0,0.00025*N390,0),IF('prijem - EUR-viac-domacnosti'!$I$121=TRUE,IF('prijem - EUR-viac-domacnosti'!$F$121&gt;0,0.00025*N390*-1,0),0))</f>
        <v>0</v>
      </c>
    </row>
    <row r="392" spans="1:18" x14ac:dyDescent="0.2">
      <c r="A392" s="89">
        <v>376</v>
      </c>
      <c r="B392" s="186" t="e">
        <f t="shared" si="51"/>
        <v>#NUM!</v>
      </c>
      <c r="C392" s="171" t="e">
        <f t="shared" si="52"/>
        <v>#NUM!</v>
      </c>
      <c r="D392" s="171" t="e">
        <f t="shared" si="53"/>
        <v>#NUM!</v>
      </c>
      <c r="E392" s="171" t="e">
        <f t="shared" si="54"/>
        <v>#NUM!</v>
      </c>
      <c r="F392" s="171" t="e">
        <f t="shared" si="55"/>
        <v>#NUM!</v>
      </c>
      <c r="G392" s="186">
        <f>IF('prijem - EUR-viac-domacnosti'!$I$120=TRUE,IF($C$11&gt;0,0.00025*C391,0),IF('prijem - EUR-viac-domacnosti'!$I$121=TRUE,IF('prijem - EUR-viac-domacnosti'!$F$121&gt;0,0.00025*C391,0),0))</f>
        <v>0</v>
      </c>
      <c r="L392" s="89">
        <v>376</v>
      </c>
      <c r="M392" s="186" t="e">
        <f t="shared" si="56"/>
        <v>#DIV/0!</v>
      </c>
      <c r="N392" s="171" t="e">
        <f t="shared" si="57"/>
        <v>#DIV/0!</v>
      </c>
      <c r="O392" s="171" t="e">
        <f t="shared" si="50"/>
        <v>#DIV/0!</v>
      </c>
      <c r="P392" s="171" t="e">
        <f t="shared" si="58"/>
        <v>#DIV/0!</v>
      </c>
      <c r="Q392" s="171" t="e">
        <f t="shared" si="59"/>
        <v>#DIV/0!</v>
      </c>
      <c r="R392" s="186">
        <f>IF('prijem - EUR-viac-domacnosti'!$I$120=TRUE,IF($C$11&gt;0,0.00025*N391,0),IF('prijem - EUR-viac-domacnosti'!$I$121=TRUE,IF('prijem - EUR-viac-domacnosti'!$F$121&gt;0,0.00025*N391*-1,0),0))</f>
        <v>0</v>
      </c>
    </row>
    <row r="393" spans="1:18" x14ac:dyDescent="0.2">
      <c r="A393" s="89">
        <v>377</v>
      </c>
      <c r="B393" s="186" t="e">
        <f t="shared" si="51"/>
        <v>#NUM!</v>
      </c>
      <c r="C393" s="171" t="e">
        <f t="shared" si="52"/>
        <v>#NUM!</v>
      </c>
      <c r="D393" s="171" t="e">
        <f t="shared" si="53"/>
        <v>#NUM!</v>
      </c>
      <c r="E393" s="171" t="e">
        <f t="shared" si="54"/>
        <v>#NUM!</v>
      </c>
      <c r="F393" s="171" t="e">
        <f t="shared" si="55"/>
        <v>#NUM!</v>
      </c>
      <c r="G393" s="186">
        <f>IF('prijem - EUR-viac-domacnosti'!$I$120=TRUE,IF($C$11&gt;0,0.00025*C392,0),IF('prijem - EUR-viac-domacnosti'!$I$121=TRUE,IF('prijem - EUR-viac-domacnosti'!$F$121&gt;0,0.00025*C392,0),0))</f>
        <v>0</v>
      </c>
      <c r="L393" s="89">
        <v>377</v>
      </c>
      <c r="M393" s="186" t="e">
        <f t="shared" si="56"/>
        <v>#DIV/0!</v>
      </c>
      <c r="N393" s="171" t="e">
        <f t="shared" si="57"/>
        <v>#DIV/0!</v>
      </c>
      <c r="O393" s="171" t="e">
        <f t="shared" si="50"/>
        <v>#DIV/0!</v>
      </c>
      <c r="P393" s="171" t="e">
        <f t="shared" si="58"/>
        <v>#DIV/0!</v>
      </c>
      <c r="Q393" s="171" t="e">
        <f t="shared" si="59"/>
        <v>#DIV/0!</v>
      </c>
      <c r="R393" s="186">
        <f>IF('prijem - EUR-viac-domacnosti'!$I$120=TRUE,IF($C$11&gt;0,0.00025*N392,0),IF('prijem - EUR-viac-domacnosti'!$I$121=TRUE,IF('prijem - EUR-viac-domacnosti'!$F$121&gt;0,0.00025*N392*-1,0),0))</f>
        <v>0</v>
      </c>
    </row>
    <row r="394" spans="1:18" x14ac:dyDescent="0.2">
      <c r="A394" s="89">
        <v>378</v>
      </c>
      <c r="B394" s="186" t="e">
        <f t="shared" si="51"/>
        <v>#NUM!</v>
      </c>
      <c r="C394" s="171" t="e">
        <f t="shared" si="52"/>
        <v>#NUM!</v>
      </c>
      <c r="D394" s="171" t="e">
        <f t="shared" si="53"/>
        <v>#NUM!</v>
      </c>
      <c r="E394" s="171" t="e">
        <f t="shared" si="54"/>
        <v>#NUM!</v>
      </c>
      <c r="F394" s="171" t="e">
        <f t="shared" si="55"/>
        <v>#NUM!</v>
      </c>
      <c r="G394" s="186">
        <f>IF('prijem - EUR-viac-domacnosti'!$I$120=TRUE,IF($C$11&gt;0,0.00025*C393,0),IF('prijem - EUR-viac-domacnosti'!$I$121=TRUE,IF('prijem - EUR-viac-domacnosti'!$F$121&gt;0,0.00025*C393,0),0))</f>
        <v>0</v>
      </c>
      <c r="L394" s="89">
        <v>378</v>
      </c>
      <c r="M394" s="186" t="e">
        <f t="shared" si="56"/>
        <v>#DIV/0!</v>
      </c>
      <c r="N394" s="171" t="e">
        <f t="shared" si="57"/>
        <v>#DIV/0!</v>
      </c>
      <c r="O394" s="171" t="e">
        <f t="shared" si="50"/>
        <v>#DIV/0!</v>
      </c>
      <c r="P394" s="171" t="e">
        <f t="shared" si="58"/>
        <v>#DIV/0!</v>
      </c>
      <c r="Q394" s="171" t="e">
        <f t="shared" si="59"/>
        <v>#DIV/0!</v>
      </c>
      <c r="R394" s="186">
        <f>IF('prijem - EUR-viac-domacnosti'!$I$120=TRUE,IF($C$11&gt;0,0.00025*N393,0),IF('prijem - EUR-viac-domacnosti'!$I$121=TRUE,IF('prijem - EUR-viac-domacnosti'!$F$121&gt;0,0.00025*N393*-1,0),0))</f>
        <v>0</v>
      </c>
    </row>
    <row r="395" spans="1:18" x14ac:dyDescent="0.2">
      <c r="A395" s="89">
        <v>379</v>
      </c>
      <c r="B395" s="186" t="e">
        <f t="shared" si="51"/>
        <v>#NUM!</v>
      </c>
      <c r="C395" s="171" t="e">
        <f t="shared" si="52"/>
        <v>#NUM!</v>
      </c>
      <c r="D395" s="171" t="e">
        <f t="shared" si="53"/>
        <v>#NUM!</v>
      </c>
      <c r="E395" s="171" t="e">
        <f t="shared" si="54"/>
        <v>#NUM!</v>
      </c>
      <c r="F395" s="171" t="e">
        <f t="shared" si="55"/>
        <v>#NUM!</v>
      </c>
      <c r="G395" s="186">
        <f>IF('prijem - EUR-viac-domacnosti'!$I$120=TRUE,IF($C$11&gt;0,0.00025*C394,0),IF('prijem - EUR-viac-domacnosti'!$I$121=TRUE,IF('prijem - EUR-viac-domacnosti'!$F$121&gt;0,0.00025*C394,0),0))</f>
        <v>0</v>
      </c>
      <c r="L395" s="89">
        <v>379</v>
      </c>
      <c r="M395" s="186" t="e">
        <f t="shared" si="56"/>
        <v>#DIV/0!</v>
      </c>
      <c r="N395" s="171" t="e">
        <f t="shared" si="57"/>
        <v>#DIV/0!</v>
      </c>
      <c r="O395" s="171" t="e">
        <f t="shared" si="50"/>
        <v>#DIV/0!</v>
      </c>
      <c r="P395" s="171" t="e">
        <f t="shared" si="58"/>
        <v>#DIV/0!</v>
      </c>
      <c r="Q395" s="171" t="e">
        <f t="shared" si="59"/>
        <v>#DIV/0!</v>
      </c>
      <c r="R395" s="186">
        <f>IF('prijem - EUR-viac-domacnosti'!$I$120=TRUE,IF($C$11&gt;0,0.00025*N394,0),IF('prijem - EUR-viac-domacnosti'!$I$121=TRUE,IF('prijem - EUR-viac-domacnosti'!$F$121&gt;0,0.00025*N394*-1,0),0))</f>
        <v>0</v>
      </c>
    </row>
    <row r="396" spans="1:18" x14ac:dyDescent="0.2">
      <c r="A396" s="89">
        <v>380</v>
      </c>
      <c r="B396" s="186" t="e">
        <f t="shared" si="51"/>
        <v>#NUM!</v>
      </c>
      <c r="C396" s="171" t="e">
        <f t="shared" si="52"/>
        <v>#NUM!</v>
      </c>
      <c r="D396" s="171" t="e">
        <f t="shared" si="53"/>
        <v>#NUM!</v>
      </c>
      <c r="E396" s="171" t="e">
        <f t="shared" si="54"/>
        <v>#NUM!</v>
      </c>
      <c r="F396" s="171" t="e">
        <f t="shared" si="55"/>
        <v>#NUM!</v>
      </c>
      <c r="G396" s="186">
        <f>IF('prijem - EUR-viac-domacnosti'!$I$120=TRUE,IF($C$11&gt;0,0.00025*C395,0),IF('prijem - EUR-viac-domacnosti'!$I$121=TRUE,IF('prijem - EUR-viac-domacnosti'!$F$121&gt;0,0.00025*C395,0),0))</f>
        <v>0</v>
      </c>
      <c r="L396" s="89">
        <v>380</v>
      </c>
      <c r="M396" s="186" t="e">
        <f t="shared" si="56"/>
        <v>#DIV/0!</v>
      </c>
      <c r="N396" s="171" t="e">
        <f t="shared" si="57"/>
        <v>#DIV/0!</v>
      </c>
      <c r="O396" s="171" t="e">
        <f t="shared" si="50"/>
        <v>#DIV/0!</v>
      </c>
      <c r="P396" s="171" t="e">
        <f t="shared" si="58"/>
        <v>#DIV/0!</v>
      </c>
      <c r="Q396" s="171" t="e">
        <f t="shared" si="59"/>
        <v>#DIV/0!</v>
      </c>
      <c r="R396" s="186">
        <f>IF('prijem - EUR-viac-domacnosti'!$I$120=TRUE,IF($C$11&gt;0,0.00025*N395,0),IF('prijem - EUR-viac-domacnosti'!$I$121=TRUE,IF('prijem - EUR-viac-domacnosti'!$F$121&gt;0,0.00025*N395*-1,0),0))</f>
        <v>0</v>
      </c>
    </row>
    <row r="397" spans="1:18" x14ac:dyDescent="0.2">
      <c r="A397" s="89">
        <v>381</v>
      </c>
      <c r="B397" s="186" t="e">
        <f t="shared" si="51"/>
        <v>#NUM!</v>
      </c>
      <c r="C397" s="171" t="e">
        <f t="shared" si="52"/>
        <v>#NUM!</v>
      </c>
      <c r="D397" s="171" t="e">
        <f t="shared" si="53"/>
        <v>#NUM!</v>
      </c>
      <c r="E397" s="171" t="e">
        <f t="shared" si="54"/>
        <v>#NUM!</v>
      </c>
      <c r="F397" s="171" t="e">
        <f t="shared" si="55"/>
        <v>#NUM!</v>
      </c>
      <c r="G397" s="186">
        <f>IF('prijem - EUR-viac-domacnosti'!$I$120=TRUE,IF($C$11&gt;0,0.00025*C396,0),IF('prijem - EUR-viac-domacnosti'!$I$121=TRUE,IF('prijem - EUR-viac-domacnosti'!$F$121&gt;0,0.00025*C396,0),0))</f>
        <v>0</v>
      </c>
      <c r="L397" s="89">
        <v>381</v>
      </c>
      <c r="M397" s="186" t="e">
        <f t="shared" si="56"/>
        <v>#DIV/0!</v>
      </c>
      <c r="N397" s="171" t="e">
        <f t="shared" si="57"/>
        <v>#DIV/0!</v>
      </c>
      <c r="O397" s="171" t="e">
        <f t="shared" si="50"/>
        <v>#DIV/0!</v>
      </c>
      <c r="P397" s="171" t="e">
        <f t="shared" si="58"/>
        <v>#DIV/0!</v>
      </c>
      <c r="Q397" s="171" t="e">
        <f t="shared" si="59"/>
        <v>#DIV/0!</v>
      </c>
      <c r="R397" s="186">
        <f>IF('prijem - EUR-viac-domacnosti'!$I$120=TRUE,IF($C$11&gt;0,0.00025*N396,0),IF('prijem - EUR-viac-domacnosti'!$I$121=TRUE,IF('prijem - EUR-viac-domacnosti'!$F$121&gt;0,0.00025*N396*-1,0),0))</f>
        <v>0</v>
      </c>
    </row>
    <row r="398" spans="1:18" x14ac:dyDescent="0.2">
      <c r="A398" s="89">
        <v>382</v>
      </c>
      <c r="B398" s="186" t="e">
        <f t="shared" si="51"/>
        <v>#NUM!</v>
      </c>
      <c r="C398" s="171" t="e">
        <f t="shared" si="52"/>
        <v>#NUM!</v>
      </c>
      <c r="D398" s="171" t="e">
        <f t="shared" si="53"/>
        <v>#NUM!</v>
      </c>
      <c r="E398" s="171" t="e">
        <f t="shared" si="54"/>
        <v>#NUM!</v>
      </c>
      <c r="F398" s="171" t="e">
        <f t="shared" si="55"/>
        <v>#NUM!</v>
      </c>
      <c r="G398" s="186">
        <f>IF('prijem - EUR-viac-domacnosti'!$I$120=TRUE,IF($C$11&gt;0,0.00025*C397,0),IF('prijem - EUR-viac-domacnosti'!$I$121=TRUE,IF('prijem - EUR-viac-domacnosti'!$F$121&gt;0,0.00025*C397,0),0))</f>
        <v>0</v>
      </c>
      <c r="L398" s="89">
        <v>382</v>
      </c>
      <c r="M398" s="186" t="e">
        <f t="shared" si="56"/>
        <v>#DIV/0!</v>
      </c>
      <c r="N398" s="171" t="e">
        <f t="shared" si="57"/>
        <v>#DIV/0!</v>
      </c>
      <c r="O398" s="171" t="e">
        <f t="shared" si="50"/>
        <v>#DIV/0!</v>
      </c>
      <c r="P398" s="171" t="e">
        <f t="shared" si="58"/>
        <v>#DIV/0!</v>
      </c>
      <c r="Q398" s="171" t="e">
        <f t="shared" si="59"/>
        <v>#DIV/0!</v>
      </c>
      <c r="R398" s="186">
        <f>IF('prijem - EUR-viac-domacnosti'!$I$120=TRUE,IF($C$11&gt;0,0.00025*N397,0),IF('prijem - EUR-viac-domacnosti'!$I$121=TRUE,IF('prijem - EUR-viac-domacnosti'!$F$121&gt;0,0.00025*N397*-1,0),0))</f>
        <v>0</v>
      </c>
    </row>
    <row r="399" spans="1:18" x14ac:dyDescent="0.2">
      <c r="A399" s="89">
        <v>383</v>
      </c>
      <c r="B399" s="186" t="e">
        <f t="shared" si="51"/>
        <v>#NUM!</v>
      </c>
      <c r="C399" s="171" t="e">
        <f t="shared" si="52"/>
        <v>#NUM!</v>
      </c>
      <c r="D399" s="171" t="e">
        <f t="shared" si="53"/>
        <v>#NUM!</v>
      </c>
      <c r="E399" s="171" t="e">
        <f t="shared" si="54"/>
        <v>#NUM!</v>
      </c>
      <c r="F399" s="171" t="e">
        <f t="shared" si="55"/>
        <v>#NUM!</v>
      </c>
      <c r="G399" s="186">
        <f>IF('prijem - EUR-viac-domacnosti'!$I$120=TRUE,IF($C$11&gt;0,0.00025*C398,0),IF('prijem - EUR-viac-domacnosti'!$I$121=TRUE,IF('prijem - EUR-viac-domacnosti'!$F$121&gt;0,0.00025*C398,0),0))</f>
        <v>0</v>
      </c>
      <c r="L399" s="89">
        <v>383</v>
      </c>
      <c r="M399" s="186" t="e">
        <f t="shared" si="56"/>
        <v>#DIV/0!</v>
      </c>
      <c r="N399" s="171" t="e">
        <f t="shared" si="57"/>
        <v>#DIV/0!</v>
      </c>
      <c r="O399" s="171" t="e">
        <f t="shared" si="50"/>
        <v>#DIV/0!</v>
      </c>
      <c r="P399" s="171" t="e">
        <f t="shared" si="58"/>
        <v>#DIV/0!</v>
      </c>
      <c r="Q399" s="171" t="e">
        <f t="shared" si="59"/>
        <v>#DIV/0!</v>
      </c>
      <c r="R399" s="186">
        <f>IF('prijem - EUR-viac-domacnosti'!$I$120=TRUE,IF($C$11&gt;0,0.00025*N398,0),IF('prijem - EUR-viac-domacnosti'!$I$121=TRUE,IF('prijem - EUR-viac-domacnosti'!$F$121&gt;0,0.00025*N398*-1,0),0))</f>
        <v>0</v>
      </c>
    </row>
    <row r="400" spans="1:18" x14ac:dyDescent="0.2">
      <c r="A400" s="89">
        <v>384</v>
      </c>
      <c r="B400" s="186" t="e">
        <f t="shared" si="51"/>
        <v>#NUM!</v>
      </c>
      <c r="C400" s="171" t="e">
        <f t="shared" si="52"/>
        <v>#NUM!</v>
      </c>
      <c r="D400" s="171" t="e">
        <f t="shared" si="53"/>
        <v>#NUM!</v>
      </c>
      <c r="E400" s="171" t="e">
        <f t="shared" si="54"/>
        <v>#NUM!</v>
      </c>
      <c r="F400" s="171" t="e">
        <f t="shared" si="55"/>
        <v>#NUM!</v>
      </c>
      <c r="G400" s="186">
        <f>IF('prijem - EUR-viac-domacnosti'!$I$120=TRUE,IF($C$11&gt;0,0.00025*C399,0),IF('prijem - EUR-viac-domacnosti'!$I$121=TRUE,IF('prijem - EUR-viac-domacnosti'!$F$121&gt;0,0.00025*C399,0),0))</f>
        <v>0</v>
      </c>
      <c r="L400" s="89">
        <v>384</v>
      </c>
      <c r="M400" s="186" t="e">
        <f t="shared" si="56"/>
        <v>#DIV/0!</v>
      </c>
      <c r="N400" s="171" t="e">
        <f t="shared" si="57"/>
        <v>#DIV/0!</v>
      </c>
      <c r="O400" s="171" t="e">
        <f t="shared" si="50"/>
        <v>#DIV/0!</v>
      </c>
      <c r="P400" s="171" t="e">
        <f t="shared" si="58"/>
        <v>#DIV/0!</v>
      </c>
      <c r="Q400" s="171" t="e">
        <f t="shared" si="59"/>
        <v>#DIV/0!</v>
      </c>
      <c r="R400" s="186">
        <f>IF('prijem - EUR-viac-domacnosti'!$I$120=TRUE,IF($C$11&gt;0,0.00025*N399,0),IF('prijem - EUR-viac-domacnosti'!$I$121=TRUE,IF('prijem - EUR-viac-domacnosti'!$F$121&gt;0,0.00025*N399*-1,0),0))</f>
        <v>0</v>
      </c>
    </row>
    <row r="401" spans="1:18" x14ac:dyDescent="0.2">
      <c r="A401" s="89">
        <v>385</v>
      </c>
      <c r="B401" s="186" t="e">
        <f t="shared" si="51"/>
        <v>#NUM!</v>
      </c>
      <c r="C401" s="171" t="e">
        <f t="shared" si="52"/>
        <v>#NUM!</v>
      </c>
      <c r="D401" s="171" t="e">
        <f t="shared" si="53"/>
        <v>#NUM!</v>
      </c>
      <c r="E401" s="171" t="e">
        <f t="shared" si="54"/>
        <v>#NUM!</v>
      </c>
      <c r="F401" s="171" t="e">
        <f t="shared" si="55"/>
        <v>#NUM!</v>
      </c>
      <c r="G401" s="186">
        <f>IF('prijem - EUR-viac-domacnosti'!$I$120=TRUE,IF($C$11&gt;0,0.00025*C400,0),IF('prijem - EUR-viac-domacnosti'!$I$121=TRUE,IF('prijem - EUR-viac-domacnosti'!$F$121&gt;0,0.00025*C400,0),0))</f>
        <v>0</v>
      </c>
      <c r="L401" s="89">
        <v>385</v>
      </c>
      <c r="M401" s="186" t="e">
        <f t="shared" si="56"/>
        <v>#DIV/0!</v>
      </c>
      <c r="N401" s="171" t="e">
        <f t="shared" si="57"/>
        <v>#DIV/0!</v>
      </c>
      <c r="O401" s="171" t="e">
        <f t="shared" ref="O401:O464" si="60">$N$16/$N$5</f>
        <v>#DIV/0!</v>
      </c>
      <c r="P401" s="171" t="e">
        <f t="shared" si="58"/>
        <v>#DIV/0!</v>
      </c>
      <c r="Q401" s="171" t="e">
        <f t="shared" si="59"/>
        <v>#DIV/0!</v>
      </c>
      <c r="R401" s="186">
        <f>IF('prijem - EUR-viac-domacnosti'!$I$120=TRUE,IF($C$11&gt;0,0.00025*N400,0),IF('prijem - EUR-viac-domacnosti'!$I$121=TRUE,IF('prijem - EUR-viac-domacnosti'!$F$121&gt;0,0.00025*N400*-1,0),0))</f>
        <v>0</v>
      </c>
    </row>
    <row r="402" spans="1:18" x14ac:dyDescent="0.2">
      <c r="A402" s="89">
        <v>386</v>
      </c>
      <c r="B402" s="186" t="e">
        <f t="shared" ref="B402:B465" si="61">IF(C401&gt;0.00001,F402-G402,0)</f>
        <v>#NUM!</v>
      </c>
      <c r="C402" s="171" t="e">
        <f t="shared" ref="C402:C465" si="62">MAX(C401-D402,0)</f>
        <v>#NUM!</v>
      </c>
      <c r="D402" s="171" t="e">
        <f t="shared" ref="D402:D465" si="63">(F402-E402)*-1</f>
        <v>#NUM!</v>
      </c>
      <c r="E402" s="171" t="e">
        <f t="shared" ref="E402:E465" si="64">IPMT($C$4/12,1,$C$5,C401)</f>
        <v>#NUM!</v>
      </c>
      <c r="F402" s="171" t="e">
        <f t="shared" ref="F402:F465" si="65">PMT($C$4/12,$C$5,$C$3)</f>
        <v>#NUM!</v>
      </c>
      <c r="G402" s="186">
        <f>IF('prijem - EUR-viac-domacnosti'!$I$120=TRUE,IF($C$11&gt;0,0.00025*C401,0),IF('prijem - EUR-viac-domacnosti'!$I$121=TRUE,IF('prijem - EUR-viac-domacnosti'!$F$121&gt;0,0.00025*C401,0),0))</f>
        <v>0</v>
      </c>
      <c r="L402" s="89">
        <v>386</v>
      </c>
      <c r="M402" s="186" t="e">
        <f t="shared" ref="M402:M465" si="66">IF(N401&gt;0.00001,Q402-R402,0)*-1</f>
        <v>#DIV/0!</v>
      </c>
      <c r="N402" s="171" t="e">
        <f t="shared" ref="N402:N465" si="67">MAX(N401-O402,0)</f>
        <v>#DIV/0!</v>
      </c>
      <c r="O402" s="171" t="e">
        <f t="shared" si="60"/>
        <v>#DIV/0!</v>
      </c>
      <c r="P402" s="171" t="e">
        <f t="shared" ref="P402:P465" si="68">N401*$N$4/12</f>
        <v>#DIV/0!</v>
      </c>
      <c r="Q402" s="171" t="e">
        <f t="shared" ref="Q402:Q465" si="69">P402+O402</f>
        <v>#DIV/0!</v>
      </c>
      <c r="R402" s="186">
        <f>IF('prijem - EUR-viac-domacnosti'!$I$120=TRUE,IF($C$11&gt;0,0.00025*N401,0),IF('prijem - EUR-viac-domacnosti'!$I$121=TRUE,IF('prijem - EUR-viac-domacnosti'!$F$121&gt;0,0.00025*N401*-1,0),0))</f>
        <v>0</v>
      </c>
    </row>
    <row r="403" spans="1:18" x14ac:dyDescent="0.2">
      <c r="A403" s="89">
        <v>387</v>
      </c>
      <c r="B403" s="186" t="e">
        <f t="shared" si="61"/>
        <v>#NUM!</v>
      </c>
      <c r="C403" s="171" t="e">
        <f t="shared" si="62"/>
        <v>#NUM!</v>
      </c>
      <c r="D403" s="171" t="e">
        <f t="shared" si="63"/>
        <v>#NUM!</v>
      </c>
      <c r="E403" s="171" t="e">
        <f t="shared" si="64"/>
        <v>#NUM!</v>
      </c>
      <c r="F403" s="171" t="e">
        <f t="shared" si="65"/>
        <v>#NUM!</v>
      </c>
      <c r="G403" s="186">
        <f>IF('prijem - EUR-viac-domacnosti'!$I$120=TRUE,IF($C$11&gt;0,0.00025*C402,0),IF('prijem - EUR-viac-domacnosti'!$I$121=TRUE,IF('prijem - EUR-viac-domacnosti'!$F$121&gt;0,0.00025*C402,0),0))</f>
        <v>0</v>
      </c>
      <c r="L403" s="89">
        <v>387</v>
      </c>
      <c r="M403" s="186" t="e">
        <f t="shared" si="66"/>
        <v>#DIV/0!</v>
      </c>
      <c r="N403" s="171" t="e">
        <f t="shared" si="67"/>
        <v>#DIV/0!</v>
      </c>
      <c r="O403" s="171" t="e">
        <f t="shared" si="60"/>
        <v>#DIV/0!</v>
      </c>
      <c r="P403" s="171" t="e">
        <f t="shared" si="68"/>
        <v>#DIV/0!</v>
      </c>
      <c r="Q403" s="171" t="e">
        <f t="shared" si="69"/>
        <v>#DIV/0!</v>
      </c>
      <c r="R403" s="186">
        <f>IF('prijem - EUR-viac-domacnosti'!$I$120=TRUE,IF($C$11&gt;0,0.00025*N402,0),IF('prijem - EUR-viac-domacnosti'!$I$121=TRUE,IF('prijem - EUR-viac-domacnosti'!$F$121&gt;0,0.00025*N402*-1,0),0))</f>
        <v>0</v>
      </c>
    </row>
    <row r="404" spans="1:18" x14ac:dyDescent="0.2">
      <c r="A404" s="89">
        <v>388</v>
      </c>
      <c r="B404" s="186" t="e">
        <f t="shared" si="61"/>
        <v>#NUM!</v>
      </c>
      <c r="C404" s="171" t="e">
        <f t="shared" si="62"/>
        <v>#NUM!</v>
      </c>
      <c r="D404" s="171" t="e">
        <f t="shared" si="63"/>
        <v>#NUM!</v>
      </c>
      <c r="E404" s="171" t="e">
        <f t="shared" si="64"/>
        <v>#NUM!</v>
      </c>
      <c r="F404" s="171" t="e">
        <f t="shared" si="65"/>
        <v>#NUM!</v>
      </c>
      <c r="G404" s="186">
        <f>IF('prijem - EUR-viac-domacnosti'!$I$120=TRUE,IF($C$11&gt;0,0.00025*C403,0),IF('prijem - EUR-viac-domacnosti'!$I$121=TRUE,IF('prijem - EUR-viac-domacnosti'!$F$121&gt;0,0.00025*C403,0),0))</f>
        <v>0</v>
      </c>
      <c r="L404" s="89">
        <v>388</v>
      </c>
      <c r="M404" s="186" t="e">
        <f t="shared" si="66"/>
        <v>#DIV/0!</v>
      </c>
      <c r="N404" s="171" t="e">
        <f t="shared" si="67"/>
        <v>#DIV/0!</v>
      </c>
      <c r="O404" s="171" t="e">
        <f t="shared" si="60"/>
        <v>#DIV/0!</v>
      </c>
      <c r="P404" s="171" t="e">
        <f t="shared" si="68"/>
        <v>#DIV/0!</v>
      </c>
      <c r="Q404" s="171" t="e">
        <f t="shared" si="69"/>
        <v>#DIV/0!</v>
      </c>
      <c r="R404" s="186">
        <f>IF('prijem - EUR-viac-domacnosti'!$I$120=TRUE,IF($C$11&gt;0,0.00025*N403,0),IF('prijem - EUR-viac-domacnosti'!$I$121=TRUE,IF('prijem - EUR-viac-domacnosti'!$F$121&gt;0,0.00025*N403*-1,0),0))</f>
        <v>0</v>
      </c>
    </row>
    <row r="405" spans="1:18" x14ac:dyDescent="0.2">
      <c r="A405" s="89">
        <v>389</v>
      </c>
      <c r="B405" s="186" t="e">
        <f t="shared" si="61"/>
        <v>#NUM!</v>
      </c>
      <c r="C405" s="171" t="e">
        <f t="shared" si="62"/>
        <v>#NUM!</v>
      </c>
      <c r="D405" s="171" t="e">
        <f t="shared" si="63"/>
        <v>#NUM!</v>
      </c>
      <c r="E405" s="171" t="e">
        <f t="shared" si="64"/>
        <v>#NUM!</v>
      </c>
      <c r="F405" s="171" t="e">
        <f t="shared" si="65"/>
        <v>#NUM!</v>
      </c>
      <c r="G405" s="186">
        <f>IF('prijem - EUR-viac-domacnosti'!$I$120=TRUE,IF($C$11&gt;0,0.00025*C404,0),IF('prijem - EUR-viac-domacnosti'!$I$121=TRUE,IF('prijem - EUR-viac-domacnosti'!$F$121&gt;0,0.00025*C404,0),0))</f>
        <v>0</v>
      </c>
      <c r="L405" s="89">
        <v>389</v>
      </c>
      <c r="M405" s="186" t="e">
        <f t="shared" si="66"/>
        <v>#DIV/0!</v>
      </c>
      <c r="N405" s="171" t="e">
        <f t="shared" si="67"/>
        <v>#DIV/0!</v>
      </c>
      <c r="O405" s="171" t="e">
        <f t="shared" si="60"/>
        <v>#DIV/0!</v>
      </c>
      <c r="P405" s="171" t="e">
        <f t="shared" si="68"/>
        <v>#DIV/0!</v>
      </c>
      <c r="Q405" s="171" t="e">
        <f t="shared" si="69"/>
        <v>#DIV/0!</v>
      </c>
      <c r="R405" s="186">
        <f>IF('prijem - EUR-viac-domacnosti'!$I$120=TRUE,IF($C$11&gt;0,0.00025*N404,0),IF('prijem - EUR-viac-domacnosti'!$I$121=TRUE,IF('prijem - EUR-viac-domacnosti'!$F$121&gt;0,0.00025*N404*-1,0),0))</f>
        <v>0</v>
      </c>
    </row>
    <row r="406" spans="1:18" x14ac:dyDescent="0.2">
      <c r="A406" s="89">
        <v>390</v>
      </c>
      <c r="B406" s="186" t="e">
        <f t="shared" si="61"/>
        <v>#NUM!</v>
      </c>
      <c r="C406" s="171" t="e">
        <f t="shared" si="62"/>
        <v>#NUM!</v>
      </c>
      <c r="D406" s="171" t="e">
        <f t="shared" si="63"/>
        <v>#NUM!</v>
      </c>
      <c r="E406" s="171" t="e">
        <f t="shared" si="64"/>
        <v>#NUM!</v>
      </c>
      <c r="F406" s="171" t="e">
        <f t="shared" si="65"/>
        <v>#NUM!</v>
      </c>
      <c r="G406" s="186">
        <f>IF('prijem - EUR-viac-domacnosti'!$I$120=TRUE,IF($C$11&gt;0,0.00025*C405,0),IF('prijem - EUR-viac-domacnosti'!$I$121=TRUE,IF('prijem - EUR-viac-domacnosti'!$F$121&gt;0,0.00025*C405,0),0))</f>
        <v>0</v>
      </c>
      <c r="L406" s="89">
        <v>390</v>
      </c>
      <c r="M406" s="186" t="e">
        <f t="shared" si="66"/>
        <v>#DIV/0!</v>
      </c>
      <c r="N406" s="171" t="e">
        <f t="shared" si="67"/>
        <v>#DIV/0!</v>
      </c>
      <c r="O406" s="171" t="e">
        <f t="shared" si="60"/>
        <v>#DIV/0!</v>
      </c>
      <c r="P406" s="171" t="e">
        <f t="shared" si="68"/>
        <v>#DIV/0!</v>
      </c>
      <c r="Q406" s="171" t="e">
        <f t="shared" si="69"/>
        <v>#DIV/0!</v>
      </c>
      <c r="R406" s="186">
        <f>IF('prijem - EUR-viac-domacnosti'!$I$120=TRUE,IF($C$11&gt;0,0.00025*N405,0),IF('prijem - EUR-viac-domacnosti'!$I$121=TRUE,IF('prijem - EUR-viac-domacnosti'!$F$121&gt;0,0.00025*N405*-1,0),0))</f>
        <v>0</v>
      </c>
    </row>
    <row r="407" spans="1:18" x14ac:dyDescent="0.2">
      <c r="A407" s="89">
        <v>391</v>
      </c>
      <c r="B407" s="186" t="e">
        <f t="shared" si="61"/>
        <v>#NUM!</v>
      </c>
      <c r="C407" s="171" t="e">
        <f t="shared" si="62"/>
        <v>#NUM!</v>
      </c>
      <c r="D407" s="171" t="e">
        <f t="shared" si="63"/>
        <v>#NUM!</v>
      </c>
      <c r="E407" s="171" t="e">
        <f t="shared" si="64"/>
        <v>#NUM!</v>
      </c>
      <c r="F407" s="171" t="e">
        <f t="shared" si="65"/>
        <v>#NUM!</v>
      </c>
      <c r="G407" s="186">
        <f>IF('prijem - EUR-viac-domacnosti'!$I$120=TRUE,IF($C$11&gt;0,0.00025*C406,0),IF('prijem - EUR-viac-domacnosti'!$I$121=TRUE,IF('prijem - EUR-viac-domacnosti'!$F$121&gt;0,0.00025*C406,0),0))</f>
        <v>0</v>
      </c>
      <c r="L407" s="89">
        <v>391</v>
      </c>
      <c r="M407" s="186" t="e">
        <f t="shared" si="66"/>
        <v>#DIV/0!</v>
      </c>
      <c r="N407" s="171" t="e">
        <f t="shared" si="67"/>
        <v>#DIV/0!</v>
      </c>
      <c r="O407" s="171" t="e">
        <f t="shared" si="60"/>
        <v>#DIV/0!</v>
      </c>
      <c r="P407" s="171" t="e">
        <f t="shared" si="68"/>
        <v>#DIV/0!</v>
      </c>
      <c r="Q407" s="171" t="e">
        <f t="shared" si="69"/>
        <v>#DIV/0!</v>
      </c>
      <c r="R407" s="186">
        <f>IF('prijem - EUR-viac-domacnosti'!$I$120=TRUE,IF($C$11&gt;0,0.00025*N406,0),IF('prijem - EUR-viac-domacnosti'!$I$121=TRUE,IF('prijem - EUR-viac-domacnosti'!$F$121&gt;0,0.00025*N406*-1,0),0))</f>
        <v>0</v>
      </c>
    </row>
    <row r="408" spans="1:18" x14ac:dyDescent="0.2">
      <c r="A408" s="89">
        <v>392</v>
      </c>
      <c r="B408" s="186" t="e">
        <f t="shared" si="61"/>
        <v>#NUM!</v>
      </c>
      <c r="C408" s="171" t="e">
        <f t="shared" si="62"/>
        <v>#NUM!</v>
      </c>
      <c r="D408" s="171" t="e">
        <f t="shared" si="63"/>
        <v>#NUM!</v>
      </c>
      <c r="E408" s="171" t="e">
        <f t="shared" si="64"/>
        <v>#NUM!</v>
      </c>
      <c r="F408" s="171" t="e">
        <f t="shared" si="65"/>
        <v>#NUM!</v>
      </c>
      <c r="G408" s="186">
        <f>IF('prijem - EUR-viac-domacnosti'!$I$120=TRUE,IF($C$11&gt;0,0.00025*C407,0),IF('prijem - EUR-viac-domacnosti'!$I$121=TRUE,IF('prijem - EUR-viac-domacnosti'!$F$121&gt;0,0.00025*C407,0),0))</f>
        <v>0</v>
      </c>
      <c r="L408" s="89">
        <v>392</v>
      </c>
      <c r="M408" s="186" t="e">
        <f t="shared" si="66"/>
        <v>#DIV/0!</v>
      </c>
      <c r="N408" s="171" t="e">
        <f t="shared" si="67"/>
        <v>#DIV/0!</v>
      </c>
      <c r="O408" s="171" t="e">
        <f t="shared" si="60"/>
        <v>#DIV/0!</v>
      </c>
      <c r="P408" s="171" t="e">
        <f t="shared" si="68"/>
        <v>#DIV/0!</v>
      </c>
      <c r="Q408" s="171" t="e">
        <f t="shared" si="69"/>
        <v>#DIV/0!</v>
      </c>
      <c r="R408" s="186">
        <f>IF('prijem - EUR-viac-domacnosti'!$I$120=TRUE,IF($C$11&gt;0,0.00025*N407,0),IF('prijem - EUR-viac-domacnosti'!$I$121=TRUE,IF('prijem - EUR-viac-domacnosti'!$F$121&gt;0,0.00025*N407*-1,0),0))</f>
        <v>0</v>
      </c>
    </row>
    <row r="409" spans="1:18" x14ac:dyDescent="0.2">
      <c r="A409" s="89">
        <v>393</v>
      </c>
      <c r="B409" s="186" t="e">
        <f t="shared" si="61"/>
        <v>#NUM!</v>
      </c>
      <c r="C409" s="171" t="e">
        <f t="shared" si="62"/>
        <v>#NUM!</v>
      </c>
      <c r="D409" s="171" t="e">
        <f t="shared" si="63"/>
        <v>#NUM!</v>
      </c>
      <c r="E409" s="171" t="e">
        <f t="shared" si="64"/>
        <v>#NUM!</v>
      </c>
      <c r="F409" s="171" t="e">
        <f t="shared" si="65"/>
        <v>#NUM!</v>
      </c>
      <c r="G409" s="186">
        <f>IF('prijem - EUR-viac-domacnosti'!$I$120=TRUE,IF($C$11&gt;0,0.00025*C408,0),IF('prijem - EUR-viac-domacnosti'!$I$121=TRUE,IF('prijem - EUR-viac-domacnosti'!$F$121&gt;0,0.00025*C408,0),0))</f>
        <v>0</v>
      </c>
      <c r="L409" s="89">
        <v>393</v>
      </c>
      <c r="M409" s="186" t="e">
        <f t="shared" si="66"/>
        <v>#DIV/0!</v>
      </c>
      <c r="N409" s="171" t="e">
        <f t="shared" si="67"/>
        <v>#DIV/0!</v>
      </c>
      <c r="O409" s="171" t="e">
        <f t="shared" si="60"/>
        <v>#DIV/0!</v>
      </c>
      <c r="P409" s="171" t="e">
        <f t="shared" si="68"/>
        <v>#DIV/0!</v>
      </c>
      <c r="Q409" s="171" t="e">
        <f t="shared" si="69"/>
        <v>#DIV/0!</v>
      </c>
      <c r="R409" s="186">
        <f>IF('prijem - EUR-viac-domacnosti'!$I$120=TRUE,IF($C$11&gt;0,0.00025*N408,0),IF('prijem - EUR-viac-domacnosti'!$I$121=TRUE,IF('prijem - EUR-viac-domacnosti'!$F$121&gt;0,0.00025*N408*-1,0),0))</f>
        <v>0</v>
      </c>
    </row>
    <row r="410" spans="1:18" x14ac:dyDescent="0.2">
      <c r="A410" s="89">
        <v>394</v>
      </c>
      <c r="B410" s="186" t="e">
        <f t="shared" si="61"/>
        <v>#NUM!</v>
      </c>
      <c r="C410" s="171" t="e">
        <f t="shared" si="62"/>
        <v>#NUM!</v>
      </c>
      <c r="D410" s="171" t="e">
        <f t="shared" si="63"/>
        <v>#NUM!</v>
      </c>
      <c r="E410" s="171" t="e">
        <f t="shared" si="64"/>
        <v>#NUM!</v>
      </c>
      <c r="F410" s="171" t="e">
        <f t="shared" si="65"/>
        <v>#NUM!</v>
      </c>
      <c r="G410" s="186">
        <f>IF('prijem - EUR-viac-domacnosti'!$I$120=TRUE,IF($C$11&gt;0,0.00025*C409,0),IF('prijem - EUR-viac-domacnosti'!$I$121=TRUE,IF('prijem - EUR-viac-domacnosti'!$F$121&gt;0,0.00025*C409,0),0))</f>
        <v>0</v>
      </c>
      <c r="L410" s="89">
        <v>394</v>
      </c>
      <c r="M410" s="186" t="e">
        <f t="shared" si="66"/>
        <v>#DIV/0!</v>
      </c>
      <c r="N410" s="171" t="e">
        <f t="shared" si="67"/>
        <v>#DIV/0!</v>
      </c>
      <c r="O410" s="171" t="e">
        <f t="shared" si="60"/>
        <v>#DIV/0!</v>
      </c>
      <c r="P410" s="171" t="e">
        <f t="shared" si="68"/>
        <v>#DIV/0!</v>
      </c>
      <c r="Q410" s="171" t="e">
        <f t="shared" si="69"/>
        <v>#DIV/0!</v>
      </c>
      <c r="R410" s="186">
        <f>IF('prijem - EUR-viac-domacnosti'!$I$120=TRUE,IF($C$11&gt;0,0.00025*N409,0),IF('prijem - EUR-viac-domacnosti'!$I$121=TRUE,IF('prijem - EUR-viac-domacnosti'!$F$121&gt;0,0.00025*N409*-1,0),0))</f>
        <v>0</v>
      </c>
    </row>
    <row r="411" spans="1:18" x14ac:dyDescent="0.2">
      <c r="A411" s="89">
        <v>395</v>
      </c>
      <c r="B411" s="186" t="e">
        <f t="shared" si="61"/>
        <v>#NUM!</v>
      </c>
      <c r="C411" s="171" t="e">
        <f t="shared" si="62"/>
        <v>#NUM!</v>
      </c>
      <c r="D411" s="171" t="e">
        <f t="shared" si="63"/>
        <v>#NUM!</v>
      </c>
      <c r="E411" s="171" t="e">
        <f t="shared" si="64"/>
        <v>#NUM!</v>
      </c>
      <c r="F411" s="171" t="e">
        <f t="shared" si="65"/>
        <v>#NUM!</v>
      </c>
      <c r="G411" s="186">
        <f>IF('prijem - EUR-viac-domacnosti'!$I$120=TRUE,IF($C$11&gt;0,0.00025*C410,0),IF('prijem - EUR-viac-domacnosti'!$I$121=TRUE,IF('prijem - EUR-viac-domacnosti'!$F$121&gt;0,0.00025*C410,0),0))</f>
        <v>0</v>
      </c>
      <c r="L411" s="89">
        <v>395</v>
      </c>
      <c r="M411" s="186" t="e">
        <f t="shared" si="66"/>
        <v>#DIV/0!</v>
      </c>
      <c r="N411" s="171" t="e">
        <f t="shared" si="67"/>
        <v>#DIV/0!</v>
      </c>
      <c r="O411" s="171" t="e">
        <f t="shared" si="60"/>
        <v>#DIV/0!</v>
      </c>
      <c r="P411" s="171" t="e">
        <f t="shared" si="68"/>
        <v>#DIV/0!</v>
      </c>
      <c r="Q411" s="171" t="e">
        <f t="shared" si="69"/>
        <v>#DIV/0!</v>
      </c>
      <c r="R411" s="186">
        <f>IF('prijem - EUR-viac-domacnosti'!$I$120=TRUE,IF($C$11&gt;0,0.00025*N410,0),IF('prijem - EUR-viac-domacnosti'!$I$121=TRUE,IF('prijem - EUR-viac-domacnosti'!$F$121&gt;0,0.00025*N410*-1,0),0))</f>
        <v>0</v>
      </c>
    </row>
    <row r="412" spans="1:18" x14ac:dyDescent="0.2">
      <c r="A412" s="89">
        <v>396</v>
      </c>
      <c r="B412" s="186" t="e">
        <f t="shared" si="61"/>
        <v>#NUM!</v>
      </c>
      <c r="C412" s="171" t="e">
        <f t="shared" si="62"/>
        <v>#NUM!</v>
      </c>
      <c r="D412" s="171" t="e">
        <f t="shared" si="63"/>
        <v>#NUM!</v>
      </c>
      <c r="E412" s="171" t="e">
        <f t="shared" si="64"/>
        <v>#NUM!</v>
      </c>
      <c r="F412" s="171" t="e">
        <f t="shared" si="65"/>
        <v>#NUM!</v>
      </c>
      <c r="G412" s="186">
        <f>IF('prijem - EUR-viac-domacnosti'!$I$120=TRUE,IF($C$11&gt;0,0.00025*C411,0),IF('prijem - EUR-viac-domacnosti'!$I$121=TRUE,IF('prijem - EUR-viac-domacnosti'!$F$121&gt;0,0.00025*C411,0),0))</f>
        <v>0</v>
      </c>
      <c r="L412" s="89">
        <v>396</v>
      </c>
      <c r="M412" s="186" t="e">
        <f t="shared" si="66"/>
        <v>#DIV/0!</v>
      </c>
      <c r="N412" s="171" t="e">
        <f t="shared" si="67"/>
        <v>#DIV/0!</v>
      </c>
      <c r="O412" s="171" t="e">
        <f t="shared" si="60"/>
        <v>#DIV/0!</v>
      </c>
      <c r="P412" s="171" t="e">
        <f t="shared" si="68"/>
        <v>#DIV/0!</v>
      </c>
      <c r="Q412" s="171" t="e">
        <f t="shared" si="69"/>
        <v>#DIV/0!</v>
      </c>
      <c r="R412" s="186">
        <f>IF('prijem - EUR-viac-domacnosti'!$I$120=TRUE,IF($C$11&gt;0,0.00025*N411,0),IF('prijem - EUR-viac-domacnosti'!$I$121=TRUE,IF('prijem - EUR-viac-domacnosti'!$F$121&gt;0,0.00025*N411*-1,0),0))</f>
        <v>0</v>
      </c>
    </row>
    <row r="413" spans="1:18" x14ac:dyDescent="0.2">
      <c r="A413" s="89">
        <v>397</v>
      </c>
      <c r="B413" s="186" t="e">
        <f t="shared" si="61"/>
        <v>#NUM!</v>
      </c>
      <c r="C413" s="171" t="e">
        <f t="shared" si="62"/>
        <v>#NUM!</v>
      </c>
      <c r="D413" s="171" t="e">
        <f t="shared" si="63"/>
        <v>#NUM!</v>
      </c>
      <c r="E413" s="171" t="e">
        <f t="shared" si="64"/>
        <v>#NUM!</v>
      </c>
      <c r="F413" s="171" t="e">
        <f t="shared" si="65"/>
        <v>#NUM!</v>
      </c>
      <c r="G413" s="186">
        <f>IF('prijem - EUR-viac-domacnosti'!$I$120=TRUE,IF($C$11&gt;0,0.00025*C412,0),IF('prijem - EUR-viac-domacnosti'!$I$121=TRUE,IF('prijem - EUR-viac-domacnosti'!$F$121&gt;0,0.00025*C412,0),0))</f>
        <v>0</v>
      </c>
      <c r="L413" s="89">
        <v>397</v>
      </c>
      <c r="M413" s="186" t="e">
        <f t="shared" si="66"/>
        <v>#DIV/0!</v>
      </c>
      <c r="N413" s="171" t="e">
        <f t="shared" si="67"/>
        <v>#DIV/0!</v>
      </c>
      <c r="O413" s="171" t="e">
        <f t="shared" si="60"/>
        <v>#DIV/0!</v>
      </c>
      <c r="P413" s="171" t="e">
        <f t="shared" si="68"/>
        <v>#DIV/0!</v>
      </c>
      <c r="Q413" s="171" t="e">
        <f t="shared" si="69"/>
        <v>#DIV/0!</v>
      </c>
      <c r="R413" s="186">
        <f>IF('prijem - EUR-viac-domacnosti'!$I$120=TRUE,IF($C$11&gt;0,0.00025*N412,0),IF('prijem - EUR-viac-domacnosti'!$I$121=TRUE,IF('prijem - EUR-viac-domacnosti'!$F$121&gt;0,0.00025*N412*-1,0),0))</f>
        <v>0</v>
      </c>
    </row>
    <row r="414" spans="1:18" x14ac:dyDescent="0.2">
      <c r="A414" s="89">
        <v>398</v>
      </c>
      <c r="B414" s="186" t="e">
        <f t="shared" si="61"/>
        <v>#NUM!</v>
      </c>
      <c r="C414" s="171" t="e">
        <f t="shared" si="62"/>
        <v>#NUM!</v>
      </c>
      <c r="D414" s="171" t="e">
        <f t="shared" si="63"/>
        <v>#NUM!</v>
      </c>
      <c r="E414" s="171" t="e">
        <f t="shared" si="64"/>
        <v>#NUM!</v>
      </c>
      <c r="F414" s="171" t="e">
        <f t="shared" si="65"/>
        <v>#NUM!</v>
      </c>
      <c r="G414" s="186">
        <f>IF('prijem - EUR-viac-domacnosti'!$I$120=TRUE,IF($C$11&gt;0,0.00025*C413,0),IF('prijem - EUR-viac-domacnosti'!$I$121=TRUE,IF('prijem - EUR-viac-domacnosti'!$F$121&gt;0,0.00025*C413,0),0))</f>
        <v>0</v>
      </c>
      <c r="L414" s="89">
        <v>398</v>
      </c>
      <c r="M414" s="186" t="e">
        <f t="shared" si="66"/>
        <v>#DIV/0!</v>
      </c>
      <c r="N414" s="171" t="e">
        <f t="shared" si="67"/>
        <v>#DIV/0!</v>
      </c>
      <c r="O414" s="171" t="e">
        <f t="shared" si="60"/>
        <v>#DIV/0!</v>
      </c>
      <c r="P414" s="171" t="e">
        <f t="shared" si="68"/>
        <v>#DIV/0!</v>
      </c>
      <c r="Q414" s="171" t="e">
        <f t="shared" si="69"/>
        <v>#DIV/0!</v>
      </c>
      <c r="R414" s="186">
        <f>IF('prijem - EUR-viac-domacnosti'!$I$120=TRUE,IF($C$11&gt;0,0.00025*N413,0),IF('prijem - EUR-viac-domacnosti'!$I$121=TRUE,IF('prijem - EUR-viac-domacnosti'!$F$121&gt;0,0.00025*N413*-1,0),0))</f>
        <v>0</v>
      </c>
    </row>
    <row r="415" spans="1:18" x14ac:dyDescent="0.2">
      <c r="A415" s="89">
        <v>399</v>
      </c>
      <c r="B415" s="186" t="e">
        <f t="shared" si="61"/>
        <v>#NUM!</v>
      </c>
      <c r="C415" s="171" t="e">
        <f t="shared" si="62"/>
        <v>#NUM!</v>
      </c>
      <c r="D415" s="171" t="e">
        <f t="shared" si="63"/>
        <v>#NUM!</v>
      </c>
      <c r="E415" s="171" t="e">
        <f t="shared" si="64"/>
        <v>#NUM!</v>
      </c>
      <c r="F415" s="171" t="e">
        <f t="shared" si="65"/>
        <v>#NUM!</v>
      </c>
      <c r="G415" s="186">
        <f>IF('prijem - EUR-viac-domacnosti'!$I$120=TRUE,IF($C$11&gt;0,0.00025*C414,0),IF('prijem - EUR-viac-domacnosti'!$I$121=TRUE,IF('prijem - EUR-viac-domacnosti'!$F$121&gt;0,0.00025*C414,0),0))</f>
        <v>0</v>
      </c>
      <c r="L415" s="89">
        <v>399</v>
      </c>
      <c r="M415" s="186" t="e">
        <f t="shared" si="66"/>
        <v>#DIV/0!</v>
      </c>
      <c r="N415" s="171" t="e">
        <f t="shared" si="67"/>
        <v>#DIV/0!</v>
      </c>
      <c r="O415" s="171" t="e">
        <f t="shared" si="60"/>
        <v>#DIV/0!</v>
      </c>
      <c r="P415" s="171" t="e">
        <f t="shared" si="68"/>
        <v>#DIV/0!</v>
      </c>
      <c r="Q415" s="171" t="e">
        <f t="shared" si="69"/>
        <v>#DIV/0!</v>
      </c>
      <c r="R415" s="186">
        <f>IF('prijem - EUR-viac-domacnosti'!$I$120=TRUE,IF($C$11&gt;0,0.00025*N414,0),IF('prijem - EUR-viac-domacnosti'!$I$121=TRUE,IF('prijem - EUR-viac-domacnosti'!$F$121&gt;0,0.00025*N414*-1,0),0))</f>
        <v>0</v>
      </c>
    </row>
    <row r="416" spans="1:18" x14ac:dyDescent="0.2">
      <c r="A416" s="89">
        <v>400</v>
      </c>
      <c r="B416" s="186" t="e">
        <f t="shared" si="61"/>
        <v>#NUM!</v>
      </c>
      <c r="C416" s="171" t="e">
        <f t="shared" si="62"/>
        <v>#NUM!</v>
      </c>
      <c r="D416" s="171" t="e">
        <f t="shared" si="63"/>
        <v>#NUM!</v>
      </c>
      <c r="E416" s="171" t="e">
        <f t="shared" si="64"/>
        <v>#NUM!</v>
      </c>
      <c r="F416" s="171" t="e">
        <f t="shared" si="65"/>
        <v>#NUM!</v>
      </c>
      <c r="G416" s="186">
        <f>IF('prijem - EUR-viac-domacnosti'!$I$120=TRUE,IF($C$11&gt;0,0.00025*C415,0),IF('prijem - EUR-viac-domacnosti'!$I$121=TRUE,IF('prijem - EUR-viac-domacnosti'!$F$121&gt;0,0.00025*C415,0),0))</f>
        <v>0</v>
      </c>
      <c r="L416" s="89">
        <v>400</v>
      </c>
      <c r="M416" s="186" t="e">
        <f t="shared" si="66"/>
        <v>#DIV/0!</v>
      </c>
      <c r="N416" s="171" t="e">
        <f t="shared" si="67"/>
        <v>#DIV/0!</v>
      </c>
      <c r="O416" s="171" t="e">
        <f t="shared" si="60"/>
        <v>#DIV/0!</v>
      </c>
      <c r="P416" s="171" t="e">
        <f t="shared" si="68"/>
        <v>#DIV/0!</v>
      </c>
      <c r="Q416" s="171" t="e">
        <f t="shared" si="69"/>
        <v>#DIV/0!</v>
      </c>
      <c r="R416" s="186">
        <f>IF('prijem - EUR-viac-domacnosti'!$I$120=TRUE,IF($C$11&gt;0,0.00025*N415,0),IF('prijem - EUR-viac-domacnosti'!$I$121=TRUE,IF('prijem - EUR-viac-domacnosti'!$F$121&gt;0,0.00025*N415*-1,0),0))</f>
        <v>0</v>
      </c>
    </row>
    <row r="417" spans="1:18" x14ac:dyDescent="0.2">
      <c r="A417" s="89">
        <v>401</v>
      </c>
      <c r="B417" s="186" t="e">
        <f t="shared" si="61"/>
        <v>#NUM!</v>
      </c>
      <c r="C417" s="171" t="e">
        <f t="shared" si="62"/>
        <v>#NUM!</v>
      </c>
      <c r="D417" s="171" t="e">
        <f t="shared" si="63"/>
        <v>#NUM!</v>
      </c>
      <c r="E417" s="171" t="e">
        <f t="shared" si="64"/>
        <v>#NUM!</v>
      </c>
      <c r="F417" s="171" t="e">
        <f t="shared" si="65"/>
        <v>#NUM!</v>
      </c>
      <c r="G417" s="186">
        <f>IF('prijem - EUR-viac-domacnosti'!$I$120=TRUE,IF($C$11&gt;0,0.00025*C416,0),IF('prijem - EUR-viac-domacnosti'!$I$121=TRUE,IF('prijem - EUR-viac-domacnosti'!$F$121&gt;0,0.00025*C416,0),0))</f>
        <v>0</v>
      </c>
      <c r="L417" s="89">
        <v>401</v>
      </c>
      <c r="M417" s="186" t="e">
        <f t="shared" si="66"/>
        <v>#DIV/0!</v>
      </c>
      <c r="N417" s="171" t="e">
        <f t="shared" si="67"/>
        <v>#DIV/0!</v>
      </c>
      <c r="O417" s="171" t="e">
        <f t="shared" si="60"/>
        <v>#DIV/0!</v>
      </c>
      <c r="P417" s="171" t="e">
        <f t="shared" si="68"/>
        <v>#DIV/0!</v>
      </c>
      <c r="Q417" s="171" t="e">
        <f t="shared" si="69"/>
        <v>#DIV/0!</v>
      </c>
      <c r="R417" s="186">
        <f>IF('prijem - EUR-viac-domacnosti'!$I$120=TRUE,IF($C$11&gt;0,0.00025*N416,0),IF('prijem - EUR-viac-domacnosti'!$I$121=TRUE,IF('prijem - EUR-viac-domacnosti'!$F$121&gt;0,0.00025*N416*-1,0),0))</f>
        <v>0</v>
      </c>
    </row>
    <row r="418" spans="1:18" x14ac:dyDescent="0.2">
      <c r="A418" s="89">
        <v>402</v>
      </c>
      <c r="B418" s="186" t="e">
        <f t="shared" si="61"/>
        <v>#NUM!</v>
      </c>
      <c r="C418" s="171" t="e">
        <f t="shared" si="62"/>
        <v>#NUM!</v>
      </c>
      <c r="D418" s="171" t="e">
        <f t="shared" si="63"/>
        <v>#NUM!</v>
      </c>
      <c r="E418" s="171" t="e">
        <f t="shared" si="64"/>
        <v>#NUM!</v>
      </c>
      <c r="F418" s="171" t="e">
        <f t="shared" si="65"/>
        <v>#NUM!</v>
      </c>
      <c r="G418" s="186">
        <f>IF('prijem - EUR-viac-domacnosti'!$I$120=TRUE,IF($C$11&gt;0,0.00025*C417,0),IF('prijem - EUR-viac-domacnosti'!$I$121=TRUE,IF('prijem - EUR-viac-domacnosti'!$F$121&gt;0,0.00025*C417,0),0))</f>
        <v>0</v>
      </c>
      <c r="L418" s="89">
        <v>402</v>
      </c>
      <c r="M418" s="186" t="e">
        <f t="shared" si="66"/>
        <v>#DIV/0!</v>
      </c>
      <c r="N418" s="171" t="e">
        <f t="shared" si="67"/>
        <v>#DIV/0!</v>
      </c>
      <c r="O418" s="171" t="e">
        <f t="shared" si="60"/>
        <v>#DIV/0!</v>
      </c>
      <c r="P418" s="171" t="e">
        <f t="shared" si="68"/>
        <v>#DIV/0!</v>
      </c>
      <c r="Q418" s="171" t="e">
        <f t="shared" si="69"/>
        <v>#DIV/0!</v>
      </c>
      <c r="R418" s="186">
        <f>IF('prijem - EUR-viac-domacnosti'!$I$120=TRUE,IF($C$11&gt;0,0.00025*N417,0),IF('prijem - EUR-viac-domacnosti'!$I$121=TRUE,IF('prijem - EUR-viac-domacnosti'!$F$121&gt;0,0.00025*N417*-1,0),0))</f>
        <v>0</v>
      </c>
    </row>
    <row r="419" spans="1:18" x14ac:dyDescent="0.2">
      <c r="A419" s="89">
        <v>403</v>
      </c>
      <c r="B419" s="186" t="e">
        <f t="shared" si="61"/>
        <v>#NUM!</v>
      </c>
      <c r="C419" s="171" t="e">
        <f t="shared" si="62"/>
        <v>#NUM!</v>
      </c>
      <c r="D419" s="171" t="e">
        <f t="shared" si="63"/>
        <v>#NUM!</v>
      </c>
      <c r="E419" s="171" t="e">
        <f t="shared" si="64"/>
        <v>#NUM!</v>
      </c>
      <c r="F419" s="171" t="e">
        <f t="shared" si="65"/>
        <v>#NUM!</v>
      </c>
      <c r="G419" s="186">
        <f>IF('prijem - EUR-viac-domacnosti'!$I$120=TRUE,IF($C$11&gt;0,0.00025*C418,0),IF('prijem - EUR-viac-domacnosti'!$I$121=TRUE,IF('prijem - EUR-viac-domacnosti'!$F$121&gt;0,0.00025*C418,0),0))</f>
        <v>0</v>
      </c>
      <c r="L419" s="89">
        <v>403</v>
      </c>
      <c r="M419" s="186" t="e">
        <f t="shared" si="66"/>
        <v>#DIV/0!</v>
      </c>
      <c r="N419" s="171" t="e">
        <f t="shared" si="67"/>
        <v>#DIV/0!</v>
      </c>
      <c r="O419" s="171" t="e">
        <f t="shared" si="60"/>
        <v>#DIV/0!</v>
      </c>
      <c r="P419" s="171" t="e">
        <f t="shared" si="68"/>
        <v>#DIV/0!</v>
      </c>
      <c r="Q419" s="171" t="e">
        <f t="shared" si="69"/>
        <v>#DIV/0!</v>
      </c>
      <c r="R419" s="186">
        <f>IF('prijem - EUR-viac-domacnosti'!$I$120=TRUE,IF($C$11&gt;0,0.00025*N418,0),IF('prijem - EUR-viac-domacnosti'!$I$121=TRUE,IF('prijem - EUR-viac-domacnosti'!$F$121&gt;0,0.00025*N418*-1,0),0))</f>
        <v>0</v>
      </c>
    </row>
    <row r="420" spans="1:18" x14ac:dyDescent="0.2">
      <c r="A420" s="89">
        <v>404</v>
      </c>
      <c r="B420" s="186" t="e">
        <f t="shared" si="61"/>
        <v>#NUM!</v>
      </c>
      <c r="C420" s="171" t="e">
        <f t="shared" si="62"/>
        <v>#NUM!</v>
      </c>
      <c r="D420" s="171" t="e">
        <f t="shared" si="63"/>
        <v>#NUM!</v>
      </c>
      <c r="E420" s="171" t="e">
        <f t="shared" si="64"/>
        <v>#NUM!</v>
      </c>
      <c r="F420" s="171" t="e">
        <f t="shared" si="65"/>
        <v>#NUM!</v>
      </c>
      <c r="G420" s="186">
        <f>IF('prijem - EUR-viac-domacnosti'!$I$120=TRUE,IF($C$11&gt;0,0.00025*C419,0),IF('prijem - EUR-viac-domacnosti'!$I$121=TRUE,IF('prijem - EUR-viac-domacnosti'!$F$121&gt;0,0.00025*C419,0),0))</f>
        <v>0</v>
      </c>
      <c r="L420" s="89">
        <v>404</v>
      </c>
      <c r="M420" s="186" t="e">
        <f t="shared" si="66"/>
        <v>#DIV/0!</v>
      </c>
      <c r="N420" s="171" t="e">
        <f t="shared" si="67"/>
        <v>#DIV/0!</v>
      </c>
      <c r="O420" s="171" t="e">
        <f t="shared" si="60"/>
        <v>#DIV/0!</v>
      </c>
      <c r="P420" s="171" t="e">
        <f t="shared" si="68"/>
        <v>#DIV/0!</v>
      </c>
      <c r="Q420" s="171" t="e">
        <f t="shared" si="69"/>
        <v>#DIV/0!</v>
      </c>
      <c r="R420" s="186">
        <f>IF('prijem - EUR-viac-domacnosti'!$I$120=TRUE,IF($C$11&gt;0,0.00025*N419,0),IF('prijem - EUR-viac-domacnosti'!$I$121=TRUE,IF('prijem - EUR-viac-domacnosti'!$F$121&gt;0,0.00025*N419*-1,0),0))</f>
        <v>0</v>
      </c>
    </row>
    <row r="421" spans="1:18" x14ac:dyDescent="0.2">
      <c r="A421" s="89">
        <v>405</v>
      </c>
      <c r="B421" s="186" t="e">
        <f t="shared" si="61"/>
        <v>#NUM!</v>
      </c>
      <c r="C421" s="171" t="e">
        <f t="shared" si="62"/>
        <v>#NUM!</v>
      </c>
      <c r="D421" s="171" t="e">
        <f t="shared" si="63"/>
        <v>#NUM!</v>
      </c>
      <c r="E421" s="171" t="e">
        <f t="shared" si="64"/>
        <v>#NUM!</v>
      </c>
      <c r="F421" s="171" t="e">
        <f t="shared" si="65"/>
        <v>#NUM!</v>
      </c>
      <c r="G421" s="186">
        <f>IF('prijem - EUR-viac-domacnosti'!$I$120=TRUE,IF($C$11&gt;0,0.00025*C420,0),IF('prijem - EUR-viac-domacnosti'!$I$121=TRUE,IF('prijem - EUR-viac-domacnosti'!$F$121&gt;0,0.00025*C420,0),0))</f>
        <v>0</v>
      </c>
      <c r="L421" s="89">
        <v>405</v>
      </c>
      <c r="M421" s="186" t="e">
        <f t="shared" si="66"/>
        <v>#DIV/0!</v>
      </c>
      <c r="N421" s="171" t="e">
        <f t="shared" si="67"/>
        <v>#DIV/0!</v>
      </c>
      <c r="O421" s="171" t="e">
        <f t="shared" si="60"/>
        <v>#DIV/0!</v>
      </c>
      <c r="P421" s="171" t="e">
        <f t="shared" si="68"/>
        <v>#DIV/0!</v>
      </c>
      <c r="Q421" s="171" t="e">
        <f t="shared" si="69"/>
        <v>#DIV/0!</v>
      </c>
      <c r="R421" s="186">
        <f>IF('prijem - EUR-viac-domacnosti'!$I$120=TRUE,IF($C$11&gt;0,0.00025*N420,0),IF('prijem - EUR-viac-domacnosti'!$I$121=TRUE,IF('prijem - EUR-viac-domacnosti'!$F$121&gt;0,0.00025*N420*-1,0),0))</f>
        <v>0</v>
      </c>
    </row>
    <row r="422" spans="1:18" x14ac:dyDescent="0.2">
      <c r="A422" s="89">
        <v>406</v>
      </c>
      <c r="B422" s="186" t="e">
        <f t="shared" si="61"/>
        <v>#NUM!</v>
      </c>
      <c r="C422" s="171" t="e">
        <f t="shared" si="62"/>
        <v>#NUM!</v>
      </c>
      <c r="D422" s="171" t="e">
        <f t="shared" si="63"/>
        <v>#NUM!</v>
      </c>
      <c r="E422" s="171" t="e">
        <f t="shared" si="64"/>
        <v>#NUM!</v>
      </c>
      <c r="F422" s="171" t="e">
        <f t="shared" si="65"/>
        <v>#NUM!</v>
      </c>
      <c r="G422" s="186">
        <f>IF('prijem - EUR-viac-domacnosti'!$I$120=TRUE,IF($C$11&gt;0,0.00025*C421,0),IF('prijem - EUR-viac-domacnosti'!$I$121=TRUE,IF('prijem - EUR-viac-domacnosti'!$F$121&gt;0,0.00025*C421,0),0))</f>
        <v>0</v>
      </c>
      <c r="L422" s="89">
        <v>406</v>
      </c>
      <c r="M422" s="186" t="e">
        <f t="shared" si="66"/>
        <v>#DIV/0!</v>
      </c>
      <c r="N422" s="171" t="e">
        <f t="shared" si="67"/>
        <v>#DIV/0!</v>
      </c>
      <c r="O422" s="171" t="e">
        <f t="shared" si="60"/>
        <v>#DIV/0!</v>
      </c>
      <c r="P422" s="171" t="e">
        <f t="shared" si="68"/>
        <v>#DIV/0!</v>
      </c>
      <c r="Q422" s="171" t="e">
        <f t="shared" si="69"/>
        <v>#DIV/0!</v>
      </c>
      <c r="R422" s="186">
        <f>IF('prijem - EUR-viac-domacnosti'!$I$120=TRUE,IF($C$11&gt;0,0.00025*N421,0),IF('prijem - EUR-viac-domacnosti'!$I$121=TRUE,IF('prijem - EUR-viac-domacnosti'!$F$121&gt;0,0.00025*N421*-1,0),0))</f>
        <v>0</v>
      </c>
    </row>
    <row r="423" spans="1:18" x14ac:dyDescent="0.2">
      <c r="A423" s="89">
        <v>407</v>
      </c>
      <c r="B423" s="186" t="e">
        <f t="shared" si="61"/>
        <v>#NUM!</v>
      </c>
      <c r="C423" s="171" t="e">
        <f t="shared" si="62"/>
        <v>#NUM!</v>
      </c>
      <c r="D423" s="171" t="e">
        <f t="shared" si="63"/>
        <v>#NUM!</v>
      </c>
      <c r="E423" s="171" t="e">
        <f t="shared" si="64"/>
        <v>#NUM!</v>
      </c>
      <c r="F423" s="171" t="e">
        <f t="shared" si="65"/>
        <v>#NUM!</v>
      </c>
      <c r="G423" s="186">
        <f>IF('prijem - EUR-viac-domacnosti'!$I$120=TRUE,IF($C$11&gt;0,0.00025*C422,0),IF('prijem - EUR-viac-domacnosti'!$I$121=TRUE,IF('prijem - EUR-viac-domacnosti'!$F$121&gt;0,0.00025*C422,0),0))</f>
        <v>0</v>
      </c>
      <c r="L423" s="89">
        <v>407</v>
      </c>
      <c r="M423" s="186" t="e">
        <f t="shared" si="66"/>
        <v>#DIV/0!</v>
      </c>
      <c r="N423" s="171" t="e">
        <f t="shared" si="67"/>
        <v>#DIV/0!</v>
      </c>
      <c r="O423" s="171" t="e">
        <f t="shared" si="60"/>
        <v>#DIV/0!</v>
      </c>
      <c r="P423" s="171" t="e">
        <f t="shared" si="68"/>
        <v>#DIV/0!</v>
      </c>
      <c r="Q423" s="171" t="e">
        <f t="shared" si="69"/>
        <v>#DIV/0!</v>
      </c>
      <c r="R423" s="186">
        <f>IF('prijem - EUR-viac-domacnosti'!$I$120=TRUE,IF($C$11&gt;0,0.00025*N422,0),IF('prijem - EUR-viac-domacnosti'!$I$121=TRUE,IF('prijem - EUR-viac-domacnosti'!$F$121&gt;0,0.00025*N422*-1,0),0))</f>
        <v>0</v>
      </c>
    </row>
    <row r="424" spans="1:18" x14ac:dyDescent="0.2">
      <c r="A424" s="89">
        <v>408</v>
      </c>
      <c r="B424" s="186" t="e">
        <f t="shared" si="61"/>
        <v>#NUM!</v>
      </c>
      <c r="C424" s="171" t="e">
        <f t="shared" si="62"/>
        <v>#NUM!</v>
      </c>
      <c r="D424" s="171" t="e">
        <f t="shared" si="63"/>
        <v>#NUM!</v>
      </c>
      <c r="E424" s="171" t="e">
        <f t="shared" si="64"/>
        <v>#NUM!</v>
      </c>
      <c r="F424" s="171" t="e">
        <f t="shared" si="65"/>
        <v>#NUM!</v>
      </c>
      <c r="G424" s="186">
        <f>IF('prijem - EUR-viac-domacnosti'!$I$120=TRUE,IF($C$11&gt;0,0.00025*C423,0),IF('prijem - EUR-viac-domacnosti'!$I$121=TRUE,IF('prijem - EUR-viac-domacnosti'!$F$121&gt;0,0.00025*C423,0),0))</f>
        <v>0</v>
      </c>
      <c r="L424" s="89">
        <v>408</v>
      </c>
      <c r="M424" s="186" t="e">
        <f t="shared" si="66"/>
        <v>#DIV/0!</v>
      </c>
      <c r="N424" s="171" t="e">
        <f t="shared" si="67"/>
        <v>#DIV/0!</v>
      </c>
      <c r="O424" s="171" t="e">
        <f t="shared" si="60"/>
        <v>#DIV/0!</v>
      </c>
      <c r="P424" s="171" t="e">
        <f t="shared" si="68"/>
        <v>#DIV/0!</v>
      </c>
      <c r="Q424" s="171" t="e">
        <f t="shared" si="69"/>
        <v>#DIV/0!</v>
      </c>
      <c r="R424" s="186">
        <f>IF('prijem - EUR-viac-domacnosti'!$I$120=TRUE,IF($C$11&gt;0,0.00025*N423,0),IF('prijem - EUR-viac-domacnosti'!$I$121=TRUE,IF('prijem - EUR-viac-domacnosti'!$F$121&gt;0,0.00025*N423*-1,0),0))</f>
        <v>0</v>
      </c>
    </row>
    <row r="425" spans="1:18" x14ac:dyDescent="0.2">
      <c r="A425" s="89">
        <v>409</v>
      </c>
      <c r="B425" s="186" t="e">
        <f t="shared" si="61"/>
        <v>#NUM!</v>
      </c>
      <c r="C425" s="171" t="e">
        <f t="shared" si="62"/>
        <v>#NUM!</v>
      </c>
      <c r="D425" s="171" t="e">
        <f t="shared" si="63"/>
        <v>#NUM!</v>
      </c>
      <c r="E425" s="171" t="e">
        <f t="shared" si="64"/>
        <v>#NUM!</v>
      </c>
      <c r="F425" s="171" t="e">
        <f t="shared" si="65"/>
        <v>#NUM!</v>
      </c>
      <c r="G425" s="186">
        <f>IF('prijem - EUR-viac-domacnosti'!$I$120=TRUE,IF($C$11&gt;0,0.00025*C424,0),IF('prijem - EUR-viac-domacnosti'!$I$121=TRUE,IF('prijem - EUR-viac-domacnosti'!$F$121&gt;0,0.00025*C424,0),0))</f>
        <v>0</v>
      </c>
      <c r="L425" s="89">
        <v>409</v>
      </c>
      <c r="M425" s="186" t="e">
        <f t="shared" si="66"/>
        <v>#DIV/0!</v>
      </c>
      <c r="N425" s="171" t="e">
        <f t="shared" si="67"/>
        <v>#DIV/0!</v>
      </c>
      <c r="O425" s="171" t="e">
        <f t="shared" si="60"/>
        <v>#DIV/0!</v>
      </c>
      <c r="P425" s="171" t="e">
        <f t="shared" si="68"/>
        <v>#DIV/0!</v>
      </c>
      <c r="Q425" s="171" t="e">
        <f t="shared" si="69"/>
        <v>#DIV/0!</v>
      </c>
      <c r="R425" s="186">
        <f>IF('prijem - EUR-viac-domacnosti'!$I$120=TRUE,IF($C$11&gt;0,0.00025*N424,0),IF('prijem - EUR-viac-domacnosti'!$I$121=TRUE,IF('prijem - EUR-viac-domacnosti'!$F$121&gt;0,0.00025*N424*-1,0),0))</f>
        <v>0</v>
      </c>
    </row>
    <row r="426" spans="1:18" x14ac:dyDescent="0.2">
      <c r="A426" s="89">
        <v>410</v>
      </c>
      <c r="B426" s="186" t="e">
        <f t="shared" si="61"/>
        <v>#NUM!</v>
      </c>
      <c r="C426" s="171" t="e">
        <f t="shared" si="62"/>
        <v>#NUM!</v>
      </c>
      <c r="D426" s="171" t="e">
        <f t="shared" si="63"/>
        <v>#NUM!</v>
      </c>
      <c r="E426" s="171" t="e">
        <f t="shared" si="64"/>
        <v>#NUM!</v>
      </c>
      <c r="F426" s="171" t="e">
        <f t="shared" si="65"/>
        <v>#NUM!</v>
      </c>
      <c r="G426" s="186">
        <f>IF('prijem - EUR-viac-domacnosti'!$I$120=TRUE,IF($C$11&gt;0,0.00025*C425,0),IF('prijem - EUR-viac-domacnosti'!$I$121=TRUE,IF('prijem - EUR-viac-domacnosti'!$F$121&gt;0,0.00025*C425,0),0))</f>
        <v>0</v>
      </c>
      <c r="L426" s="89">
        <v>410</v>
      </c>
      <c r="M426" s="186" t="e">
        <f t="shared" si="66"/>
        <v>#DIV/0!</v>
      </c>
      <c r="N426" s="171" t="e">
        <f t="shared" si="67"/>
        <v>#DIV/0!</v>
      </c>
      <c r="O426" s="171" t="e">
        <f t="shared" si="60"/>
        <v>#DIV/0!</v>
      </c>
      <c r="P426" s="171" t="e">
        <f t="shared" si="68"/>
        <v>#DIV/0!</v>
      </c>
      <c r="Q426" s="171" t="e">
        <f t="shared" si="69"/>
        <v>#DIV/0!</v>
      </c>
      <c r="R426" s="186">
        <f>IF('prijem - EUR-viac-domacnosti'!$I$120=TRUE,IF($C$11&gt;0,0.00025*N425,0),IF('prijem - EUR-viac-domacnosti'!$I$121=TRUE,IF('prijem - EUR-viac-domacnosti'!$F$121&gt;0,0.00025*N425*-1,0),0))</f>
        <v>0</v>
      </c>
    </row>
    <row r="427" spans="1:18" x14ac:dyDescent="0.2">
      <c r="A427" s="89">
        <v>411</v>
      </c>
      <c r="B427" s="186" t="e">
        <f t="shared" si="61"/>
        <v>#NUM!</v>
      </c>
      <c r="C427" s="171" t="e">
        <f t="shared" si="62"/>
        <v>#NUM!</v>
      </c>
      <c r="D427" s="171" t="e">
        <f t="shared" si="63"/>
        <v>#NUM!</v>
      </c>
      <c r="E427" s="171" t="e">
        <f t="shared" si="64"/>
        <v>#NUM!</v>
      </c>
      <c r="F427" s="171" t="e">
        <f t="shared" si="65"/>
        <v>#NUM!</v>
      </c>
      <c r="G427" s="186">
        <f>IF('prijem - EUR-viac-domacnosti'!$I$120=TRUE,IF($C$11&gt;0,0.00025*C426,0),IF('prijem - EUR-viac-domacnosti'!$I$121=TRUE,IF('prijem - EUR-viac-domacnosti'!$F$121&gt;0,0.00025*C426,0),0))</f>
        <v>0</v>
      </c>
      <c r="L427" s="89">
        <v>411</v>
      </c>
      <c r="M427" s="186" t="e">
        <f t="shared" si="66"/>
        <v>#DIV/0!</v>
      </c>
      <c r="N427" s="171" t="e">
        <f t="shared" si="67"/>
        <v>#DIV/0!</v>
      </c>
      <c r="O427" s="171" t="e">
        <f t="shared" si="60"/>
        <v>#DIV/0!</v>
      </c>
      <c r="P427" s="171" t="e">
        <f t="shared" si="68"/>
        <v>#DIV/0!</v>
      </c>
      <c r="Q427" s="171" t="e">
        <f t="shared" si="69"/>
        <v>#DIV/0!</v>
      </c>
      <c r="R427" s="186">
        <f>IF('prijem - EUR-viac-domacnosti'!$I$120=TRUE,IF($C$11&gt;0,0.00025*N426,0),IF('prijem - EUR-viac-domacnosti'!$I$121=TRUE,IF('prijem - EUR-viac-domacnosti'!$F$121&gt;0,0.00025*N426*-1,0),0))</f>
        <v>0</v>
      </c>
    </row>
    <row r="428" spans="1:18" x14ac:dyDescent="0.2">
      <c r="A428" s="89">
        <v>412</v>
      </c>
      <c r="B428" s="186" t="e">
        <f t="shared" si="61"/>
        <v>#NUM!</v>
      </c>
      <c r="C428" s="171" t="e">
        <f t="shared" si="62"/>
        <v>#NUM!</v>
      </c>
      <c r="D428" s="171" t="e">
        <f t="shared" si="63"/>
        <v>#NUM!</v>
      </c>
      <c r="E428" s="171" t="e">
        <f t="shared" si="64"/>
        <v>#NUM!</v>
      </c>
      <c r="F428" s="171" t="e">
        <f t="shared" si="65"/>
        <v>#NUM!</v>
      </c>
      <c r="G428" s="186">
        <f>IF('prijem - EUR-viac-domacnosti'!$I$120=TRUE,IF($C$11&gt;0,0.00025*C427,0),IF('prijem - EUR-viac-domacnosti'!$I$121=TRUE,IF('prijem - EUR-viac-domacnosti'!$F$121&gt;0,0.00025*C427,0),0))</f>
        <v>0</v>
      </c>
      <c r="L428" s="89">
        <v>412</v>
      </c>
      <c r="M428" s="186" t="e">
        <f t="shared" si="66"/>
        <v>#DIV/0!</v>
      </c>
      <c r="N428" s="171" t="e">
        <f t="shared" si="67"/>
        <v>#DIV/0!</v>
      </c>
      <c r="O428" s="171" t="e">
        <f t="shared" si="60"/>
        <v>#DIV/0!</v>
      </c>
      <c r="P428" s="171" t="e">
        <f t="shared" si="68"/>
        <v>#DIV/0!</v>
      </c>
      <c r="Q428" s="171" t="e">
        <f t="shared" si="69"/>
        <v>#DIV/0!</v>
      </c>
      <c r="R428" s="186">
        <f>IF('prijem - EUR-viac-domacnosti'!$I$120=TRUE,IF($C$11&gt;0,0.00025*N427,0),IF('prijem - EUR-viac-domacnosti'!$I$121=TRUE,IF('prijem - EUR-viac-domacnosti'!$F$121&gt;0,0.00025*N427*-1,0),0))</f>
        <v>0</v>
      </c>
    </row>
    <row r="429" spans="1:18" x14ac:dyDescent="0.2">
      <c r="A429" s="89">
        <v>413</v>
      </c>
      <c r="B429" s="186" t="e">
        <f t="shared" si="61"/>
        <v>#NUM!</v>
      </c>
      <c r="C429" s="171" t="e">
        <f t="shared" si="62"/>
        <v>#NUM!</v>
      </c>
      <c r="D429" s="171" t="e">
        <f t="shared" si="63"/>
        <v>#NUM!</v>
      </c>
      <c r="E429" s="171" t="e">
        <f t="shared" si="64"/>
        <v>#NUM!</v>
      </c>
      <c r="F429" s="171" t="e">
        <f t="shared" si="65"/>
        <v>#NUM!</v>
      </c>
      <c r="G429" s="186">
        <f>IF('prijem - EUR-viac-domacnosti'!$I$120=TRUE,IF($C$11&gt;0,0.00025*C428,0),IF('prijem - EUR-viac-domacnosti'!$I$121=TRUE,IF('prijem - EUR-viac-domacnosti'!$F$121&gt;0,0.00025*C428,0),0))</f>
        <v>0</v>
      </c>
      <c r="L429" s="89">
        <v>413</v>
      </c>
      <c r="M429" s="186" t="e">
        <f t="shared" si="66"/>
        <v>#DIV/0!</v>
      </c>
      <c r="N429" s="171" t="e">
        <f t="shared" si="67"/>
        <v>#DIV/0!</v>
      </c>
      <c r="O429" s="171" t="e">
        <f t="shared" si="60"/>
        <v>#DIV/0!</v>
      </c>
      <c r="P429" s="171" t="e">
        <f t="shared" si="68"/>
        <v>#DIV/0!</v>
      </c>
      <c r="Q429" s="171" t="e">
        <f t="shared" si="69"/>
        <v>#DIV/0!</v>
      </c>
      <c r="R429" s="186">
        <f>IF('prijem - EUR-viac-domacnosti'!$I$120=TRUE,IF($C$11&gt;0,0.00025*N428,0),IF('prijem - EUR-viac-domacnosti'!$I$121=TRUE,IF('prijem - EUR-viac-domacnosti'!$F$121&gt;0,0.00025*N428*-1,0),0))</f>
        <v>0</v>
      </c>
    </row>
    <row r="430" spans="1:18" x14ac:dyDescent="0.2">
      <c r="A430" s="89">
        <v>414</v>
      </c>
      <c r="B430" s="186" t="e">
        <f t="shared" si="61"/>
        <v>#NUM!</v>
      </c>
      <c r="C430" s="171" t="e">
        <f t="shared" si="62"/>
        <v>#NUM!</v>
      </c>
      <c r="D430" s="171" t="e">
        <f t="shared" si="63"/>
        <v>#NUM!</v>
      </c>
      <c r="E430" s="171" t="e">
        <f t="shared" si="64"/>
        <v>#NUM!</v>
      </c>
      <c r="F430" s="171" t="e">
        <f t="shared" si="65"/>
        <v>#NUM!</v>
      </c>
      <c r="G430" s="186">
        <f>IF('prijem - EUR-viac-domacnosti'!$I$120=TRUE,IF($C$11&gt;0,0.00025*C429,0),IF('prijem - EUR-viac-domacnosti'!$I$121=TRUE,IF('prijem - EUR-viac-domacnosti'!$F$121&gt;0,0.00025*C429,0),0))</f>
        <v>0</v>
      </c>
      <c r="L430" s="89">
        <v>414</v>
      </c>
      <c r="M430" s="186" t="e">
        <f t="shared" si="66"/>
        <v>#DIV/0!</v>
      </c>
      <c r="N430" s="171" t="e">
        <f t="shared" si="67"/>
        <v>#DIV/0!</v>
      </c>
      <c r="O430" s="171" t="e">
        <f t="shared" si="60"/>
        <v>#DIV/0!</v>
      </c>
      <c r="P430" s="171" t="e">
        <f t="shared" si="68"/>
        <v>#DIV/0!</v>
      </c>
      <c r="Q430" s="171" t="e">
        <f t="shared" si="69"/>
        <v>#DIV/0!</v>
      </c>
      <c r="R430" s="186">
        <f>IF('prijem - EUR-viac-domacnosti'!$I$120=TRUE,IF($C$11&gt;0,0.00025*N429,0),IF('prijem - EUR-viac-domacnosti'!$I$121=TRUE,IF('prijem - EUR-viac-domacnosti'!$F$121&gt;0,0.00025*N429*-1,0),0))</f>
        <v>0</v>
      </c>
    </row>
    <row r="431" spans="1:18" x14ac:dyDescent="0.2">
      <c r="A431" s="89">
        <v>415</v>
      </c>
      <c r="B431" s="186" t="e">
        <f t="shared" si="61"/>
        <v>#NUM!</v>
      </c>
      <c r="C431" s="171" t="e">
        <f t="shared" si="62"/>
        <v>#NUM!</v>
      </c>
      <c r="D431" s="171" t="e">
        <f t="shared" si="63"/>
        <v>#NUM!</v>
      </c>
      <c r="E431" s="171" t="e">
        <f t="shared" si="64"/>
        <v>#NUM!</v>
      </c>
      <c r="F431" s="171" t="e">
        <f t="shared" si="65"/>
        <v>#NUM!</v>
      </c>
      <c r="G431" s="186">
        <f>IF('prijem - EUR-viac-domacnosti'!$I$120=TRUE,IF($C$11&gt;0,0.00025*C430,0),IF('prijem - EUR-viac-domacnosti'!$I$121=TRUE,IF('prijem - EUR-viac-domacnosti'!$F$121&gt;0,0.00025*C430,0),0))</f>
        <v>0</v>
      </c>
      <c r="L431" s="89">
        <v>415</v>
      </c>
      <c r="M431" s="186" t="e">
        <f t="shared" si="66"/>
        <v>#DIV/0!</v>
      </c>
      <c r="N431" s="171" t="e">
        <f t="shared" si="67"/>
        <v>#DIV/0!</v>
      </c>
      <c r="O431" s="171" t="e">
        <f t="shared" si="60"/>
        <v>#DIV/0!</v>
      </c>
      <c r="P431" s="171" t="e">
        <f t="shared" si="68"/>
        <v>#DIV/0!</v>
      </c>
      <c r="Q431" s="171" t="e">
        <f t="shared" si="69"/>
        <v>#DIV/0!</v>
      </c>
      <c r="R431" s="186">
        <f>IF('prijem - EUR-viac-domacnosti'!$I$120=TRUE,IF($C$11&gt;0,0.00025*N430,0),IF('prijem - EUR-viac-domacnosti'!$I$121=TRUE,IF('prijem - EUR-viac-domacnosti'!$F$121&gt;0,0.00025*N430*-1,0),0))</f>
        <v>0</v>
      </c>
    </row>
    <row r="432" spans="1:18" x14ac:dyDescent="0.2">
      <c r="A432" s="89">
        <v>416</v>
      </c>
      <c r="B432" s="186" t="e">
        <f t="shared" si="61"/>
        <v>#NUM!</v>
      </c>
      <c r="C432" s="171" t="e">
        <f t="shared" si="62"/>
        <v>#NUM!</v>
      </c>
      <c r="D432" s="171" t="e">
        <f t="shared" si="63"/>
        <v>#NUM!</v>
      </c>
      <c r="E432" s="171" t="e">
        <f t="shared" si="64"/>
        <v>#NUM!</v>
      </c>
      <c r="F432" s="171" t="e">
        <f t="shared" si="65"/>
        <v>#NUM!</v>
      </c>
      <c r="G432" s="186">
        <f>IF('prijem - EUR-viac-domacnosti'!$I$120=TRUE,IF($C$11&gt;0,0.00025*C431,0),IF('prijem - EUR-viac-domacnosti'!$I$121=TRUE,IF('prijem - EUR-viac-domacnosti'!$F$121&gt;0,0.00025*C431,0),0))</f>
        <v>0</v>
      </c>
      <c r="L432" s="89">
        <v>416</v>
      </c>
      <c r="M432" s="186" t="e">
        <f t="shared" si="66"/>
        <v>#DIV/0!</v>
      </c>
      <c r="N432" s="171" t="e">
        <f t="shared" si="67"/>
        <v>#DIV/0!</v>
      </c>
      <c r="O432" s="171" t="e">
        <f t="shared" si="60"/>
        <v>#DIV/0!</v>
      </c>
      <c r="P432" s="171" t="e">
        <f t="shared" si="68"/>
        <v>#DIV/0!</v>
      </c>
      <c r="Q432" s="171" t="e">
        <f t="shared" si="69"/>
        <v>#DIV/0!</v>
      </c>
      <c r="R432" s="186">
        <f>IF('prijem - EUR-viac-domacnosti'!$I$120=TRUE,IF($C$11&gt;0,0.00025*N431,0),IF('prijem - EUR-viac-domacnosti'!$I$121=TRUE,IF('prijem - EUR-viac-domacnosti'!$F$121&gt;0,0.00025*N431*-1,0),0))</f>
        <v>0</v>
      </c>
    </row>
    <row r="433" spans="1:18" x14ac:dyDescent="0.2">
      <c r="A433" s="89">
        <v>417</v>
      </c>
      <c r="B433" s="186" t="e">
        <f t="shared" si="61"/>
        <v>#NUM!</v>
      </c>
      <c r="C433" s="171" t="e">
        <f t="shared" si="62"/>
        <v>#NUM!</v>
      </c>
      <c r="D433" s="171" t="e">
        <f t="shared" si="63"/>
        <v>#NUM!</v>
      </c>
      <c r="E433" s="171" t="e">
        <f t="shared" si="64"/>
        <v>#NUM!</v>
      </c>
      <c r="F433" s="171" t="e">
        <f t="shared" si="65"/>
        <v>#NUM!</v>
      </c>
      <c r="G433" s="186">
        <f>IF('prijem - EUR-viac-domacnosti'!$I$120=TRUE,IF($C$11&gt;0,0.00025*C432,0),IF('prijem - EUR-viac-domacnosti'!$I$121=TRUE,IF('prijem - EUR-viac-domacnosti'!$F$121&gt;0,0.00025*C432,0),0))</f>
        <v>0</v>
      </c>
      <c r="L433" s="89">
        <v>417</v>
      </c>
      <c r="M433" s="186" t="e">
        <f t="shared" si="66"/>
        <v>#DIV/0!</v>
      </c>
      <c r="N433" s="171" t="e">
        <f t="shared" si="67"/>
        <v>#DIV/0!</v>
      </c>
      <c r="O433" s="171" t="e">
        <f t="shared" si="60"/>
        <v>#DIV/0!</v>
      </c>
      <c r="P433" s="171" t="e">
        <f t="shared" si="68"/>
        <v>#DIV/0!</v>
      </c>
      <c r="Q433" s="171" t="e">
        <f t="shared" si="69"/>
        <v>#DIV/0!</v>
      </c>
      <c r="R433" s="186">
        <f>IF('prijem - EUR-viac-domacnosti'!$I$120=TRUE,IF($C$11&gt;0,0.00025*N432,0),IF('prijem - EUR-viac-domacnosti'!$I$121=TRUE,IF('prijem - EUR-viac-domacnosti'!$F$121&gt;0,0.00025*N432*-1,0),0))</f>
        <v>0</v>
      </c>
    </row>
    <row r="434" spans="1:18" x14ac:dyDescent="0.2">
      <c r="A434" s="89">
        <v>418</v>
      </c>
      <c r="B434" s="186" t="e">
        <f t="shared" si="61"/>
        <v>#NUM!</v>
      </c>
      <c r="C434" s="171" t="e">
        <f t="shared" si="62"/>
        <v>#NUM!</v>
      </c>
      <c r="D434" s="171" t="e">
        <f t="shared" si="63"/>
        <v>#NUM!</v>
      </c>
      <c r="E434" s="171" t="e">
        <f t="shared" si="64"/>
        <v>#NUM!</v>
      </c>
      <c r="F434" s="171" t="e">
        <f t="shared" si="65"/>
        <v>#NUM!</v>
      </c>
      <c r="G434" s="186">
        <f>IF('prijem - EUR-viac-domacnosti'!$I$120=TRUE,IF($C$11&gt;0,0.00025*C433,0),IF('prijem - EUR-viac-domacnosti'!$I$121=TRUE,IF('prijem - EUR-viac-domacnosti'!$F$121&gt;0,0.00025*C433,0),0))</f>
        <v>0</v>
      </c>
      <c r="L434" s="89">
        <v>418</v>
      </c>
      <c r="M434" s="186" t="e">
        <f t="shared" si="66"/>
        <v>#DIV/0!</v>
      </c>
      <c r="N434" s="171" t="e">
        <f t="shared" si="67"/>
        <v>#DIV/0!</v>
      </c>
      <c r="O434" s="171" t="e">
        <f t="shared" si="60"/>
        <v>#DIV/0!</v>
      </c>
      <c r="P434" s="171" t="e">
        <f t="shared" si="68"/>
        <v>#DIV/0!</v>
      </c>
      <c r="Q434" s="171" t="e">
        <f t="shared" si="69"/>
        <v>#DIV/0!</v>
      </c>
      <c r="R434" s="186">
        <f>IF('prijem - EUR-viac-domacnosti'!$I$120=TRUE,IF($C$11&gt;0,0.00025*N433,0),IF('prijem - EUR-viac-domacnosti'!$I$121=TRUE,IF('prijem - EUR-viac-domacnosti'!$F$121&gt;0,0.00025*N433*-1,0),0))</f>
        <v>0</v>
      </c>
    </row>
    <row r="435" spans="1:18" x14ac:dyDescent="0.2">
      <c r="A435" s="89">
        <v>419</v>
      </c>
      <c r="B435" s="186" t="e">
        <f t="shared" si="61"/>
        <v>#NUM!</v>
      </c>
      <c r="C435" s="171" t="e">
        <f t="shared" si="62"/>
        <v>#NUM!</v>
      </c>
      <c r="D435" s="171" t="e">
        <f t="shared" si="63"/>
        <v>#NUM!</v>
      </c>
      <c r="E435" s="171" t="e">
        <f t="shared" si="64"/>
        <v>#NUM!</v>
      </c>
      <c r="F435" s="171" t="e">
        <f t="shared" si="65"/>
        <v>#NUM!</v>
      </c>
      <c r="G435" s="186">
        <f>IF('prijem - EUR-viac-domacnosti'!$I$120=TRUE,IF($C$11&gt;0,0.00025*C434,0),IF('prijem - EUR-viac-domacnosti'!$I$121=TRUE,IF('prijem - EUR-viac-domacnosti'!$F$121&gt;0,0.00025*C434,0),0))</f>
        <v>0</v>
      </c>
      <c r="L435" s="89">
        <v>419</v>
      </c>
      <c r="M435" s="186" t="e">
        <f t="shared" si="66"/>
        <v>#DIV/0!</v>
      </c>
      <c r="N435" s="171" t="e">
        <f t="shared" si="67"/>
        <v>#DIV/0!</v>
      </c>
      <c r="O435" s="171" t="e">
        <f t="shared" si="60"/>
        <v>#DIV/0!</v>
      </c>
      <c r="P435" s="171" t="e">
        <f t="shared" si="68"/>
        <v>#DIV/0!</v>
      </c>
      <c r="Q435" s="171" t="e">
        <f t="shared" si="69"/>
        <v>#DIV/0!</v>
      </c>
      <c r="R435" s="186">
        <f>IF('prijem - EUR-viac-domacnosti'!$I$120=TRUE,IF($C$11&gt;0,0.00025*N434,0),IF('prijem - EUR-viac-domacnosti'!$I$121=TRUE,IF('prijem - EUR-viac-domacnosti'!$F$121&gt;0,0.00025*N434*-1,0),0))</f>
        <v>0</v>
      </c>
    </row>
    <row r="436" spans="1:18" x14ac:dyDescent="0.2">
      <c r="A436" s="89">
        <v>420</v>
      </c>
      <c r="B436" s="186" t="e">
        <f t="shared" si="61"/>
        <v>#NUM!</v>
      </c>
      <c r="C436" s="171" t="e">
        <f t="shared" si="62"/>
        <v>#NUM!</v>
      </c>
      <c r="D436" s="171" t="e">
        <f t="shared" si="63"/>
        <v>#NUM!</v>
      </c>
      <c r="E436" s="171" t="e">
        <f t="shared" si="64"/>
        <v>#NUM!</v>
      </c>
      <c r="F436" s="171" t="e">
        <f t="shared" si="65"/>
        <v>#NUM!</v>
      </c>
      <c r="G436" s="186">
        <f>IF('prijem - EUR-viac-domacnosti'!$I$120=TRUE,IF($C$11&gt;0,0.00025*C435,0),IF('prijem - EUR-viac-domacnosti'!$I$121=TRUE,IF('prijem - EUR-viac-domacnosti'!$F$121&gt;0,0.00025*C435,0),0))</f>
        <v>0</v>
      </c>
      <c r="L436" s="89">
        <v>420</v>
      </c>
      <c r="M436" s="186" t="e">
        <f t="shared" si="66"/>
        <v>#DIV/0!</v>
      </c>
      <c r="N436" s="171" t="e">
        <f t="shared" si="67"/>
        <v>#DIV/0!</v>
      </c>
      <c r="O436" s="171" t="e">
        <f t="shared" si="60"/>
        <v>#DIV/0!</v>
      </c>
      <c r="P436" s="171" t="e">
        <f t="shared" si="68"/>
        <v>#DIV/0!</v>
      </c>
      <c r="Q436" s="171" t="e">
        <f t="shared" si="69"/>
        <v>#DIV/0!</v>
      </c>
      <c r="R436" s="186">
        <f>IF('prijem - EUR-viac-domacnosti'!$I$120=TRUE,IF($C$11&gt;0,0.00025*N435,0),IF('prijem - EUR-viac-domacnosti'!$I$121=TRUE,IF('prijem - EUR-viac-domacnosti'!$F$121&gt;0,0.00025*N435*-1,0),0))</f>
        <v>0</v>
      </c>
    </row>
    <row r="437" spans="1:18" x14ac:dyDescent="0.2">
      <c r="A437" s="89">
        <v>421</v>
      </c>
      <c r="B437" s="186" t="e">
        <f t="shared" si="61"/>
        <v>#NUM!</v>
      </c>
      <c r="C437" s="171" t="e">
        <f t="shared" si="62"/>
        <v>#NUM!</v>
      </c>
      <c r="D437" s="171" t="e">
        <f t="shared" si="63"/>
        <v>#NUM!</v>
      </c>
      <c r="E437" s="171" t="e">
        <f t="shared" si="64"/>
        <v>#NUM!</v>
      </c>
      <c r="F437" s="171" t="e">
        <f t="shared" si="65"/>
        <v>#NUM!</v>
      </c>
      <c r="G437" s="186">
        <f>IF('prijem - EUR-viac-domacnosti'!$I$120=TRUE,IF($C$11&gt;0,0.00025*C436,0),IF('prijem - EUR-viac-domacnosti'!$I$121=TRUE,IF('prijem - EUR-viac-domacnosti'!$F$121&gt;0,0.00025*C436,0),0))</f>
        <v>0</v>
      </c>
      <c r="L437" s="89">
        <v>421</v>
      </c>
      <c r="M437" s="186" t="e">
        <f t="shared" si="66"/>
        <v>#DIV/0!</v>
      </c>
      <c r="N437" s="171" t="e">
        <f t="shared" si="67"/>
        <v>#DIV/0!</v>
      </c>
      <c r="O437" s="171" t="e">
        <f t="shared" si="60"/>
        <v>#DIV/0!</v>
      </c>
      <c r="P437" s="171" t="e">
        <f t="shared" si="68"/>
        <v>#DIV/0!</v>
      </c>
      <c r="Q437" s="171" t="e">
        <f t="shared" si="69"/>
        <v>#DIV/0!</v>
      </c>
      <c r="R437" s="186">
        <f>IF('prijem - EUR-viac-domacnosti'!$I$120=TRUE,IF($C$11&gt;0,0.00025*N436,0),IF('prijem - EUR-viac-domacnosti'!$I$121=TRUE,IF('prijem - EUR-viac-domacnosti'!$F$121&gt;0,0.00025*N436*-1,0),0))</f>
        <v>0</v>
      </c>
    </row>
    <row r="438" spans="1:18" x14ac:dyDescent="0.2">
      <c r="A438" s="89">
        <v>422</v>
      </c>
      <c r="B438" s="186" t="e">
        <f t="shared" si="61"/>
        <v>#NUM!</v>
      </c>
      <c r="C438" s="171" t="e">
        <f t="shared" si="62"/>
        <v>#NUM!</v>
      </c>
      <c r="D438" s="171" t="e">
        <f t="shared" si="63"/>
        <v>#NUM!</v>
      </c>
      <c r="E438" s="171" t="e">
        <f t="shared" si="64"/>
        <v>#NUM!</v>
      </c>
      <c r="F438" s="171" t="e">
        <f t="shared" si="65"/>
        <v>#NUM!</v>
      </c>
      <c r="G438" s="186">
        <f>IF('prijem - EUR-viac-domacnosti'!$I$120=TRUE,IF($C$11&gt;0,0.00025*C437,0),IF('prijem - EUR-viac-domacnosti'!$I$121=TRUE,IF('prijem - EUR-viac-domacnosti'!$F$121&gt;0,0.00025*C437,0),0))</f>
        <v>0</v>
      </c>
      <c r="L438" s="89">
        <v>422</v>
      </c>
      <c r="M438" s="186" t="e">
        <f t="shared" si="66"/>
        <v>#DIV/0!</v>
      </c>
      <c r="N438" s="171" t="e">
        <f t="shared" si="67"/>
        <v>#DIV/0!</v>
      </c>
      <c r="O438" s="171" t="e">
        <f t="shared" si="60"/>
        <v>#DIV/0!</v>
      </c>
      <c r="P438" s="171" t="e">
        <f t="shared" si="68"/>
        <v>#DIV/0!</v>
      </c>
      <c r="Q438" s="171" t="e">
        <f t="shared" si="69"/>
        <v>#DIV/0!</v>
      </c>
      <c r="R438" s="186">
        <f>IF('prijem - EUR-viac-domacnosti'!$I$120=TRUE,IF($C$11&gt;0,0.00025*N437,0),IF('prijem - EUR-viac-domacnosti'!$I$121=TRUE,IF('prijem - EUR-viac-domacnosti'!$F$121&gt;0,0.00025*N437*-1,0),0))</f>
        <v>0</v>
      </c>
    </row>
    <row r="439" spans="1:18" x14ac:dyDescent="0.2">
      <c r="A439" s="89">
        <v>423</v>
      </c>
      <c r="B439" s="186" t="e">
        <f t="shared" si="61"/>
        <v>#NUM!</v>
      </c>
      <c r="C439" s="171" t="e">
        <f t="shared" si="62"/>
        <v>#NUM!</v>
      </c>
      <c r="D439" s="171" t="e">
        <f t="shared" si="63"/>
        <v>#NUM!</v>
      </c>
      <c r="E439" s="171" t="e">
        <f t="shared" si="64"/>
        <v>#NUM!</v>
      </c>
      <c r="F439" s="171" t="e">
        <f t="shared" si="65"/>
        <v>#NUM!</v>
      </c>
      <c r="G439" s="186">
        <f>IF('prijem - EUR-viac-domacnosti'!$I$120=TRUE,IF($C$11&gt;0,0.00025*C438,0),IF('prijem - EUR-viac-domacnosti'!$I$121=TRUE,IF('prijem - EUR-viac-domacnosti'!$F$121&gt;0,0.00025*C438,0),0))</f>
        <v>0</v>
      </c>
      <c r="L439" s="89">
        <v>423</v>
      </c>
      <c r="M439" s="186" t="e">
        <f t="shared" si="66"/>
        <v>#DIV/0!</v>
      </c>
      <c r="N439" s="171" t="e">
        <f t="shared" si="67"/>
        <v>#DIV/0!</v>
      </c>
      <c r="O439" s="171" t="e">
        <f t="shared" si="60"/>
        <v>#DIV/0!</v>
      </c>
      <c r="P439" s="171" t="e">
        <f t="shared" si="68"/>
        <v>#DIV/0!</v>
      </c>
      <c r="Q439" s="171" t="e">
        <f t="shared" si="69"/>
        <v>#DIV/0!</v>
      </c>
      <c r="R439" s="186">
        <f>IF('prijem - EUR-viac-domacnosti'!$I$120=TRUE,IF($C$11&gt;0,0.00025*N438,0),IF('prijem - EUR-viac-domacnosti'!$I$121=TRUE,IF('prijem - EUR-viac-domacnosti'!$F$121&gt;0,0.00025*N438*-1,0),0))</f>
        <v>0</v>
      </c>
    </row>
    <row r="440" spans="1:18" x14ac:dyDescent="0.2">
      <c r="A440" s="89">
        <v>424</v>
      </c>
      <c r="B440" s="186" t="e">
        <f t="shared" si="61"/>
        <v>#NUM!</v>
      </c>
      <c r="C440" s="171" t="e">
        <f t="shared" si="62"/>
        <v>#NUM!</v>
      </c>
      <c r="D440" s="171" t="e">
        <f t="shared" si="63"/>
        <v>#NUM!</v>
      </c>
      <c r="E440" s="171" t="e">
        <f t="shared" si="64"/>
        <v>#NUM!</v>
      </c>
      <c r="F440" s="171" t="e">
        <f t="shared" si="65"/>
        <v>#NUM!</v>
      </c>
      <c r="G440" s="186">
        <f>IF('prijem - EUR-viac-domacnosti'!$I$120=TRUE,IF($C$11&gt;0,0.00025*C439,0),IF('prijem - EUR-viac-domacnosti'!$I$121=TRUE,IF('prijem - EUR-viac-domacnosti'!$F$121&gt;0,0.00025*C439,0),0))</f>
        <v>0</v>
      </c>
      <c r="L440" s="89">
        <v>424</v>
      </c>
      <c r="M440" s="186" t="e">
        <f t="shared" si="66"/>
        <v>#DIV/0!</v>
      </c>
      <c r="N440" s="171" t="e">
        <f t="shared" si="67"/>
        <v>#DIV/0!</v>
      </c>
      <c r="O440" s="171" t="e">
        <f t="shared" si="60"/>
        <v>#DIV/0!</v>
      </c>
      <c r="P440" s="171" t="e">
        <f t="shared" si="68"/>
        <v>#DIV/0!</v>
      </c>
      <c r="Q440" s="171" t="e">
        <f t="shared" si="69"/>
        <v>#DIV/0!</v>
      </c>
      <c r="R440" s="186">
        <f>IF('prijem - EUR-viac-domacnosti'!$I$120=TRUE,IF($C$11&gt;0,0.00025*N439,0),IF('prijem - EUR-viac-domacnosti'!$I$121=TRUE,IF('prijem - EUR-viac-domacnosti'!$F$121&gt;0,0.00025*N439*-1,0),0))</f>
        <v>0</v>
      </c>
    </row>
    <row r="441" spans="1:18" x14ac:dyDescent="0.2">
      <c r="A441" s="89">
        <v>425</v>
      </c>
      <c r="B441" s="186" t="e">
        <f t="shared" si="61"/>
        <v>#NUM!</v>
      </c>
      <c r="C441" s="171" t="e">
        <f t="shared" si="62"/>
        <v>#NUM!</v>
      </c>
      <c r="D441" s="171" t="e">
        <f t="shared" si="63"/>
        <v>#NUM!</v>
      </c>
      <c r="E441" s="171" t="e">
        <f t="shared" si="64"/>
        <v>#NUM!</v>
      </c>
      <c r="F441" s="171" t="e">
        <f t="shared" si="65"/>
        <v>#NUM!</v>
      </c>
      <c r="G441" s="186">
        <f>IF('prijem - EUR-viac-domacnosti'!$I$120=TRUE,IF($C$11&gt;0,0.00025*C440,0),IF('prijem - EUR-viac-domacnosti'!$I$121=TRUE,IF('prijem - EUR-viac-domacnosti'!$F$121&gt;0,0.00025*C440,0),0))</f>
        <v>0</v>
      </c>
      <c r="L441" s="89">
        <v>425</v>
      </c>
      <c r="M441" s="186" t="e">
        <f t="shared" si="66"/>
        <v>#DIV/0!</v>
      </c>
      <c r="N441" s="171" t="e">
        <f t="shared" si="67"/>
        <v>#DIV/0!</v>
      </c>
      <c r="O441" s="171" t="e">
        <f t="shared" si="60"/>
        <v>#DIV/0!</v>
      </c>
      <c r="P441" s="171" t="e">
        <f t="shared" si="68"/>
        <v>#DIV/0!</v>
      </c>
      <c r="Q441" s="171" t="e">
        <f t="shared" si="69"/>
        <v>#DIV/0!</v>
      </c>
      <c r="R441" s="186">
        <f>IF('prijem - EUR-viac-domacnosti'!$I$120=TRUE,IF($C$11&gt;0,0.00025*N440,0),IF('prijem - EUR-viac-domacnosti'!$I$121=TRUE,IF('prijem - EUR-viac-domacnosti'!$F$121&gt;0,0.00025*N440*-1,0),0))</f>
        <v>0</v>
      </c>
    </row>
    <row r="442" spans="1:18" x14ac:dyDescent="0.2">
      <c r="A442" s="89">
        <v>426</v>
      </c>
      <c r="B442" s="186" t="e">
        <f t="shared" si="61"/>
        <v>#NUM!</v>
      </c>
      <c r="C442" s="171" t="e">
        <f t="shared" si="62"/>
        <v>#NUM!</v>
      </c>
      <c r="D442" s="171" t="e">
        <f t="shared" si="63"/>
        <v>#NUM!</v>
      </c>
      <c r="E442" s="171" t="e">
        <f t="shared" si="64"/>
        <v>#NUM!</v>
      </c>
      <c r="F442" s="171" t="e">
        <f t="shared" si="65"/>
        <v>#NUM!</v>
      </c>
      <c r="G442" s="186">
        <f>IF('prijem - EUR-viac-domacnosti'!$I$120=TRUE,IF($C$11&gt;0,0.00025*C441,0),IF('prijem - EUR-viac-domacnosti'!$I$121=TRUE,IF('prijem - EUR-viac-domacnosti'!$F$121&gt;0,0.00025*C441,0),0))</f>
        <v>0</v>
      </c>
      <c r="L442" s="89">
        <v>426</v>
      </c>
      <c r="M442" s="186" t="e">
        <f t="shared" si="66"/>
        <v>#DIV/0!</v>
      </c>
      <c r="N442" s="171" t="e">
        <f t="shared" si="67"/>
        <v>#DIV/0!</v>
      </c>
      <c r="O442" s="171" t="e">
        <f t="shared" si="60"/>
        <v>#DIV/0!</v>
      </c>
      <c r="P442" s="171" t="e">
        <f t="shared" si="68"/>
        <v>#DIV/0!</v>
      </c>
      <c r="Q442" s="171" t="e">
        <f t="shared" si="69"/>
        <v>#DIV/0!</v>
      </c>
      <c r="R442" s="186">
        <f>IF('prijem - EUR-viac-domacnosti'!$I$120=TRUE,IF($C$11&gt;0,0.00025*N441,0),IF('prijem - EUR-viac-domacnosti'!$I$121=TRUE,IF('prijem - EUR-viac-domacnosti'!$F$121&gt;0,0.00025*N441*-1,0),0))</f>
        <v>0</v>
      </c>
    </row>
    <row r="443" spans="1:18" x14ac:dyDescent="0.2">
      <c r="A443" s="89">
        <v>427</v>
      </c>
      <c r="B443" s="186" t="e">
        <f t="shared" si="61"/>
        <v>#NUM!</v>
      </c>
      <c r="C443" s="171" t="e">
        <f t="shared" si="62"/>
        <v>#NUM!</v>
      </c>
      <c r="D443" s="171" t="e">
        <f t="shared" si="63"/>
        <v>#NUM!</v>
      </c>
      <c r="E443" s="171" t="e">
        <f t="shared" si="64"/>
        <v>#NUM!</v>
      </c>
      <c r="F443" s="171" t="e">
        <f t="shared" si="65"/>
        <v>#NUM!</v>
      </c>
      <c r="G443" s="186">
        <f>IF('prijem - EUR-viac-domacnosti'!$I$120=TRUE,IF($C$11&gt;0,0.00025*C442,0),IF('prijem - EUR-viac-domacnosti'!$I$121=TRUE,IF('prijem - EUR-viac-domacnosti'!$F$121&gt;0,0.00025*C442,0),0))</f>
        <v>0</v>
      </c>
      <c r="L443" s="89">
        <v>427</v>
      </c>
      <c r="M443" s="186" t="e">
        <f t="shared" si="66"/>
        <v>#DIV/0!</v>
      </c>
      <c r="N443" s="171" t="e">
        <f t="shared" si="67"/>
        <v>#DIV/0!</v>
      </c>
      <c r="O443" s="171" t="e">
        <f t="shared" si="60"/>
        <v>#DIV/0!</v>
      </c>
      <c r="P443" s="171" t="e">
        <f t="shared" si="68"/>
        <v>#DIV/0!</v>
      </c>
      <c r="Q443" s="171" t="e">
        <f t="shared" si="69"/>
        <v>#DIV/0!</v>
      </c>
      <c r="R443" s="186">
        <f>IF('prijem - EUR-viac-domacnosti'!$I$120=TRUE,IF($C$11&gt;0,0.00025*N442,0),IF('prijem - EUR-viac-domacnosti'!$I$121=TRUE,IF('prijem - EUR-viac-domacnosti'!$F$121&gt;0,0.00025*N442*-1,0),0))</f>
        <v>0</v>
      </c>
    </row>
    <row r="444" spans="1:18" x14ac:dyDescent="0.2">
      <c r="A444" s="89">
        <v>428</v>
      </c>
      <c r="B444" s="186" t="e">
        <f t="shared" si="61"/>
        <v>#NUM!</v>
      </c>
      <c r="C444" s="171" t="e">
        <f t="shared" si="62"/>
        <v>#NUM!</v>
      </c>
      <c r="D444" s="171" t="e">
        <f t="shared" si="63"/>
        <v>#NUM!</v>
      </c>
      <c r="E444" s="171" t="e">
        <f t="shared" si="64"/>
        <v>#NUM!</v>
      </c>
      <c r="F444" s="171" t="e">
        <f t="shared" si="65"/>
        <v>#NUM!</v>
      </c>
      <c r="G444" s="186">
        <f>IF('prijem - EUR-viac-domacnosti'!$I$120=TRUE,IF($C$11&gt;0,0.00025*C443,0),IF('prijem - EUR-viac-domacnosti'!$I$121=TRUE,IF('prijem - EUR-viac-domacnosti'!$F$121&gt;0,0.00025*C443,0),0))</f>
        <v>0</v>
      </c>
      <c r="L444" s="89">
        <v>428</v>
      </c>
      <c r="M444" s="186" t="e">
        <f t="shared" si="66"/>
        <v>#DIV/0!</v>
      </c>
      <c r="N444" s="171" t="e">
        <f t="shared" si="67"/>
        <v>#DIV/0!</v>
      </c>
      <c r="O444" s="171" t="e">
        <f t="shared" si="60"/>
        <v>#DIV/0!</v>
      </c>
      <c r="P444" s="171" t="e">
        <f t="shared" si="68"/>
        <v>#DIV/0!</v>
      </c>
      <c r="Q444" s="171" t="e">
        <f t="shared" si="69"/>
        <v>#DIV/0!</v>
      </c>
      <c r="R444" s="186">
        <f>IF('prijem - EUR-viac-domacnosti'!$I$120=TRUE,IF($C$11&gt;0,0.00025*N443,0),IF('prijem - EUR-viac-domacnosti'!$I$121=TRUE,IF('prijem - EUR-viac-domacnosti'!$F$121&gt;0,0.00025*N443*-1,0),0))</f>
        <v>0</v>
      </c>
    </row>
    <row r="445" spans="1:18" x14ac:dyDescent="0.2">
      <c r="A445" s="89">
        <v>429</v>
      </c>
      <c r="B445" s="186" t="e">
        <f t="shared" si="61"/>
        <v>#NUM!</v>
      </c>
      <c r="C445" s="171" t="e">
        <f t="shared" si="62"/>
        <v>#NUM!</v>
      </c>
      <c r="D445" s="171" t="e">
        <f t="shared" si="63"/>
        <v>#NUM!</v>
      </c>
      <c r="E445" s="171" t="e">
        <f t="shared" si="64"/>
        <v>#NUM!</v>
      </c>
      <c r="F445" s="171" t="e">
        <f t="shared" si="65"/>
        <v>#NUM!</v>
      </c>
      <c r="G445" s="186">
        <f>IF('prijem - EUR-viac-domacnosti'!$I$120=TRUE,IF($C$11&gt;0,0.00025*C444,0),IF('prijem - EUR-viac-domacnosti'!$I$121=TRUE,IF('prijem - EUR-viac-domacnosti'!$F$121&gt;0,0.00025*C444,0),0))</f>
        <v>0</v>
      </c>
      <c r="L445" s="89">
        <v>429</v>
      </c>
      <c r="M445" s="186" t="e">
        <f t="shared" si="66"/>
        <v>#DIV/0!</v>
      </c>
      <c r="N445" s="171" t="e">
        <f t="shared" si="67"/>
        <v>#DIV/0!</v>
      </c>
      <c r="O445" s="171" t="e">
        <f t="shared" si="60"/>
        <v>#DIV/0!</v>
      </c>
      <c r="P445" s="171" t="e">
        <f t="shared" si="68"/>
        <v>#DIV/0!</v>
      </c>
      <c r="Q445" s="171" t="e">
        <f t="shared" si="69"/>
        <v>#DIV/0!</v>
      </c>
      <c r="R445" s="186">
        <f>IF('prijem - EUR-viac-domacnosti'!$I$120=TRUE,IF($C$11&gt;0,0.00025*N444,0),IF('prijem - EUR-viac-domacnosti'!$I$121=TRUE,IF('prijem - EUR-viac-domacnosti'!$F$121&gt;0,0.00025*N444*-1,0),0))</f>
        <v>0</v>
      </c>
    </row>
    <row r="446" spans="1:18" x14ac:dyDescent="0.2">
      <c r="A446" s="89">
        <v>430</v>
      </c>
      <c r="B446" s="186" t="e">
        <f t="shared" si="61"/>
        <v>#NUM!</v>
      </c>
      <c r="C446" s="171" t="e">
        <f t="shared" si="62"/>
        <v>#NUM!</v>
      </c>
      <c r="D446" s="171" t="e">
        <f t="shared" si="63"/>
        <v>#NUM!</v>
      </c>
      <c r="E446" s="171" t="e">
        <f t="shared" si="64"/>
        <v>#NUM!</v>
      </c>
      <c r="F446" s="171" t="e">
        <f t="shared" si="65"/>
        <v>#NUM!</v>
      </c>
      <c r="G446" s="186">
        <f>IF('prijem - EUR-viac-domacnosti'!$I$120=TRUE,IF($C$11&gt;0,0.00025*C445,0),IF('prijem - EUR-viac-domacnosti'!$I$121=TRUE,IF('prijem - EUR-viac-domacnosti'!$F$121&gt;0,0.00025*C445,0),0))</f>
        <v>0</v>
      </c>
      <c r="L446" s="89">
        <v>430</v>
      </c>
      <c r="M446" s="186" t="e">
        <f t="shared" si="66"/>
        <v>#DIV/0!</v>
      </c>
      <c r="N446" s="171" t="e">
        <f t="shared" si="67"/>
        <v>#DIV/0!</v>
      </c>
      <c r="O446" s="171" t="e">
        <f t="shared" si="60"/>
        <v>#DIV/0!</v>
      </c>
      <c r="P446" s="171" t="e">
        <f t="shared" si="68"/>
        <v>#DIV/0!</v>
      </c>
      <c r="Q446" s="171" t="e">
        <f t="shared" si="69"/>
        <v>#DIV/0!</v>
      </c>
      <c r="R446" s="186">
        <f>IF('prijem - EUR-viac-domacnosti'!$I$120=TRUE,IF($C$11&gt;0,0.00025*N445,0),IF('prijem - EUR-viac-domacnosti'!$I$121=TRUE,IF('prijem - EUR-viac-domacnosti'!$F$121&gt;0,0.00025*N445*-1,0),0))</f>
        <v>0</v>
      </c>
    </row>
    <row r="447" spans="1:18" x14ac:dyDescent="0.2">
      <c r="A447" s="89">
        <v>431</v>
      </c>
      <c r="B447" s="186" t="e">
        <f t="shared" si="61"/>
        <v>#NUM!</v>
      </c>
      <c r="C447" s="171" t="e">
        <f t="shared" si="62"/>
        <v>#NUM!</v>
      </c>
      <c r="D447" s="171" t="e">
        <f t="shared" si="63"/>
        <v>#NUM!</v>
      </c>
      <c r="E447" s="171" t="e">
        <f t="shared" si="64"/>
        <v>#NUM!</v>
      </c>
      <c r="F447" s="171" t="e">
        <f t="shared" si="65"/>
        <v>#NUM!</v>
      </c>
      <c r="G447" s="186">
        <f>IF('prijem - EUR-viac-domacnosti'!$I$120=TRUE,IF($C$11&gt;0,0.00025*C446,0),IF('prijem - EUR-viac-domacnosti'!$I$121=TRUE,IF('prijem - EUR-viac-domacnosti'!$F$121&gt;0,0.00025*C446,0),0))</f>
        <v>0</v>
      </c>
      <c r="L447" s="89">
        <v>431</v>
      </c>
      <c r="M447" s="186" t="e">
        <f t="shared" si="66"/>
        <v>#DIV/0!</v>
      </c>
      <c r="N447" s="171" t="e">
        <f t="shared" si="67"/>
        <v>#DIV/0!</v>
      </c>
      <c r="O447" s="171" t="e">
        <f t="shared" si="60"/>
        <v>#DIV/0!</v>
      </c>
      <c r="P447" s="171" t="e">
        <f t="shared" si="68"/>
        <v>#DIV/0!</v>
      </c>
      <c r="Q447" s="171" t="e">
        <f t="shared" si="69"/>
        <v>#DIV/0!</v>
      </c>
      <c r="R447" s="186">
        <f>IF('prijem - EUR-viac-domacnosti'!$I$120=TRUE,IF($C$11&gt;0,0.00025*N446,0),IF('prijem - EUR-viac-domacnosti'!$I$121=TRUE,IF('prijem - EUR-viac-domacnosti'!$F$121&gt;0,0.00025*N446*-1,0),0))</f>
        <v>0</v>
      </c>
    </row>
    <row r="448" spans="1:18" x14ac:dyDescent="0.2">
      <c r="A448" s="89">
        <v>432</v>
      </c>
      <c r="B448" s="186" t="e">
        <f t="shared" si="61"/>
        <v>#NUM!</v>
      </c>
      <c r="C448" s="171" t="e">
        <f t="shared" si="62"/>
        <v>#NUM!</v>
      </c>
      <c r="D448" s="171" t="e">
        <f t="shared" si="63"/>
        <v>#NUM!</v>
      </c>
      <c r="E448" s="171" t="e">
        <f t="shared" si="64"/>
        <v>#NUM!</v>
      </c>
      <c r="F448" s="171" t="e">
        <f t="shared" si="65"/>
        <v>#NUM!</v>
      </c>
      <c r="G448" s="186">
        <f>IF('prijem - EUR-viac-domacnosti'!$I$120=TRUE,IF($C$11&gt;0,0.00025*C447,0),IF('prijem - EUR-viac-domacnosti'!$I$121=TRUE,IF('prijem - EUR-viac-domacnosti'!$F$121&gt;0,0.00025*C447,0),0))</f>
        <v>0</v>
      </c>
      <c r="L448" s="89">
        <v>432</v>
      </c>
      <c r="M448" s="186" t="e">
        <f t="shared" si="66"/>
        <v>#DIV/0!</v>
      </c>
      <c r="N448" s="171" t="e">
        <f t="shared" si="67"/>
        <v>#DIV/0!</v>
      </c>
      <c r="O448" s="171" t="e">
        <f t="shared" si="60"/>
        <v>#DIV/0!</v>
      </c>
      <c r="P448" s="171" t="e">
        <f t="shared" si="68"/>
        <v>#DIV/0!</v>
      </c>
      <c r="Q448" s="171" t="e">
        <f t="shared" si="69"/>
        <v>#DIV/0!</v>
      </c>
      <c r="R448" s="186">
        <f>IF('prijem - EUR-viac-domacnosti'!$I$120=TRUE,IF($C$11&gt;0,0.00025*N447,0),IF('prijem - EUR-viac-domacnosti'!$I$121=TRUE,IF('prijem - EUR-viac-domacnosti'!$F$121&gt;0,0.00025*N447*-1,0),0))</f>
        <v>0</v>
      </c>
    </row>
    <row r="449" spans="1:18" x14ac:dyDescent="0.2">
      <c r="A449" s="89">
        <v>433</v>
      </c>
      <c r="B449" s="186" t="e">
        <f t="shared" si="61"/>
        <v>#NUM!</v>
      </c>
      <c r="C449" s="171" t="e">
        <f t="shared" si="62"/>
        <v>#NUM!</v>
      </c>
      <c r="D449" s="171" t="e">
        <f t="shared" si="63"/>
        <v>#NUM!</v>
      </c>
      <c r="E449" s="171" t="e">
        <f t="shared" si="64"/>
        <v>#NUM!</v>
      </c>
      <c r="F449" s="171" t="e">
        <f t="shared" si="65"/>
        <v>#NUM!</v>
      </c>
      <c r="G449" s="186">
        <f>IF('prijem - EUR-viac-domacnosti'!$I$120=TRUE,IF($C$11&gt;0,0.00025*C448,0),IF('prijem - EUR-viac-domacnosti'!$I$121=TRUE,IF('prijem - EUR-viac-domacnosti'!$F$121&gt;0,0.00025*C448,0),0))</f>
        <v>0</v>
      </c>
      <c r="L449" s="89">
        <v>433</v>
      </c>
      <c r="M449" s="186" t="e">
        <f t="shared" si="66"/>
        <v>#DIV/0!</v>
      </c>
      <c r="N449" s="171" t="e">
        <f t="shared" si="67"/>
        <v>#DIV/0!</v>
      </c>
      <c r="O449" s="171" t="e">
        <f t="shared" si="60"/>
        <v>#DIV/0!</v>
      </c>
      <c r="P449" s="171" t="e">
        <f t="shared" si="68"/>
        <v>#DIV/0!</v>
      </c>
      <c r="Q449" s="171" t="e">
        <f t="shared" si="69"/>
        <v>#DIV/0!</v>
      </c>
      <c r="R449" s="186">
        <f>IF('prijem - EUR-viac-domacnosti'!$I$120=TRUE,IF($C$11&gt;0,0.00025*N448,0),IF('prijem - EUR-viac-domacnosti'!$I$121=TRUE,IF('prijem - EUR-viac-domacnosti'!$F$121&gt;0,0.00025*N448*-1,0),0))</f>
        <v>0</v>
      </c>
    </row>
    <row r="450" spans="1:18" x14ac:dyDescent="0.2">
      <c r="A450" s="89">
        <v>434</v>
      </c>
      <c r="B450" s="186" t="e">
        <f t="shared" si="61"/>
        <v>#NUM!</v>
      </c>
      <c r="C450" s="171" t="e">
        <f t="shared" si="62"/>
        <v>#NUM!</v>
      </c>
      <c r="D450" s="171" t="e">
        <f t="shared" si="63"/>
        <v>#NUM!</v>
      </c>
      <c r="E450" s="171" t="e">
        <f t="shared" si="64"/>
        <v>#NUM!</v>
      </c>
      <c r="F450" s="171" t="e">
        <f t="shared" si="65"/>
        <v>#NUM!</v>
      </c>
      <c r="G450" s="186">
        <f>IF('prijem - EUR-viac-domacnosti'!$I$120=TRUE,IF($C$11&gt;0,0.00025*C449,0),IF('prijem - EUR-viac-domacnosti'!$I$121=TRUE,IF('prijem - EUR-viac-domacnosti'!$F$121&gt;0,0.00025*C449,0),0))</f>
        <v>0</v>
      </c>
      <c r="L450" s="89">
        <v>434</v>
      </c>
      <c r="M450" s="186" t="e">
        <f t="shared" si="66"/>
        <v>#DIV/0!</v>
      </c>
      <c r="N450" s="171" t="e">
        <f t="shared" si="67"/>
        <v>#DIV/0!</v>
      </c>
      <c r="O450" s="171" t="e">
        <f t="shared" si="60"/>
        <v>#DIV/0!</v>
      </c>
      <c r="P450" s="171" t="e">
        <f t="shared" si="68"/>
        <v>#DIV/0!</v>
      </c>
      <c r="Q450" s="171" t="e">
        <f t="shared" si="69"/>
        <v>#DIV/0!</v>
      </c>
      <c r="R450" s="186">
        <f>IF('prijem - EUR-viac-domacnosti'!$I$120=TRUE,IF($C$11&gt;0,0.00025*N449,0),IF('prijem - EUR-viac-domacnosti'!$I$121=TRUE,IF('prijem - EUR-viac-domacnosti'!$F$121&gt;0,0.00025*N449*-1,0),0))</f>
        <v>0</v>
      </c>
    </row>
    <row r="451" spans="1:18" x14ac:dyDescent="0.2">
      <c r="A451" s="89">
        <v>435</v>
      </c>
      <c r="B451" s="186" t="e">
        <f t="shared" si="61"/>
        <v>#NUM!</v>
      </c>
      <c r="C451" s="171" t="e">
        <f t="shared" si="62"/>
        <v>#NUM!</v>
      </c>
      <c r="D451" s="171" t="e">
        <f t="shared" si="63"/>
        <v>#NUM!</v>
      </c>
      <c r="E451" s="171" t="e">
        <f t="shared" si="64"/>
        <v>#NUM!</v>
      </c>
      <c r="F451" s="171" t="e">
        <f t="shared" si="65"/>
        <v>#NUM!</v>
      </c>
      <c r="G451" s="186">
        <f>IF('prijem - EUR-viac-domacnosti'!$I$120=TRUE,IF($C$11&gt;0,0.00025*C450,0),IF('prijem - EUR-viac-domacnosti'!$I$121=TRUE,IF('prijem - EUR-viac-domacnosti'!$F$121&gt;0,0.00025*C450,0),0))</f>
        <v>0</v>
      </c>
      <c r="L451" s="89">
        <v>435</v>
      </c>
      <c r="M451" s="186" t="e">
        <f t="shared" si="66"/>
        <v>#DIV/0!</v>
      </c>
      <c r="N451" s="171" t="e">
        <f t="shared" si="67"/>
        <v>#DIV/0!</v>
      </c>
      <c r="O451" s="171" t="e">
        <f t="shared" si="60"/>
        <v>#DIV/0!</v>
      </c>
      <c r="P451" s="171" t="e">
        <f t="shared" si="68"/>
        <v>#DIV/0!</v>
      </c>
      <c r="Q451" s="171" t="e">
        <f t="shared" si="69"/>
        <v>#DIV/0!</v>
      </c>
      <c r="R451" s="186">
        <f>IF('prijem - EUR-viac-domacnosti'!$I$120=TRUE,IF($C$11&gt;0,0.00025*N450,0),IF('prijem - EUR-viac-domacnosti'!$I$121=TRUE,IF('prijem - EUR-viac-domacnosti'!$F$121&gt;0,0.00025*N450*-1,0),0))</f>
        <v>0</v>
      </c>
    </row>
    <row r="452" spans="1:18" x14ac:dyDescent="0.2">
      <c r="A452" s="89">
        <v>436</v>
      </c>
      <c r="B452" s="186" t="e">
        <f t="shared" si="61"/>
        <v>#NUM!</v>
      </c>
      <c r="C452" s="171" t="e">
        <f t="shared" si="62"/>
        <v>#NUM!</v>
      </c>
      <c r="D452" s="171" t="e">
        <f t="shared" si="63"/>
        <v>#NUM!</v>
      </c>
      <c r="E452" s="171" t="e">
        <f t="shared" si="64"/>
        <v>#NUM!</v>
      </c>
      <c r="F452" s="171" t="e">
        <f t="shared" si="65"/>
        <v>#NUM!</v>
      </c>
      <c r="G452" s="186">
        <f>IF('prijem - EUR-viac-domacnosti'!$I$120=TRUE,IF($C$11&gt;0,0.00025*C451,0),IF('prijem - EUR-viac-domacnosti'!$I$121=TRUE,IF('prijem - EUR-viac-domacnosti'!$F$121&gt;0,0.00025*C451,0),0))</f>
        <v>0</v>
      </c>
      <c r="L452" s="89">
        <v>436</v>
      </c>
      <c r="M452" s="186" t="e">
        <f t="shared" si="66"/>
        <v>#DIV/0!</v>
      </c>
      <c r="N452" s="171" t="e">
        <f t="shared" si="67"/>
        <v>#DIV/0!</v>
      </c>
      <c r="O452" s="171" t="e">
        <f t="shared" si="60"/>
        <v>#DIV/0!</v>
      </c>
      <c r="P452" s="171" t="e">
        <f t="shared" si="68"/>
        <v>#DIV/0!</v>
      </c>
      <c r="Q452" s="171" t="e">
        <f t="shared" si="69"/>
        <v>#DIV/0!</v>
      </c>
      <c r="R452" s="186">
        <f>IF('prijem - EUR-viac-domacnosti'!$I$120=TRUE,IF($C$11&gt;0,0.00025*N451,0),IF('prijem - EUR-viac-domacnosti'!$I$121=TRUE,IF('prijem - EUR-viac-domacnosti'!$F$121&gt;0,0.00025*N451*-1,0),0))</f>
        <v>0</v>
      </c>
    </row>
    <row r="453" spans="1:18" x14ac:dyDescent="0.2">
      <c r="A453" s="89">
        <v>437</v>
      </c>
      <c r="B453" s="186" t="e">
        <f t="shared" si="61"/>
        <v>#NUM!</v>
      </c>
      <c r="C453" s="171" t="e">
        <f t="shared" si="62"/>
        <v>#NUM!</v>
      </c>
      <c r="D453" s="171" t="e">
        <f t="shared" si="63"/>
        <v>#NUM!</v>
      </c>
      <c r="E453" s="171" t="e">
        <f t="shared" si="64"/>
        <v>#NUM!</v>
      </c>
      <c r="F453" s="171" t="e">
        <f t="shared" si="65"/>
        <v>#NUM!</v>
      </c>
      <c r="G453" s="186">
        <f>IF('prijem - EUR-viac-domacnosti'!$I$120=TRUE,IF($C$11&gt;0,0.00025*C452,0),IF('prijem - EUR-viac-domacnosti'!$I$121=TRUE,IF('prijem - EUR-viac-domacnosti'!$F$121&gt;0,0.00025*C452,0),0))</f>
        <v>0</v>
      </c>
      <c r="L453" s="89">
        <v>437</v>
      </c>
      <c r="M453" s="186" t="e">
        <f t="shared" si="66"/>
        <v>#DIV/0!</v>
      </c>
      <c r="N453" s="171" t="e">
        <f t="shared" si="67"/>
        <v>#DIV/0!</v>
      </c>
      <c r="O453" s="171" t="e">
        <f t="shared" si="60"/>
        <v>#DIV/0!</v>
      </c>
      <c r="P453" s="171" t="e">
        <f t="shared" si="68"/>
        <v>#DIV/0!</v>
      </c>
      <c r="Q453" s="171" t="e">
        <f t="shared" si="69"/>
        <v>#DIV/0!</v>
      </c>
      <c r="R453" s="186">
        <f>IF('prijem - EUR-viac-domacnosti'!$I$120=TRUE,IF($C$11&gt;0,0.00025*N452,0),IF('prijem - EUR-viac-domacnosti'!$I$121=TRUE,IF('prijem - EUR-viac-domacnosti'!$F$121&gt;0,0.00025*N452*-1,0),0))</f>
        <v>0</v>
      </c>
    </row>
    <row r="454" spans="1:18" x14ac:dyDescent="0.2">
      <c r="A454" s="89">
        <v>438</v>
      </c>
      <c r="B454" s="186" t="e">
        <f t="shared" si="61"/>
        <v>#NUM!</v>
      </c>
      <c r="C454" s="171" t="e">
        <f t="shared" si="62"/>
        <v>#NUM!</v>
      </c>
      <c r="D454" s="171" t="e">
        <f t="shared" si="63"/>
        <v>#NUM!</v>
      </c>
      <c r="E454" s="171" t="e">
        <f t="shared" si="64"/>
        <v>#NUM!</v>
      </c>
      <c r="F454" s="171" t="e">
        <f t="shared" si="65"/>
        <v>#NUM!</v>
      </c>
      <c r="G454" s="186">
        <f>IF('prijem - EUR-viac-domacnosti'!$I$120=TRUE,IF($C$11&gt;0,0.00025*C453,0),IF('prijem - EUR-viac-domacnosti'!$I$121=TRUE,IF('prijem - EUR-viac-domacnosti'!$F$121&gt;0,0.00025*C453,0),0))</f>
        <v>0</v>
      </c>
      <c r="L454" s="89">
        <v>438</v>
      </c>
      <c r="M454" s="186" t="e">
        <f t="shared" si="66"/>
        <v>#DIV/0!</v>
      </c>
      <c r="N454" s="171" t="e">
        <f t="shared" si="67"/>
        <v>#DIV/0!</v>
      </c>
      <c r="O454" s="171" t="e">
        <f t="shared" si="60"/>
        <v>#DIV/0!</v>
      </c>
      <c r="P454" s="171" t="e">
        <f t="shared" si="68"/>
        <v>#DIV/0!</v>
      </c>
      <c r="Q454" s="171" t="e">
        <f t="shared" si="69"/>
        <v>#DIV/0!</v>
      </c>
      <c r="R454" s="186">
        <f>IF('prijem - EUR-viac-domacnosti'!$I$120=TRUE,IF($C$11&gt;0,0.00025*N453,0),IF('prijem - EUR-viac-domacnosti'!$I$121=TRUE,IF('prijem - EUR-viac-domacnosti'!$F$121&gt;0,0.00025*N453*-1,0),0))</f>
        <v>0</v>
      </c>
    </row>
    <row r="455" spans="1:18" x14ac:dyDescent="0.2">
      <c r="A455" s="89">
        <v>439</v>
      </c>
      <c r="B455" s="186" t="e">
        <f t="shared" si="61"/>
        <v>#NUM!</v>
      </c>
      <c r="C455" s="171" t="e">
        <f t="shared" si="62"/>
        <v>#NUM!</v>
      </c>
      <c r="D455" s="171" t="e">
        <f t="shared" si="63"/>
        <v>#NUM!</v>
      </c>
      <c r="E455" s="171" t="e">
        <f t="shared" si="64"/>
        <v>#NUM!</v>
      </c>
      <c r="F455" s="171" t="e">
        <f t="shared" si="65"/>
        <v>#NUM!</v>
      </c>
      <c r="G455" s="186">
        <f>IF('prijem - EUR-viac-domacnosti'!$I$120=TRUE,IF($C$11&gt;0,0.00025*C454,0),IF('prijem - EUR-viac-domacnosti'!$I$121=TRUE,IF('prijem - EUR-viac-domacnosti'!$F$121&gt;0,0.00025*C454,0),0))</f>
        <v>0</v>
      </c>
      <c r="L455" s="89">
        <v>439</v>
      </c>
      <c r="M455" s="186" t="e">
        <f t="shared" si="66"/>
        <v>#DIV/0!</v>
      </c>
      <c r="N455" s="171" t="e">
        <f t="shared" si="67"/>
        <v>#DIV/0!</v>
      </c>
      <c r="O455" s="171" t="e">
        <f t="shared" si="60"/>
        <v>#DIV/0!</v>
      </c>
      <c r="P455" s="171" t="e">
        <f t="shared" si="68"/>
        <v>#DIV/0!</v>
      </c>
      <c r="Q455" s="171" t="e">
        <f t="shared" si="69"/>
        <v>#DIV/0!</v>
      </c>
      <c r="R455" s="186">
        <f>IF('prijem - EUR-viac-domacnosti'!$I$120=TRUE,IF($C$11&gt;0,0.00025*N454,0),IF('prijem - EUR-viac-domacnosti'!$I$121=TRUE,IF('prijem - EUR-viac-domacnosti'!$F$121&gt;0,0.00025*N454*-1,0),0))</f>
        <v>0</v>
      </c>
    </row>
    <row r="456" spans="1:18" x14ac:dyDescent="0.2">
      <c r="A456" s="89">
        <v>440</v>
      </c>
      <c r="B456" s="186" t="e">
        <f t="shared" si="61"/>
        <v>#NUM!</v>
      </c>
      <c r="C456" s="171" t="e">
        <f t="shared" si="62"/>
        <v>#NUM!</v>
      </c>
      <c r="D456" s="171" t="e">
        <f t="shared" si="63"/>
        <v>#NUM!</v>
      </c>
      <c r="E456" s="171" t="e">
        <f t="shared" si="64"/>
        <v>#NUM!</v>
      </c>
      <c r="F456" s="171" t="e">
        <f t="shared" si="65"/>
        <v>#NUM!</v>
      </c>
      <c r="G456" s="186">
        <f>IF('prijem - EUR-viac-domacnosti'!$I$120=TRUE,IF($C$11&gt;0,0.00025*C455,0),IF('prijem - EUR-viac-domacnosti'!$I$121=TRUE,IF('prijem - EUR-viac-domacnosti'!$F$121&gt;0,0.00025*C455,0),0))</f>
        <v>0</v>
      </c>
      <c r="L456" s="89">
        <v>440</v>
      </c>
      <c r="M456" s="186" t="e">
        <f t="shared" si="66"/>
        <v>#DIV/0!</v>
      </c>
      <c r="N456" s="171" t="e">
        <f t="shared" si="67"/>
        <v>#DIV/0!</v>
      </c>
      <c r="O456" s="171" t="e">
        <f t="shared" si="60"/>
        <v>#DIV/0!</v>
      </c>
      <c r="P456" s="171" t="e">
        <f t="shared" si="68"/>
        <v>#DIV/0!</v>
      </c>
      <c r="Q456" s="171" t="e">
        <f t="shared" si="69"/>
        <v>#DIV/0!</v>
      </c>
      <c r="R456" s="186">
        <f>IF('prijem - EUR-viac-domacnosti'!$I$120=TRUE,IF($C$11&gt;0,0.00025*N455,0),IF('prijem - EUR-viac-domacnosti'!$I$121=TRUE,IF('prijem - EUR-viac-domacnosti'!$F$121&gt;0,0.00025*N455*-1,0),0))</f>
        <v>0</v>
      </c>
    </row>
    <row r="457" spans="1:18" x14ac:dyDescent="0.2">
      <c r="A457" s="89">
        <v>441</v>
      </c>
      <c r="B457" s="186" t="e">
        <f t="shared" si="61"/>
        <v>#NUM!</v>
      </c>
      <c r="C457" s="171" t="e">
        <f t="shared" si="62"/>
        <v>#NUM!</v>
      </c>
      <c r="D457" s="171" t="e">
        <f t="shared" si="63"/>
        <v>#NUM!</v>
      </c>
      <c r="E457" s="171" t="e">
        <f t="shared" si="64"/>
        <v>#NUM!</v>
      </c>
      <c r="F457" s="171" t="e">
        <f t="shared" si="65"/>
        <v>#NUM!</v>
      </c>
      <c r="G457" s="186">
        <f>IF('prijem - EUR-viac-domacnosti'!$I$120=TRUE,IF($C$11&gt;0,0.00025*C456,0),IF('prijem - EUR-viac-domacnosti'!$I$121=TRUE,IF('prijem - EUR-viac-domacnosti'!$F$121&gt;0,0.00025*C456,0),0))</f>
        <v>0</v>
      </c>
      <c r="L457" s="89">
        <v>441</v>
      </c>
      <c r="M457" s="186" t="e">
        <f t="shared" si="66"/>
        <v>#DIV/0!</v>
      </c>
      <c r="N457" s="171" t="e">
        <f t="shared" si="67"/>
        <v>#DIV/0!</v>
      </c>
      <c r="O457" s="171" t="e">
        <f t="shared" si="60"/>
        <v>#DIV/0!</v>
      </c>
      <c r="P457" s="171" t="e">
        <f t="shared" si="68"/>
        <v>#DIV/0!</v>
      </c>
      <c r="Q457" s="171" t="e">
        <f t="shared" si="69"/>
        <v>#DIV/0!</v>
      </c>
      <c r="R457" s="186">
        <f>IF('prijem - EUR-viac-domacnosti'!$I$120=TRUE,IF($C$11&gt;0,0.00025*N456,0),IF('prijem - EUR-viac-domacnosti'!$I$121=TRUE,IF('prijem - EUR-viac-domacnosti'!$F$121&gt;0,0.00025*N456*-1,0),0))</f>
        <v>0</v>
      </c>
    </row>
    <row r="458" spans="1:18" x14ac:dyDescent="0.2">
      <c r="A458" s="89">
        <v>442</v>
      </c>
      <c r="B458" s="186" t="e">
        <f t="shared" si="61"/>
        <v>#NUM!</v>
      </c>
      <c r="C458" s="171" t="e">
        <f t="shared" si="62"/>
        <v>#NUM!</v>
      </c>
      <c r="D458" s="171" t="e">
        <f t="shared" si="63"/>
        <v>#NUM!</v>
      </c>
      <c r="E458" s="171" t="e">
        <f t="shared" si="64"/>
        <v>#NUM!</v>
      </c>
      <c r="F458" s="171" t="e">
        <f t="shared" si="65"/>
        <v>#NUM!</v>
      </c>
      <c r="G458" s="186">
        <f>IF('prijem - EUR-viac-domacnosti'!$I$120=TRUE,IF($C$11&gt;0,0.00025*C457,0),IF('prijem - EUR-viac-domacnosti'!$I$121=TRUE,IF('prijem - EUR-viac-domacnosti'!$F$121&gt;0,0.00025*C457,0),0))</f>
        <v>0</v>
      </c>
      <c r="L458" s="89">
        <v>442</v>
      </c>
      <c r="M458" s="186" t="e">
        <f t="shared" si="66"/>
        <v>#DIV/0!</v>
      </c>
      <c r="N458" s="171" t="e">
        <f t="shared" si="67"/>
        <v>#DIV/0!</v>
      </c>
      <c r="O458" s="171" t="e">
        <f t="shared" si="60"/>
        <v>#DIV/0!</v>
      </c>
      <c r="P458" s="171" t="e">
        <f t="shared" si="68"/>
        <v>#DIV/0!</v>
      </c>
      <c r="Q458" s="171" t="e">
        <f t="shared" si="69"/>
        <v>#DIV/0!</v>
      </c>
      <c r="R458" s="186">
        <f>IF('prijem - EUR-viac-domacnosti'!$I$120=TRUE,IF($C$11&gt;0,0.00025*N457,0),IF('prijem - EUR-viac-domacnosti'!$I$121=TRUE,IF('prijem - EUR-viac-domacnosti'!$F$121&gt;0,0.00025*N457*-1,0),0))</f>
        <v>0</v>
      </c>
    </row>
    <row r="459" spans="1:18" x14ac:dyDescent="0.2">
      <c r="A459" s="89">
        <v>443</v>
      </c>
      <c r="B459" s="186" t="e">
        <f t="shared" si="61"/>
        <v>#NUM!</v>
      </c>
      <c r="C459" s="171" t="e">
        <f t="shared" si="62"/>
        <v>#NUM!</v>
      </c>
      <c r="D459" s="171" t="e">
        <f t="shared" si="63"/>
        <v>#NUM!</v>
      </c>
      <c r="E459" s="171" t="e">
        <f t="shared" si="64"/>
        <v>#NUM!</v>
      </c>
      <c r="F459" s="171" t="e">
        <f t="shared" si="65"/>
        <v>#NUM!</v>
      </c>
      <c r="G459" s="186">
        <f>IF('prijem - EUR-viac-domacnosti'!$I$120=TRUE,IF($C$11&gt;0,0.00025*C458,0),IF('prijem - EUR-viac-domacnosti'!$I$121=TRUE,IF('prijem - EUR-viac-domacnosti'!$F$121&gt;0,0.00025*C458,0),0))</f>
        <v>0</v>
      </c>
      <c r="L459" s="89">
        <v>443</v>
      </c>
      <c r="M459" s="186" t="e">
        <f t="shared" si="66"/>
        <v>#DIV/0!</v>
      </c>
      <c r="N459" s="171" t="e">
        <f t="shared" si="67"/>
        <v>#DIV/0!</v>
      </c>
      <c r="O459" s="171" t="e">
        <f t="shared" si="60"/>
        <v>#DIV/0!</v>
      </c>
      <c r="P459" s="171" t="e">
        <f t="shared" si="68"/>
        <v>#DIV/0!</v>
      </c>
      <c r="Q459" s="171" t="e">
        <f t="shared" si="69"/>
        <v>#DIV/0!</v>
      </c>
      <c r="R459" s="186">
        <f>IF('prijem - EUR-viac-domacnosti'!$I$120=TRUE,IF($C$11&gt;0,0.00025*N458,0),IF('prijem - EUR-viac-domacnosti'!$I$121=TRUE,IF('prijem - EUR-viac-domacnosti'!$F$121&gt;0,0.00025*N458*-1,0),0))</f>
        <v>0</v>
      </c>
    </row>
    <row r="460" spans="1:18" x14ac:dyDescent="0.2">
      <c r="A460" s="89">
        <v>444</v>
      </c>
      <c r="B460" s="186" t="e">
        <f t="shared" si="61"/>
        <v>#NUM!</v>
      </c>
      <c r="C460" s="171" t="e">
        <f t="shared" si="62"/>
        <v>#NUM!</v>
      </c>
      <c r="D460" s="171" t="e">
        <f t="shared" si="63"/>
        <v>#NUM!</v>
      </c>
      <c r="E460" s="171" t="e">
        <f t="shared" si="64"/>
        <v>#NUM!</v>
      </c>
      <c r="F460" s="171" t="e">
        <f t="shared" si="65"/>
        <v>#NUM!</v>
      </c>
      <c r="G460" s="186">
        <f>IF('prijem - EUR-viac-domacnosti'!$I$120=TRUE,IF($C$11&gt;0,0.00025*C459,0),IF('prijem - EUR-viac-domacnosti'!$I$121=TRUE,IF('prijem - EUR-viac-domacnosti'!$F$121&gt;0,0.00025*C459,0),0))</f>
        <v>0</v>
      </c>
      <c r="L460" s="89">
        <v>444</v>
      </c>
      <c r="M460" s="186" t="e">
        <f t="shared" si="66"/>
        <v>#DIV/0!</v>
      </c>
      <c r="N460" s="171" t="e">
        <f t="shared" si="67"/>
        <v>#DIV/0!</v>
      </c>
      <c r="O460" s="171" t="e">
        <f t="shared" si="60"/>
        <v>#DIV/0!</v>
      </c>
      <c r="P460" s="171" t="e">
        <f t="shared" si="68"/>
        <v>#DIV/0!</v>
      </c>
      <c r="Q460" s="171" t="e">
        <f t="shared" si="69"/>
        <v>#DIV/0!</v>
      </c>
      <c r="R460" s="186">
        <f>IF('prijem - EUR-viac-domacnosti'!$I$120=TRUE,IF($C$11&gt;0,0.00025*N459,0),IF('prijem - EUR-viac-domacnosti'!$I$121=TRUE,IF('prijem - EUR-viac-domacnosti'!$F$121&gt;0,0.00025*N459*-1,0),0))</f>
        <v>0</v>
      </c>
    </row>
    <row r="461" spans="1:18" x14ac:dyDescent="0.2">
      <c r="A461" s="89">
        <v>445</v>
      </c>
      <c r="B461" s="186" t="e">
        <f t="shared" si="61"/>
        <v>#NUM!</v>
      </c>
      <c r="C461" s="171" t="e">
        <f t="shared" si="62"/>
        <v>#NUM!</v>
      </c>
      <c r="D461" s="171" t="e">
        <f t="shared" si="63"/>
        <v>#NUM!</v>
      </c>
      <c r="E461" s="171" t="e">
        <f t="shared" si="64"/>
        <v>#NUM!</v>
      </c>
      <c r="F461" s="171" t="e">
        <f t="shared" si="65"/>
        <v>#NUM!</v>
      </c>
      <c r="G461" s="186">
        <f>IF('prijem - EUR-viac-domacnosti'!$I$120=TRUE,IF($C$11&gt;0,0.00025*C460,0),IF('prijem - EUR-viac-domacnosti'!$I$121=TRUE,IF('prijem - EUR-viac-domacnosti'!$F$121&gt;0,0.00025*C460,0),0))</f>
        <v>0</v>
      </c>
      <c r="L461" s="89">
        <v>445</v>
      </c>
      <c r="M461" s="186" t="e">
        <f t="shared" si="66"/>
        <v>#DIV/0!</v>
      </c>
      <c r="N461" s="171" t="e">
        <f t="shared" si="67"/>
        <v>#DIV/0!</v>
      </c>
      <c r="O461" s="171" t="e">
        <f t="shared" si="60"/>
        <v>#DIV/0!</v>
      </c>
      <c r="P461" s="171" t="e">
        <f t="shared" si="68"/>
        <v>#DIV/0!</v>
      </c>
      <c r="Q461" s="171" t="e">
        <f t="shared" si="69"/>
        <v>#DIV/0!</v>
      </c>
      <c r="R461" s="186">
        <f>IF('prijem - EUR-viac-domacnosti'!$I$120=TRUE,IF($C$11&gt;0,0.00025*N460,0),IF('prijem - EUR-viac-domacnosti'!$I$121=TRUE,IF('prijem - EUR-viac-domacnosti'!$F$121&gt;0,0.00025*N460*-1,0),0))</f>
        <v>0</v>
      </c>
    </row>
    <row r="462" spans="1:18" x14ac:dyDescent="0.2">
      <c r="A462" s="89">
        <v>446</v>
      </c>
      <c r="B462" s="186" t="e">
        <f t="shared" si="61"/>
        <v>#NUM!</v>
      </c>
      <c r="C462" s="171" t="e">
        <f t="shared" si="62"/>
        <v>#NUM!</v>
      </c>
      <c r="D462" s="171" t="e">
        <f t="shared" si="63"/>
        <v>#NUM!</v>
      </c>
      <c r="E462" s="171" t="e">
        <f t="shared" si="64"/>
        <v>#NUM!</v>
      </c>
      <c r="F462" s="171" t="e">
        <f t="shared" si="65"/>
        <v>#NUM!</v>
      </c>
      <c r="G462" s="186">
        <f>IF('prijem - EUR-viac-domacnosti'!$I$120=TRUE,IF($C$11&gt;0,0.00025*C461,0),IF('prijem - EUR-viac-domacnosti'!$I$121=TRUE,IF('prijem - EUR-viac-domacnosti'!$F$121&gt;0,0.00025*C461,0),0))</f>
        <v>0</v>
      </c>
      <c r="L462" s="89">
        <v>446</v>
      </c>
      <c r="M462" s="186" t="e">
        <f t="shared" si="66"/>
        <v>#DIV/0!</v>
      </c>
      <c r="N462" s="171" t="e">
        <f t="shared" si="67"/>
        <v>#DIV/0!</v>
      </c>
      <c r="O462" s="171" t="e">
        <f t="shared" si="60"/>
        <v>#DIV/0!</v>
      </c>
      <c r="P462" s="171" t="e">
        <f t="shared" si="68"/>
        <v>#DIV/0!</v>
      </c>
      <c r="Q462" s="171" t="e">
        <f t="shared" si="69"/>
        <v>#DIV/0!</v>
      </c>
      <c r="R462" s="186">
        <f>IF('prijem - EUR-viac-domacnosti'!$I$120=TRUE,IF($C$11&gt;0,0.00025*N461,0),IF('prijem - EUR-viac-domacnosti'!$I$121=TRUE,IF('prijem - EUR-viac-domacnosti'!$F$121&gt;0,0.00025*N461*-1,0),0))</f>
        <v>0</v>
      </c>
    </row>
    <row r="463" spans="1:18" x14ac:dyDescent="0.2">
      <c r="A463" s="89">
        <v>447</v>
      </c>
      <c r="B463" s="186" t="e">
        <f t="shared" si="61"/>
        <v>#NUM!</v>
      </c>
      <c r="C463" s="171" t="e">
        <f t="shared" si="62"/>
        <v>#NUM!</v>
      </c>
      <c r="D463" s="171" t="e">
        <f t="shared" si="63"/>
        <v>#NUM!</v>
      </c>
      <c r="E463" s="171" t="e">
        <f t="shared" si="64"/>
        <v>#NUM!</v>
      </c>
      <c r="F463" s="171" t="e">
        <f t="shared" si="65"/>
        <v>#NUM!</v>
      </c>
      <c r="G463" s="186">
        <f>IF('prijem - EUR-viac-domacnosti'!$I$120=TRUE,IF($C$11&gt;0,0.00025*C462,0),IF('prijem - EUR-viac-domacnosti'!$I$121=TRUE,IF('prijem - EUR-viac-domacnosti'!$F$121&gt;0,0.00025*C462,0),0))</f>
        <v>0</v>
      </c>
      <c r="L463" s="89">
        <v>447</v>
      </c>
      <c r="M463" s="186" t="e">
        <f t="shared" si="66"/>
        <v>#DIV/0!</v>
      </c>
      <c r="N463" s="171" t="e">
        <f t="shared" si="67"/>
        <v>#DIV/0!</v>
      </c>
      <c r="O463" s="171" t="e">
        <f t="shared" si="60"/>
        <v>#DIV/0!</v>
      </c>
      <c r="P463" s="171" t="e">
        <f t="shared" si="68"/>
        <v>#DIV/0!</v>
      </c>
      <c r="Q463" s="171" t="e">
        <f t="shared" si="69"/>
        <v>#DIV/0!</v>
      </c>
      <c r="R463" s="186">
        <f>IF('prijem - EUR-viac-domacnosti'!$I$120=TRUE,IF($C$11&gt;0,0.00025*N462,0),IF('prijem - EUR-viac-domacnosti'!$I$121=TRUE,IF('prijem - EUR-viac-domacnosti'!$F$121&gt;0,0.00025*N462*-1,0),0))</f>
        <v>0</v>
      </c>
    </row>
    <row r="464" spans="1:18" x14ac:dyDescent="0.2">
      <c r="A464" s="89">
        <v>448</v>
      </c>
      <c r="B464" s="186" t="e">
        <f t="shared" si="61"/>
        <v>#NUM!</v>
      </c>
      <c r="C464" s="171" t="e">
        <f t="shared" si="62"/>
        <v>#NUM!</v>
      </c>
      <c r="D464" s="171" t="e">
        <f t="shared" si="63"/>
        <v>#NUM!</v>
      </c>
      <c r="E464" s="171" t="e">
        <f t="shared" si="64"/>
        <v>#NUM!</v>
      </c>
      <c r="F464" s="171" t="e">
        <f t="shared" si="65"/>
        <v>#NUM!</v>
      </c>
      <c r="G464" s="186">
        <f>IF('prijem - EUR-viac-domacnosti'!$I$120=TRUE,IF($C$11&gt;0,0.00025*C463,0),IF('prijem - EUR-viac-domacnosti'!$I$121=TRUE,IF('prijem - EUR-viac-domacnosti'!$F$121&gt;0,0.00025*C463,0),0))</f>
        <v>0</v>
      </c>
      <c r="L464" s="89">
        <v>448</v>
      </c>
      <c r="M464" s="186" t="e">
        <f t="shared" si="66"/>
        <v>#DIV/0!</v>
      </c>
      <c r="N464" s="171" t="e">
        <f t="shared" si="67"/>
        <v>#DIV/0!</v>
      </c>
      <c r="O464" s="171" t="e">
        <f t="shared" si="60"/>
        <v>#DIV/0!</v>
      </c>
      <c r="P464" s="171" t="e">
        <f t="shared" si="68"/>
        <v>#DIV/0!</v>
      </c>
      <c r="Q464" s="171" t="e">
        <f t="shared" si="69"/>
        <v>#DIV/0!</v>
      </c>
      <c r="R464" s="186">
        <f>IF('prijem - EUR-viac-domacnosti'!$I$120=TRUE,IF($C$11&gt;0,0.00025*N463,0),IF('prijem - EUR-viac-domacnosti'!$I$121=TRUE,IF('prijem - EUR-viac-domacnosti'!$F$121&gt;0,0.00025*N463*-1,0),0))</f>
        <v>0</v>
      </c>
    </row>
    <row r="465" spans="1:18" x14ac:dyDescent="0.2">
      <c r="A465" s="89">
        <v>449</v>
      </c>
      <c r="B465" s="186" t="e">
        <f t="shared" si="61"/>
        <v>#NUM!</v>
      </c>
      <c r="C465" s="171" t="e">
        <f t="shared" si="62"/>
        <v>#NUM!</v>
      </c>
      <c r="D465" s="171" t="e">
        <f t="shared" si="63"/>
        <v>#NUM!</v>
      </c>
      <c r="E465" s="171" t="e">
        <f t="shared" si="64"/>
        <v>#NUM!</v>
      </c>
      <c r="F465" s="171" t="e">
        <f t="shared" si="65"/>
        <v>#NUM!</v>
      </c>
      <c r="G465" s="186">
        <f>IF('prijem - EUR-viac-domacnosti'!$I$120=TRUE,IF($C$11&gt;0,0.00025*C464,0),IF('prijem - EUR-viac-domacnosti'!$I$121=TRUE,IF('prijem - EUR-viac-domacnosti'!$F$121&gt;0,0.00025*C464,0),0))</f>
        <v>0</v>
      </c>
      <c r="L465" s="89">
        <v>449</v>
      </c>
      <c r="M465" s="186" t="e">
        <f t="shared" si="66"/>
        <v>#DIV/0!</v>
      </c>
      <c r="N465" s="171" t="e">
        <f t="shared" si="67"/>
        <v>#DIV/0!</v>
      </c>
      <c r="O465" s="171" t="e">
        <f t="shared" ref="O465:O496" si="70">$N$16/$N$5</f>
        <v>#DIV/0!</v>
      </c>
      <c r="P465" s="171" t="e">
        <f t="shared" si="68"/>
        <v>#DIV/0!</v>
      </c>
      <c r="Q465" s="171" t="e">
        <f t="shared" si="69"/>
        <v>#DIV/0!</v>
      </c>
      <c r="R465" s="186">
        <f>IF('prijem - EUR-viac-domacnosti'!$I$120=TRUE,IF($C$11&gt;0,0.00025*N464,0),IF('prijem - EUR-viac-domacnosti'!$I$121=TRUE,IF('prijem - EUR-viac-domacnosti'!$F$121&gt;0,0.00025*N464*-1,0),0))</f>
        <v>0</v>
      </c>
    </row>
    <row r="466" spans="1:18" x14ac:dyDescent="0.2">
      <c r="A466" s="89">
        <v>450</v>
      </c>
      <c r="B466" s="186" t="e">
        <f t="shared" ref="B466:B496" si="71">IF(C465&gt;0.00001,F466-G466,0)</f>
        <v>#NUM!</v>
      </c>
      <c r="C466" s="171" t="e">
        <f t="shared" ref="C466:C496" si="72">MAX(C465-D466,0)</f>
        <v>#NUM!</v>
      </c>
      <c r="D466" s="171" t="e">
        <f t="shared" ref="D466:D496" si="73">(F466-E466)*-1</f>
        <v>#NUM!</v>
      </c>
      <c r="E466" s="171" t="e">
        <f t="shared" ref="E466:E496" si="74">IPMT($C$4/12,1,$C$5,C465)</f>
        <v>#NUM!</v>
      </c>
      <c r="F466" s="171" t="e">
        <f t="shared" ref="F466:F496" si="75">PMT($C$4/12,$C$5,$C$3)</f>
        <v>#NUM!</v>
      </c>
      <c r="G466" s="186">
        <f>IF('prijem - EUR-viac-domacnosti'!$I$120=TRUE,IF($C$11&gt;0,0.00025*C465,0),IF('prijem - EUR-viac-domacnosti'!$I$121=TRUE,IF('prijem - EUR-viac-domacnosti'!$F$121&gt;0,0.00025*C465,0),0))</f>
        <v>0</v>
      </c>
      <c r="L466" s="89">
        <v>450</v>
      </c>
      <c r="M466" s="186" t="e">
        <f t="shared" ref="M466:M496" si="76">IF(N465&gt;0.00001,Q466-R466,0)*-1</f>
        <v>#DIV/0!</v>
      </c>
      <c r="N466" s="171" t="e">
        <f t="shared" ref="N466:N496" si="77">MAX(N465-O466,0)</f>
        <v>#DIV/0!</v>
      </c>
      <c r="O466" s="171" t="e">
        <f t="shared" si="70"/>
        <v>#DIV/0!</v>
      </c>
      <c r="P466" s="171" t="e">
        <f t="shared" ref="P466:P496" si="78">N465*$N$4/12</f>
        <v>#DIV/0!</v>
      </c>
      <c r="Q466" s="171" t="e">
        <f t="shared" ref="Q466:Q496" si="79">P466+O466</f>
        <v>#DIV/0!</v>
      </c>
      <c r="R466" s="186">
        <f>IF('prijem - EUR-viac-domacnosti'!$I$120=TRUE,IF($C$11&gt;0,0.00025*N465,0),IF('prijem - EUR-viac-domacnosti'!$I$121=TRUE,IF('prijem - EUR-viac-domacnosti'!$F$121&gt;0,0.00025*N465*-1,0),0))</f>
        <v>0</v>
      </c>
    </row>
    <row r="467" spans="1:18" x14ac:dyDescent="0.2">
      <c r="A467" s="89">
        <v>451</v>
      </c>
      <c r="B467" s="186" t="e">
        <f t="shared" si="71"/>
        <v>#NUM!</v>
      </c>
      <c r="C467" s="171" t="e">
        <f t="shared" si="72"/>
        <v>#NUM!</v>
      </c>
      <c r="D467" s="171" t="e">
        <f t="shared" si="73"/>
        <v>#NUM!</v>
      </c>
      <c r="E467" s="171" t="e">
        <f t="shared" si="74"/>
        <v>#NUM!</v>
      </c>
      <c r="F467" s="171" t="e">
        <f t="shared" si="75"/>
        <v>#NUM!</v>
      </c>
      <c r="G467" s="186">
        <f>IF('prijem - EUR-viac-domacnosti'!$I$120=TRUE,IF($C$11&gt;0,0.00025*C466,0),IF('prijem - EUR-viac-domacnosti'!$I$121=TRUE,IF('prijem - EUR-viac-domacnosti'!$F$121&gt;0,0.00025*C466,0),0))</f>
        <v>0</v>
      </c>
      <c r="L467" s="89">
        <v>451</v>
      </c>
      <c r="M467" s="186" t="e">
        <f t="shared" si="76"/>
        <v>#DIV/0!</v>
      </c>
      <c r="N467" s="171" t="e">
        <f t="shared" si="77"/>
        <v>#DIV/0!</v>
      </c>
      <c r="O467" s="171" t="e">
        <f t="shared" si="70"/>
        <v>#DIV/0!</v>
      </c>
      <c r="P467" s="171" t="e">
        <f t="shared" si="78"/>
        <v>#DIV/0!</v>
      </c>
      <c r="Q467" s="171" t="e">
        <f t="shared" si="79"/>
        <v>#DIV/0!</v>
      </c>
      <c r="R467" s="186">
        <f>IF('prijem - EUR-viac-domacnosti'!$I$120=TRUE,IF($C$11&gt;0,0.00025*N466,0),IF('prijem - EUR-viac-domacnosti'!$I$121=TRUE,IF('prijem - EUR-viac-domacnosti'!$F$121&gt;0,0.00025*N466*-1,0),0))</f>
        <v>0</v>
      </c>
    </row>
    <row r="468" spans="1:18" x14ac:dyDescent="0.2">
      <c r="A468" s="89">
        <v>452</v>
      </c>
      <c r="B468" s="186" t="e">
        <f t="shared" si="71"/>
        <v>#NUM!</v>
      </c>
      <c r="C468" s="171" t="e">
        <f t="shared" si="72"/>
        <v>#NUM!</v>
      </c>
      <c r="D468" s="171" t="e">
        <f t="shared" si="73"/>
        <v>#NUM!</v>
      </c>
      <c r="E468" s="171" t="e">
        <f t="shared" si="74"/>
        <v>#NUM!</v>
      </c>
      <c r="F468" s="171" t="e">
        <f t="shared" si="75"/>
        <v>#NUM!</v>
      </c>
      <c r="G468" s="186">
        <f>IF('prijem - EUR-viac-domacnosti'!$I$120=TRUE,IF($C$11&gt;0,0.00025*C467,0),IF('prijem - EUR-viac-domacnosti'!$I$121=TRUE,IF('prijem - EUR-viac-domacnosti'!$F$121&gt;0,0.00025*C467,0),0))</f>
        <v>0</v>
      </c>
      <c r="L468" s="89">
        <v>452</v>
      </c>
      <c r="M468" s="186" t="e">
        <f t="shared" si="76"/>
        <v>#DIV/0!</v>
      </c>
      <c r="N468" s="171" t="e">
        <f t="shared" si="77"/>
        <v>#DIV/0!</v>
      </c>
      <c r="O468" s="171" t="e">
        <f t="shared" si="70"/>
        <v>#DIV/0!</v>
      </c>
      <c r="P468" s="171" t="e">
        <f t="shared" si="78"/>
        <v>#DIV/0!</v>
      </c>
      <c r="Q468" s="171" t="e">
        <f t="shared" si="79"/>
        <v>#DIV/0!</v>
      </c>
      <c r="R468" s="186">
        <f>IF('prijem - EUR-viac-domacnosti'!$I$120=TRUE,IF($C$11&gt;0,0.00025*N467,0),IF('prijem - EUR-viac-domacnosti'!$I$121=TRUE,IF('prijem - EUR-viac-domacnosti'!$F$121&gt;0,0.00025*N467*-1,0),0))</f>
        <v>0</v>
      </c>
    </row>
    <row r="469" spans="1:18" x14ac:dyDescent="0.2">
      <c r="A469" s="89">
        <v>453</v>
      </c>
      <c r="B469" s="186" t="e">
        <f t="shared" si="71"/>
        <v>#NUM!</v>
      </c>
      <c r="C469" s="171" t="e">
        <f t="shared" si="72"/>
        <v>#NUM!</v>
      </c>
      <c r="D469" s="171" t="e">
        <f t="shared" si="73"/>
        <v>#NUM!</v>
      </c>
      <c r="E469" s="171" t="e">
        <f t="shared" si="74"/>
        <v>#NUM!</v>
      </c>
      <c r="F469" s="171" t="e">
        <f t="shared" si="75"/>
        <v>#NUM!</v>
      </c>
      <c r="G469" s="186">
        <f>IF('prijem - EUR-viac-domacnosti'!$I$120=TRUE,IF($C$11&gt;0,0.00025*C468,0),IF('prijem - EUR-viac-domacnosti'!$I$121=TRUE,IF('prijem - EUR-viac-domacnosti'!$F$121&gt;0,0.00025*C468,0),0))</f>
        <v>0</v>
      </c>
      <c r="L469" s="89">
        <v>453</v>
      </c>
      <c r="M469" s="186" t="e">
        <f t="shared" si="76"/>
        <v>#DIV/0!</v>
      </c>
      <c r="N469" s="171" t="e">
        <f t="shared" si="77"/>
        <v>#DIV/0!</v>
      </c>
      <c r="O469" s="171" t="e">
        <f t="shared" si="70"/>
        <v>#DIV/0!</v>
      </c>
      <c r="P469" s="171" t="e">
        <f t="shared" si="78"/>
        <v>#DIV/0!</v>
      </c>
      <c r="Q469" s="171" t="e">
        <f t="shared" si="79"/>
        <v>#DIV/0!</v>
      </c>
      <c r="R469" s="186">
        <f>IF('prijem - EUR-viac-domacnosti'!$I$120=TRUE,IF($C$11&gt;0,0.00025*N468,0),IF('prijem - EUR-viac-domacnosti'!$I$121=TRUE,IF('prijem - EUR-viac-domacnosti'!$F$121&gt;0,0.00025*N468*-1,0),0))</f>
        <v>0</v>
      </c>
    </row>
    <row r="470" spans="1:18" x14ac:dyDescent="0.2">
      <c r="A470" s="89">
        <v>454</v>
      </c>
      <c r="B470" s="186" t="e">
        <f t="shared" si="71"/>
        <v>#NUM!</v>
      </c>
      <c r="C470" s="171" t="e">
        <f t="shared" si="72"/>
        <v>#NUM!</v>
      </c>
      <c r="D470" s="171" t="e">
        <f t="shared" si="73"/>
        <v>#NUM!</v>
      </c>
      <c r="E470" s="171" t="e">
        <f t="shared" si="74"/>
        <v>#NUM!</v>
      </c>
      <c r="F470" s="171" t="e">
        <f t="shared" si="75"/>
        <v>#NUM!</v>
      </c>
      <c r="G470" s="186">
        <f>IF('prijem - EUR-viac-domacnosti'!$I$120=TRUE,IF($C$11&gt;0,0.00025*C469,0),IF('prijem - EUR-viac-domacnosti'!$I$121=TRUE,IF('prijem - EUR-viac-domacnosti'!$F$121&gt;0,0.00025*C469,0),0))</f>
        <v>0</v>
      </c>
      <c r="L470" s="89">
        <v>454</v>
      </c>
      <c r="M470" s="186" t="e">
        <f t="shared" si="76"/>
        <v>#DIV/0!</v>
      </c>
      <c r="N470" s="171" t="e">
        <f t="shared" si="77"/>
        <v>#DIV/0!</v>
      </c>
      <c r="O470" s="171" t="e">
        <f t="shared" si="70"/>
        <v>#DIV/0!</v>
      </c>
      <c r="P470" s="171" t="e">
        <f t="shared" si="78"/>
        <v>#DIV/0!</v>
      </c>
      <c r="Q470" s="171" t="e">
        <f t="shared" si="79"/>
        <v>#DIV/0!</v>
      </c>
      <c r="R470" s="186">
        <f>IF('prijem - EUR-viac-domacnosti'!$I$120=TRUE,IF($C$11&gt;0,0.00025*N469,0),IF('prijem - EUR-viac-domacnosti'!$I$121=TRUE,IF('prijem - EUR-viac-domacnosti'!$F$121&gt;0,0.00025*N469*-1,0),0))</f>
        <v>0</v>
      </c>
    </row>
    <row r="471" spans="1:18" x14ac:dyDescent="0.2">
      <c r="A471" s="89">
        <v>455</v>
      </c>
      <c r="B471" s="186" t="e">
        <f t="shared" si="71"/>
        <v>#NUM!</v>
      </c>
      <c r="C471" s="171" t="e">
        <f t="shared" si="72"/>
        <v>#NUM!</v>
      </c>
      <c r="D471" s="171" t="e">
        <f t="shared" si="73"/>
        <v>#NUM!</v>
      </c>
      <c r="E471" s="171" t="e">
        <f t="shared" si="74"/>
        <v>#NUM!</v>
      </c>
      <c r="F471" s="171" t="e">
        <f t="shared" si="75"/>
        <v>#NUM!</v>
      </c>
      <c r="G471" s="186">
        <f>IF('prijem - EUR-viac-domacnosti'!$I$120=TRUE,IF($C$11&gt;0,0.00025*C470,0),IF('prijem - EUR-viac-domacnosti'!$I$121=TRUE,IF('prijem - EUR-viac-domacnosti'!$F$121&gt;0,0.00025*C470,0),0))</f>
        <v>0</v>
      </c>
      <c r="L471" s="89">
        <v>455</v>
      </c>
      <c r="M471" s="186" t="e">
        <f t="shared" si="76"/>
        <v>#DIV/0!</v>
      </c>
      <c r="N471" s="171" t="e">
        <f t="shared" si="77"/>
        <v>#DIV/0!</v>
      </c>
      <c r="O471" s="171" t="e">
        <f t="shared" si="70"/>
        <v>#DIV/0!</v>
      </c>
      <c r="P471" s="171" t="e">
        <f t="shared" si="78"/>
        <v>#DIV/0!</v>
      </c>
      <c r="Q471" s="171" t="e">
        <f t="shared" si="79"/>
        <v>#DIV/0!</v>
      </c>
      <c r="R471" s="186">
        <f>IF('prijem - EUR-viac-domacnosti'!$I$120=TRUE,IF($C$11&gt;0,0.00025*N470,0),IF('prijem - EUR-viac-domacnosti'!$I$121=TRUE,IF('prijem - EUR-viac-domacnosti'!$F$121&gt;0,0.00025*N470*-1,0),0))</f>
        <v>0</v>
      </c>
    </row>
    <row r="472" spans="1:18" x14ac:dyDescent="0.2">
      <c r="A472" s="89">
        <v>456</v>
      </c>
      <c r="B472" s="186" t="e">
        <f t="shared" si="71"/>
        <v>#NUM!</v>
      </c>
      <c r="C472" s="171" t="e">
        <f t="shared" si="72"/>
        <v>#NUM!</v>
      </c>
      <c r="D472" s="171" t="e">
        <f t="shared" si="73"/>
        <v>#NUM!</v>
      </c>
      <c r="E472" s="171" t="e">
        <f t="shared" si="74"/>
        <v>#NUM!</v>
      </c>
      <c r="F472" s="171" t="e">
        <f t="shared" si="75"/>
        <v>#NUM!</v>
      </c>
      <c r="G472" s="186">
        <f>IF('prijem - EUR-viac-domacnosti'!$I$120=TRUE,IF($C$11&gt;0,0.00025*C471,0),IF('prijem - EUR-viac-domacnosti'!$I$121=TRUE,IF('prijem - EUR-viac-domacnosti'!$F$121&gt;0,0.00025*C471,0),0))</f>
        <v>0</v>
      </c>
      <c r="L472" s="89">
        <v>456</v>
      </c>
      <c r="M472" s="186" t="e">
        <f t="shared" si="76"/>
        <v>#DIV/0!</v>
      </c>
      <c r="N472" s="171" t="e">
        <f t="shared" si="77"/>
        <v>#DIV/0!</v>
      </c>
      <c r="O472" s="171" t="e">
        <f t="shared" si="70"/>
        <v>#DIV/0!</v>
      </c>
      <c r="P472" s="171" t="e">
        <f t="shared" si="78"/>
        <v>#DIV/0!</v>
      </c>
      <c r="Q472" s="171" t="e">
        <f t="shared" si="79"/>
        <v>#DIV/0!</v>
      </c>
      <c r="R472" s="186">
        <f>IF('prijem - EUR-viac-domacnosti'!$I$120=TRUE,IF($C$11&gt;0,0.00025*N471,0),IF('prijem - EUR-viac-domacnosti'!$I$121=TRUE,IF('prijem - EUR-viac-domacnosti'!$F$121&gt;0,0.00025*N471*-1,0),0))</f>
        <v>0</v>
      </c>
    </row>
    <row r="473" spans="1:18" x14ac:dyDescent="0.2">
      <c r="A473" s="89">
        <v>457</v>
      </c>
      <c r="B473" s="186" t="e">
        <f t="shared" si="71"/>
        <v>#NUM!</v>
      </c>
      <c r="C473" s="171" t="e">
        <f t="shared" si="72"/>
        <v>#NUM!</v>
      </c>
      <c r="D473" s="171" t="e">
        <f t="shared" si="73"/>
        <v>#NUM!</v>
      </c>
      <c r="E473" s="171" t="e">
        <f t="shared" si="74"/>
        <v>#NUM!</v>
      </c>
      <c r="F473" s="171" t="e">
        <f t="shared" si="75"/>
        <v>#NUM!</v>
      </c>
      <c r="G473" s="186">
        <f>IF('prijem - EUR-viac-domacnosti'!$I$120=TRUE,IF($C$11&gt;0,0.00025*C472,0),IF('prijem - EUR-viac-domacnosti'!$I$121=TRUE,IF('prijem - EUR-viac-domacnosti'!$F$121&gt;0,0.00025*C472,0),0))</f>
        <v>0</v>
      </c>
      <c r="L473" s="89">
        <v>457</v>
      </c>
      <c r="M473" s="186" t="e">
        <f t="shared" si="76"/>
        <v>#DIV/0!</v>
      </c>
      <c r="N473" s="171" t="e">
        <f t="shared" si="77"/>
        <v>#DIV/0!</v>
      </c>
      <c r="O473" s="171" t="e">
        <f t="shared" si="70"/>
        <v>#DIV/0!</v>
      </c>
      <c r="P473" s="171" t="e">
        <f t="shared" si="78"/>
        <v>#DIV/0!</v>
      </c>
      <c r="Q473" s="171" t="e">
        <f t="shared" si="79"/>
        <v>#DIV/0!</v>
      </c>
      <c r="R473" s="186">
        <f>IF('prijem - EUR-viac-domacnosti'!$I$120=TRUE,IF($C$11&gt;0,0.00025*N472,0),IF('prijem - EUR-viac-domacnosti'!$I$121=TRUE,IF('prijem - EUR-viac-domacnosti'!$F$121&gt;0,0.00025*N472*-1,0),0))</f>
        <v>0</v>
      </c>
    </row>
    <row r="474" spans="1:18" x14ac:dyDescent="0.2">
      <c r="A474" s="89">
        <v>458</v>
      </c>
      <c r="B474" s="186" t="e">
        <f t="shared" si="71"/>
        <v>#NUM!</v>
      </c>
      <c r="C474" s="171" t="e">
        <f t="shared" si="72"/>
        <v>#NUM!</v>
      </c>
      <c r="D474" s="171" t="e">
        <f t="shared" si="73"/>
        <v>#NUM!</v>
      </c>
      <c r="E474" s="171" t="e">
        <f t="shared" si="74"/>
        <v>#NUM!</v>
      </c>
      <c r="F474" s="171" t="e">
        <f t="shared" si="75"/>
        <v>#NUM!</v>
      </c>
      <c r="G474" s="186">
        <f>IF('prijem - EUR-viac-domacnosti'!$I$120=TRUE,IF($C$11&gt;0,0.00025*C473,0),IF('prijem - EUR-viac-domacnosti'!$I$121=TRUE,IF('prijem - EUR-viac-domacnosti'!$F$121&gt;0,0.00025*C473,0),0))</f>
        <v>0</v>
      </c>
      <c r="L474" s="89">
        <v>458</v>
      </c>
      <c r="M474" s="186" t="e">
        <f t="shared" si="76"/>
        <v>#DIV/0!</v>
      </c>
      <c r="N474" s="171" t="e">
        <f t="shared" si="77"/>
        <v>#DIV/0!</v>
      </c>
      <c r="O474" s="171" t="e">
        <f t="shared" si="70"/>
        <v>#DIV/0!</v>
      </c>
      <c r="P474" s="171" t="e">
        <f t="shared" si="78"/>
        <v>#DIV/0!</v>
      </c>
      <c r="Q474" s="171" t="e">
        <f t="shared" si="79"/>
        <v>#DIV/0!</v>
      </c>
      <c r="R474" s="186">
        <f>IF('prijem - EUR-viac-domacnosti'!$I$120=TRUE,IF($C$11&gt;0,0.00025*N473,0),IF('prijem - EUR-viac-domacnosti'!$I$121=TRUE,IF('prijem - EUR-viac-domacnosti'!$F$121&gt;0,0.00025*N473*-1,0),0))</f>
        <v>0</v>
      </c>
    </row>
    <row r="475" spans="1:18" x14ac:dyDescent="0.2">
      <c r="A475" s="89">
        <v>459</v>
      </c>
      <c r="B475" s="186" t="e">
        <f t="shared" si="71"/>
        <v>#NUM!</v>
      </c>
      <c r="C475" s="171" t="e">
        <f t="shared" si="72"/>
        <v>#NUM!</v>
      </c>
      <c r="D475" s="171" t="e">
        <f t="shared" si="73"/>
        <v>#NUM!</v>
      </c>
      <c r="E475" s="171" t="e">
        <f t="shared" si="74"/>
        <v>#NUM!</v>
      </c>
      <c r="F475" s="171" t="e">
        <f t="shared" si="75"/>
        <v>#NUM!</v>
      </c>
      <c r="G475" s="186">
        <f>IF('prijem - EUR-viac-domacnosti'!$I$120=TRUE,IF($C$11&gt;0,0.00025*C474,0),IF('prijem - EUR-viac-domacnosti'!$I$121=TRUE,IF('prijem - EUR-viac-domacnosti'!$F$121&gt;0,0.00025*C474,0),0))</f>
        <v>0</v>
      </c>
      <c r="L475" s="89">
        <v>459</v>
      </c>
      <c r="M475" s="186" t="e">
        <f t="shared" si="76"/>
        <v>#DIV/0!</v>
      </c>
      <c r="N475" s="171" t="e">
        <f t="shared" si="77"/>
        <v>#DIV/0!</v>
      </c>
      <c r="O475" s="171" t="e">
        <f t="shared" si="70"/>
        <v>#DIV/0!</v>
      </c>
      <c r="P475" s="171" t="e">
        <f t="shared" si="78"/>
        <v>#DIV/0!</v>
      </c>
      <c r="Q475" s="171" t="e">
        <f t="shared" si="79"/>
        <v>#DIV/0!</v>
      </c>
      <c r="R475" s="186">
        <f>IF('prijem - EUR-viac-domacnosti'!$I$120=TRUE,IF($C$11&gt;0,0.00025*N474,0),IF('prijem - EUR-viac-domacnosti'!$I$121=TRUE,IF('prijem - EUR-viac-domacnosti'!$F$121&gt;0,0.00025*N474*-1,0),0))</f>
        <v>0</v>
      </c>
    </row>
    <row r="476" spans="1:18" x14ac:dyDescent="0.2">
      <c r="A476" s="89">
        <v>460</v>
      </c>
      <c r="B476" s="186" t="e">
        <f t="shared" si="71"/>
        <v>#NUM!</v>
      </c>
      <c r="C476" s="171" t="e">
        <f t="shared" si="72"/>
        <v>#NUM!</v>
      </c>
      <c r="D476" s="171" t="e">
        <f t="shared" si="73"/>
        <v>#NUM!</v>
      </c>
      <c r="E476" s="171" t="e">
        <f t="shared" si="74"/>
        <v>#NUM!</v>
      </c>
      <c r="F476" s="171" t="e">
        <f t="shared" si="75"/>
        <v>#NUM!</v>
      </c>
      <c r="G476" s="186">
        <f>IF('prijem - EUR-viac-domacnosti'!$I$120=TRUE,IF($C$11&gt;0,0.00025*C475,0),IF('prijem - EUR-viac-domacnosti'!$I$121=TRUE,IF('prijem - EUR-viac-domacnosti'!$F$121&gt;0,0.00025*C475,0),0))</f>
        <v>0</v>
      </c>
      <c r="L476" s="89">
        <v>460</v>
      </c>
      <c r="M476" s="186" t="e">
        <f t="shared" si="76"/>
        <v>#DIV/0!</v>
      </c>
      <c r="N476" s="171" t="e">
        <f t="shared" si="77"/>
        <v>#DIV/0!</v>
      </c>
      <c r="O476" s="171" t="e">
        <f t="shared" si="70"/>
        <v>#DIV/0!</v>
      </c>
      <c r="P476" s="171" t="e">
        <f t="shared" si="78"/>
        <v>#DIV/0!</v>
      </c>
      <c r="Q476" s="171" t="e">
        <f t="shared" si="79"/>
        <v>#DIV/0!</v>
      </c>
      <c r="R476" s="186">
        <f>IF('prijem - EUR-viac-domacnosti'!$I$120=TRUE,IF($C$11&gt;0,0.00025*N475,0),IF('prijem - EUR-viac-domacnosti'!$I$121=TRUE,IF('prijem - EUR-viac-domacnosti'!$F$121&gt;0,0.00025*N475*-1,0),0))</f>
        <v>0</v>
      </c>
    </row>
    <row r="477" spans="1:18" x14ac:dyDescent="0.2">
      <c r="A477" s="89">
        <v>461</v>
      </c>
      <c r="B477" s="186" t="e">
        <f t="shared" si="71"/>
        <v>#NUM!</v>
      </c>
      <c r="C477" s="171" t="e">
        <f t="shared" si="72"/>
        <v>#NUM!</v>
      </c>
      <c r="D477" s="171" t="e">
        <f t="shared" si="73"/>
        <v>#NUM!</v>
      </c>
      <c r="E477" s="171" t="e">
        <f t="shared" si="74"/>
        <v>#NUM!</v>
      </c>
      <c r="F477" s="171" t="e">
        <f t="shared" si="75"/>
        <v>#NUM!</v>
      </c>
      <c r="G477" s="186">
        <f>IF('prijem - EUR-viac-domacnosti'!$I$120=TRUE,IF($C$11&gt;0,0.00025*C476,0),IF('prijem - EUR-viac-domacnosti'!$I$121=TRUE,IF('prijem - EUR-viac-domacnosti'!$F$121&gt;0,0.00025*C476,0),0))</f>
        <v>0</v>
      </c>
      <c r="L477" s="89">
        <v>461</v>
      </c>
      <c r="M477" s="186" t="e">
        <f t="shared" si="76"/>
        <v>#DIV/0!</v>
      </c>
      <c r="N477" s="171" t="e">
        <f t="shared" si="77"/>
        <v>#DIV/0!</v>
      </c>
      <c r="O477" s="171" t="e">
        <f t="shared" si="70"/>
        <v>#DIV/0!</v>
      </c>
      <c r="P477" s="171" t="e">
        <f t="shared" si="78"/>
        <v>#DIV/0!</v>
      </c>
      <c r="Q477" s="171" t="e">
        <f t="shared" si="79"/>
        <v>#DIV/0!</v>
      </c>
      <c r="R477" s="186">
        <f>IF('prijem - EUR-viac-domacnosti'!$I$120=TRUE,IF($C$11&gt;0,0.00025*N476,0),IF('prijem - EUR-viac-domacnosti'!$I$121=TRUE,IF('prijem - EUR-viac-domacnosti'!$F$121&gt;0,0.00025*N476*-1,0),0))</f>
        <v>0</v>
      </c>
    </row>
    <row r="478" spans="1:18" x14ac:dyDescent="0.2">
      <c r="A478" s="89">
        <v>462</v>
      </c>
      <c r="B478" s="186" t="e">
        <f t="shared" si="71"/>
        <v>#NUM!</v>
      </c>
      <c r="C478" s="171" t="e">
        <f t="shared" si="72"/>
        <v>#NUM!</v>
      </c>
      <c r="D478" s="171" t="e">
        <f t="shared" si="73"/>
        <v>#NUM!</v>
      </c>
      <c r="E478" s="171" t="e">
        <f t="shared" si="74"/>
        <v>#NUM!</v>
      </c>
      <c r="F478" s="171" t="e">
        <f t="shared" si="75"/>
        <v>#NUM!</v>
      </c>
      <c r="G478" s="186">
        <f>IF('prijem - EUR-viac-domacnosti'!$I$120=TRUE,IF($C$11&gt;0,0.00025*C477,0),IF('prijem - EUR-viac-domacnosti'!$I$121=TRUE,IF('prijem - EUR-viac-domacnosti'!$F$121&gt;0,0.00025*C477,0),0))</f>
        <v>0</v>
      </c>
      <c r="L478" s="89">
        <v>462</v>
      </c>
      <c r="M478" s="186" t="e">
        <f t="shared" si="76"/>
        <v>#DIV/0!</v>
      </c>
      <c r="N478" s="171" t="e">
        <f t="shared" si="77"/>
        <v>#DIV/0!</v>
      </c>
      <c r="O478" s="171" t="e">
        <f t="shared" si="70"/>
        <v>#DIV/0!</v>
      </c>
      <c r="P478" s="171" t="e">
        <f t="shared" si="78"/>
        <v>#DIV/0!</v>
      </c>
      <c r="Q478" s="171" t="e">
        <f t="shared" si="79"/>
        <v>#DIV/0!</v>
      </c>
      <c r="R478" s="186">
        <f>IF('prijem - EUR-viac-domacnosti'!$I$120=TRUE,IF($C$11&gt;0,0.00025*N477,0),IF('prijem - EUR-viac-domacnosti'!$I$121=TRUE,IF('prijem - EUR-viac-domacnosti'!$F$121&gt;0,0.00025*N477*-1,0),0))</f>
        <v>0</v>
      </c>
    </row>
    <row r="479" spans="1:18" x14ac:dyDescent="0.2">
      <c r="A479" s="89">
        <v>463</v>
      </c>
      <c r="B479" s="186" t="e">
        <f t="shared" si="71"/>
        <v>#NUM!</v>
      </c>
      <c r="C479" s="171" t="e">
        <f t="shared" si="72"/>
        <v>#NUM!</v>
      </c>
      <c r="D479" s="171" t="e">
        <f t="shared" si="73"/>
        <v>#NUM!</v>
      </c>
      <c r="E479" s="171" t="e">
        <f t="shared" si="74"/>
        <v>#NUM!</v>
      </c>
      <c r="F479" s="171" t="e">
        <f t="shared" si="75"/>
        <v>#NUM!</v>
      </c>
      <c r="G479" s="186">
        <f>IF('prijem - EUR-viac-domacnosti'!$I$120=TRUE,IF($C$11&gt;0,0.00025*C478,0),IF('prijem - EUR-viac-domacnosti'!$I$121=TRUE,IF('prijem - EUR-viac-domacnosti'!$F$121&gt;0,0.00025*C478,0),0))</f>
        <v>0</v>
      </c>
      <c r="L479" s="89">
        <v>463</v>
      </c>
      <c r="M479" s="186" t="e">
        <f t="shared" si="76"/>
        <v>#DIV/0!</v>
      </c>
      <c r="N479" s="171" t="e">
        <f t="shared" si="77"/>
        <v>#DIV/0!</v>
      </c>
      <c r="O479" s="171" t="e">
        <f t="shared" si="70"/>
        <v>#DIV/0!</v>
      </c>
      <c r="P479" s="171" t="e">
        <f t="shared" si="78"/>
        <v>#DIV/0!</v>
      </c>
      <c r="Q479" s="171" t="e">
        <f t="shared" si="79"/>
        <v>#DIV/0!</v>
      </c>
      <c r="R479" s="186">
        <f>IF('prijem - EUR-viac-domacnosti'!$I$120=TRUE,IF($C$11&gt;0,0.00025*N478,0),IF('prijem - EUR-viac-domacnosti'!$I$121=TRUE,IF('prijem - EUR-viac-domacnosti'!$F$121&gt;0,0.00025*N478*-1,0),0))</f>
        <v>0</v>
      </c>
    </row>
    <row r="480" spans="1:18" x14ac:dyDescent="0.2">
      <c r="A480" s="89">
        <v>464</v>
      </c>
      <c r="B480" s="186" t="e">
        <f t="shared" si="71"/>
        <v>#NUM!</v>
      </c>
      <c r="C480" s="171" t="e">
        <f t="shared" si="72"/>
        <v>#NUM!</v>
      </c>
      <c r="D480" s="171" t="e">
        <f t="shared" si="73"/>
        <v>#NUM!</v>
      </c>
      <c r="E480" s="171" t="e">
        <f t="shared" si="74"/>
        <v>#NUM!</v>
      </c>
      <c r="F480" s="171" t="e">
        <f t="shared" si="75"/>
        <v>#NUM!</v>
      </c>
      <c r="G480" s="186">
        <f>IF('prijem - EUR-viac-domacnosti'!$I$120=TRUE,IF($C$11&gt;0,0.00025*C479,0),IF('prijem - EUR-viac-domacnosti'!$I$121=TRUE,IF('prijem - EUR-viac-domacnosti'!$F$121&gt;0,0.00025*C479,0),0))</f>
        <v>0</v>
      </c>
      <c r="L480" s="89">
        <v>464</v>
      </c>
      <c r="M480" s="186" t="e">
        <f t="shared" si="76"/>
        <v>#DIV/0!</v>
      </c>
      <c r="N480" s="171" t="e">
        <f t="shared" si="77"/>
        <v>#DIV/0!</v>
      </c>
      <c r="O480" s="171" t="e">
        <f t="shared" si="70"/>
        <v>#DIV/0!</v>
      </c>
      <c r="P480" s="171" t="e">
        <f t="shared" si="78"/>
        <v>#DIV/0!</v>
      </c>
      <c r="Q480" s="171" t="e">
        <f t="shared" si="79"/>
        <v>#DIV/0!</v>
      </c>
      <c r="R480" s="186">
        <f>IF('prijem - EUR-viac-domacnosti'!$I$120=TRUE,IF($C$11&gt;0,0.00025*N479,0),IF('prijem - EUR-viac-domacnosti'!$I$121=TRUE,IF('prijem - EUR-viac-domacnosti'!$F$121&gt;0,0.00025*N479*-1,0),0))</f>
        <v>0</v>
      </c>
    </row>
    <row r="481" spans="1:18" x14ac:dyDescent="0.2">
      <c r="A481" s="89">
        <v>465</v>
      </c>
      <c r="B481" s="186" t="e">
        <f t="shared" si="71"/>
        <v>#NUM!</v>
      </c>
      <c r="C481" s="171" t="e">
        <f t="shared" si="72"/>
        <v>#NUM!</v>
      </c>
      <c r="D481" s="171" t="e">
        <f t="shared" si="73"/>
        <v>#NUM!</v>
      </c>
      <c r="E481" s="171" t="e">
        <f t="shared" si="74"/>
        <v>#NUM!</v>
      </c>
      <c r="F481" s="171" t="e">
        <f t="shared" si="75"/>
        <v>#NUM!</v>
      </c>
      <c r="G481" s="186">
        <f>IF('prijem - EUR-viac-domacnosti'!$I$120=TRUE,IF($C$11&gt;0,0.00025*C480,0),IF('prijem - EUR-viac-domacnosti'!$I$121=TRUE,IF('prijem - EUR-viac-domacnosti'!$F$121&gt;0,0.00025*C480,0),0))</f>
        <v>0</v>
      </c>
      <c r="L481" s="89">
        <v>465</v>
      </c>
      <c r="M481" s="186" t="e">
        <f t="shared" si="76"/>
        <v>#DIV/0!</v>
      </c>
      <c r="N481" s="171" t="e">
        <f t="shared" si="77"/>
        <v>#DIV/0!</v>
      </c>
      <c r="O481" s="171" t="e">
        <f t="shared" si="70"/>
        <v>#DIV/0!</v>
      </c>
      <c r="P481" s="171" t="e">
        <f t="shared" si="78"/>
        <v>#DIV/0!</v>
      </c>
      <c r="Q481" s="171" t="e">
        <f t="shared" si="79"/>
        <v>#DIV/0!</v>
      </c>
      <c r="R481" s="186">
        <f>IF('prijem - EUR-viac-domacnosti'!$I$120=TRUE,IF($C$11&gt;0,0.00025*N480,0),IF('prijem - EUR-viac-domacnosti'!$I$121=TRUE,IF('prijem - EUR-viac-domacnosti'!$F$121&gt;0,0.00025*N480*-1,0),0))</f>
        <v>0</v>
      </c>
    </row>
    <row r="482" spans="1:18" x14ac:dyDescent="0.2">
      <c r="A482" s="89">
        <v>466</v>
      </c>
      <c r="B482" s="186" t="e">
        <f t="shared" si="71"/>
        <v>#NUM!</v>
      </c>
      <c r="C482" s="171" t="e">
        <f t="shared" si="72"/>
        <v>#NUM!</v>
      </c>
      <c r="D482" s="171" t="e">
        <f t="shared" si="73"/>
        <v>#NUM!</v>
      </c>
      <c r="E482" s="171" t="e">
        <f t="shared" si="74"/>
        <v>#NUM!</v>
      </c>
      <c r="F482" s="171" t="e">
        <f t="shared" si="75"/>
        <v>#NUM!</v>
      </c>
      <c r="G482" s="186">
        <f>IF('prijem - EUR-viac-domacnosti'!$I$120=TRUE,IF($C$11&gt;0,0.00025*C481,0),IF('prijem - EUR-viac-domacnosti'!$I$121=TRUE,IF('prijem - EUR-viac-domacnosti'!$F$121&gt;0,0.00025*C481,0),0))</f>
        <v>0</v>
      </c>
      <c r="L482" s="89">
        <v>466</v>
      </c>
      <c r="M482" s="186" t="e">
        <f t="shared" si="76"/>
        <v>#DIV/0!</v>
      </c>
      <c r="N482" s="171" t="e">
        <f t="shared" si="77"/>
        <v>#DIV/0!</v>
      </c>
      <c r="O482" s="171" t="e">
        <f t="shared" si="70"/>
        <v>#DIV/0!</v>
      </c>
      <c r="P482" s="171" t="e">
        <f t="shared" si="78"/>
        <v>#DIV/0!</v>
      </c>
      <c r="Q482" s="171" t="e">
        <f t="shared" si="79"/>
        <v>#DIV/0!</v>
      </c>
      <c r="R482" s="186">
        <f>IF('prijem - EUR-viac-domacnosti'!$I$120=TRUE,IF($C$11&gt;0,0.00025*N481,0),IF('prijem - EUR-viac-domacnosti'!$I$121=TRUE,IF('prijem - EUR-viac-domacnosti'!$F$121&gt;0,0.00025*N481*-1,0),0))</f>
        <v>0</v>
      </c>
    </row>
    <row r="483" spans="1:18" x14ac:dyDescent="0.2">
      <c r="A483" s="89">
        <v>467</v>
      </c>
      <c r="B483" s="186" t="e">
        <f t="shared" si="71"/>
        <v>#NUM!</v>
      </c>
      <c r="C483" s="171" t="e">
        <f t="shared" si="72"/>
        <v>#NUM!</v>
      </c>
      <c r="D483" s="171" t="e">
        <f t="shared" si="73"/>
        <v>#NUM!</v>
      </c>
      <c r="E483" s="171" t="e">
        <f t="shared" si="74"/>
        <v>#NUM!</v>
      </c>
      <c r="F483" s="171" t="e">
        <f t="shared" si="75"/>
        <v>#NUM!</v>
      </c>
      <c r="G483" s="186">
        <f>IF('prijem - EUR-viac-domacnosti'!$I$120=TRUE,IF($C$11&gt;0,0.00025*C482,0),IF('prijem - EUR-viac-domacnosti'!$I$121=TRUE,IF('prijem - EUR-viac-domacnosti'!$F$121&gt;0,0.00025*C482,0),0))</f>
        <v>0</v>
      </c>
      <c r="L483" s="89">
        <v>467</v>
      </c>
      <c r="M483" s="186" t="e">
        <f t="shared" si="76"/>
        <v>#DIV/0!</v>
      </c>
      <c r="N483" s="171" t="e">
        <f t="shared" si="77"/>
        <v>#DIV/0!</v>
      </c>
      <c r="O483" s="171" t="e">
        <f t="shared" si="70"/>
        <v>#DIV/0!</v>
      </c>
      <c r="P483" s="171" t="e">
        <f t="shared" si="78"/>
        <v>#DIV/0!</v>
      </c>
      <c r="Q483" s="171" t="e">
        <f t="shared" si="79"/>
        <v>#DIV/0!</v>
      </c>
      <c r="R483" s="186">
        <f>IF('prijem - EUR-viac-domacnosti'!$I$120=TRUE,IF($C$11&gt;0,0.00025*N482,0),IF('prijem - EUR-viac-domacnosti'!$I$121=TRUE,IF('prijem - EUR-viac-domacnosti'!$F$121&gt;0,0.00025*N482*-1,0),0))</f>
        <v>0</v>
      </c>
    </row>
    <row r="484" spans="1:18" x14ac:dyDescent="0.2">
      <c r="A484" s="89">
        <v>468</v>
      </c>
      <c r="B484" s="186" t="e">
        <f t="shared" si="71"/>
        <v>#NUM!</v>
      </c>
      <c r="C484" s="171" t="e">
        <f t="shared" si="72"/>
        <v>#NUM!</v>
      </c>
      <c r="D484" s="171" t="e">
        <f t="shared" si="73"/>
        <v>#NUM!</v>
      </c>
      <c r="E484" s="171" t="e">
        <f t="shared" si="74"/>
        <v>#NUM!</v>
      </c>
      <c r="F484" s="171" t="e">
        <f t="shared" si="75"/>
        <v>#NUM!</v>
      </c>
      <c r="G484" s="186">
        <f>IF('prijem - EUR-viac-domacnosti'!$I$120=TRUE,IF($C$11&gt;0,0.00025*C483,0),IF('prijem - EUR-viac-domacnosti'!$I$121=TRUE,IF('prijem - EUR-viac-domacnosti'!$F$121&gt;0,0.00025*C483,0),0))</f>
        <v>0</v>
      </c>
      <c r="L484" s="89">
        <v>468</v>
      </c>
      <c r="M484" s="186" t="e">
        <f t="shared" si="76"/>
        <v>#DIV/0!</v>
      </c>
      <c r="N484" s="171" t="e">
        <f t="shared" si="77"/>
        <v>#DIV/0!</v>
      </c>
      <c r="O484" s="171" t="e">
        <f t="shared" si="70"/>
        <v>#DIV/0!</v>
      </c>
      <c r="P484" s="171" t="e">
        <f t="shared" si="78"/>
        <v>#DIV/0!</v>
      </c>
      <c r="Q484" s="171" t="e">
        <f t="shared" si="79"/>
        <v>#DIV/0!</v>
      </c>
      <c r="R484" s="186">
        <f>IF('prijem - EUR-viac-domacnosti'!$I$120=TRUE,IF($C$11&gt;0,0.00025*N483,0),IF('prijem - EUR-viac-domacnosti'!$I$121=TRUE,IF('prijem - EUR-viac-domacnosti'!$F$121&gt;0,0.00025*N483*-1,0),0))</f>
        <v>0</v>
      </c>
    </row>
    <row r="485" spans="1:18" x14ac:dyDescent="0.2">
      <c r="A485" s="89">
        <v>469</v>
      </c>
      <c r="B485" s="186" t="e">
        <f t="shared" si="71"/>
        <v>#NUM!</v>
      </c>
      <c r="C485" s="171" t="e">
        <f t="shared" si="72"/>
        <v>#NUM!</v>
      </c>
      <c r="D485" s="171" t="e">
        <f t="shared" si="73"/>
        <v>#NUM!</v>
      </c>
      <c r="E485" s="171" t="e">
        <f t="shared" si="74"/>
        <v>#NUM!</v>
      </c>
      <c r="F485" s="171" t="e">
        <f t="shared" si="75"/>
        <v>#NUM!</v>
      </c>
      <c r="G485" s="186">
        <f>IF('prijem - EUR-viac-domacnosti'!$I$120=TRUE,IF($C$11&gt;0,0.00025*C484,0),IF('prijem - EUR-viac-domacnosti'!$I$121=TRUE,IF('prijem - EUR-viac-domacnosti'!$F$121&gt;0,0.00025*C484,0),0))</f>
        <v>0</v>
      </c>
      <c r="L485" s="89">
        <v>469</v>
      </c>
      <c r="M485" s="186" t="e">
        <f t="shared" si="76"/>
        <v>#DIV/0!</v>
      </c>
      <c r="N485" s="171" t="e">
        <f t="shared" si="77"/>
        <v>#DIV/0!</v>
      </c>
      <c r="O485" s="171" t="e">
        <f t="shared" si="70"/>
        <v>#DIV/0!</v>
      </c>
      <c r="P485" s="171" t="e">
        <f t="shared" si="78"/>
        <v>#DIV/0!</v>
      </c>
      <c r="Q485" s="171" t="e">
        <f t="shared" si="79"/>
        <v>#DIV/0!</v>
      </c>
      <c r="R485" s="186">
        <f>IF('prijem - EUR-viac-domacnosti'!$I$120=TRUE,IF($C$11&gt;0,0.00025*N484,0),IF('prijem - EUR-viac-domacnosti'!$I$121=TRUE,IF('prijem - EUR-viac-domacnosti'!$F$121&gt;0,0.00025*N484*-1,0),0))</f>
        <v>0</v>
      </c>
    </row>
    <row r="486" spans="1:18" x14ac:dyDescent="0.2">
      <c r="A486" s="89">
        <v>470</v>
      </c>
      <c r="B486" s="186" t="e">
        <f t="shared" si="71"/>
        <v>#NUM!</v>
      </c>
      <c r="C486" s="171" t="e">
        <f t="shared" si="72"/>
        <v>#NUM!</v>
      </c>
      <c r="D486" s="171" t="e">
        <f t="shared" si="73"/>
        <v>#NUM!</v>
      </c>
      <c r="E486" s="171" t="e">
        <f t="shared" si="74"/>
        <v>#NUM!</v>
      </c>
      <c r="F486" s="171" t="e">
        <f t="shared" si="75"/>
        <v>#NUM!</v>
      </c>
      <c r="G486" s="186">
        <f>IF('prijem - EUR-viac-domacnosti'!$I$120=TRUE,IF($C$11&gt;0,0.00025*C485,0),IF('prijem - EUR-viac-domacnosti'!$I$121=TRUE,IF('prijem - EUR-viac-domacnosti'!$F$121&gt;0,0.00025*C485,0),0))</f>
        <v>0</v>
      </c>
      <c r="L486" s="89">
        <v>470</v>
      </c>
      <c r="M486" s="186" t="e">
        <f t="shared" si="76"/>
        <v>#DIV/0!</v>
      </c>
      <c r="N486" s="171" t="e">
        <f t="shared" si="77"/>
        <v>#DIV/0!</v>
      </c>
      <c r="O486" s="171" t="e">
        <f t="shared" si="70"/>
        <v>#DIV/0!</v>
      </c>
      <c r="P486" s="171" t="e">
        <f t="shared" si="78"/>
        <v>#DIV/0!</v>
      </c>
      <c r="Q486" s="171" t="e">
        <f t="shared" si="79"/>
        <v>#DIV/0!</v>
      </c>
      <c r="R486" s="186">
        <f>IF('prijem - EUR-viac-domacnosti'!$I$120=TRUE,IF($C$11&gt;0,0.00025*N485,0),IF('prijem - EUR-viac-domacnosti'!$I$121=TRUE,IF('prijem - EUR-viac-domacnosti'!$F$121&gt;0,0.00025*N485*-1,0),0))</f>
        <v>0</v>
      </c>
    </row>
    <row r="487" spans="1:18" x14ac:dyDescent="0.2">
      <c r="A487" s="89">
        <v>471</v>
      </c>
      <c r="B487" s="186" t="e">
        <f t="shared" si="71"/>
        <v>#NUM!</v>
      </c>
      <c r="C487" s="171" t="e">
        <f t="shared" si="72"/>
        <v>#NUM!</v>
      </c>
      <c r="D487" s="171" t="e">
        <f t="shared" si="73"/>
        <v>#NUM!</v>
      </c>
      <c r="E487" s="171" t="e">
        <f t="shared" si="74"/>
        <v>#NUM!</v>
      </c>
      <c r="F487" s="171" t="e">
        <f t="shared" si="75"/>
        <v>#NUM!</v>
      </c>
      <c r="G487" s="186">
        <f>IF('prijem - EUR-viac-domacnosti'!$I$120=TRUE,IF($C$11&gt;0,0.00025*C486,0),IF('prijem - EUR-viac-domacnosti'!$I$121=TRUE,IF('prijem - EUR-viac-domacnosti'!$F$121&gt;0,0.00025*C486,0),0))</f>
        <v>0</v>
      </c>
      <c r="L487" s="89">
        <v>471</v>
      </c>
      <c r="M487" s="186" t="e">
        <f t="shared" si="76"/>
        <v>#DIV/0!</v>
      </c>
      <c r="N487" s="171" t="e">
        <f t="shared" si="77"/>
        <v>#DIV/0!</v>
      </c>
      <c r="O487" s="171" t="e">
        <f t="shared" si="70"/>
        <v>#DIV/0!</v>
      </c>
      <c r="P487" s="171" t="e">
        <f t="shared" si="78"/>
        <v>#DIV/0!</v>
      </c>
      <c r="Q487" s="171" t="e">
        <f t="shared" si="79"/>
        <v>#DIV/0!</v>
      </c>
      <c r="R487" s="186">
        <f>IF('prijem - EUR-viac-domacnosti'!$I$120=TRUE,IF($C$11&gt;0,0.00025*N486,0),IF('prijem - EUR-viac-domacnosti'!$I$121=TRUE,IF('prijem - EUR-viac-domacnosti'!$F$121&gt;0,0.00025*N486*-1,0),0))</f>
        <v>0</v>
      </c>
    </row>
    <row r="488" spans="1:18" x14ac:dyDescent="0.2">
      <c r="A488" s="89">
        <v>472</v>
      </c>
      <c r="B488" s="186" t="e">
        <f t="shared" si="71"/>
        <v>#NUM!</v>
      </c>
      <c r="C488" s="171" t="e">
        <f t="shared" si="72"/>
        <v>#NUM!</v>
      </c>
      <c r="D488" s="171" t="e">
        <f t="shared" si="73"/>
        <v>#NUM!</v>
      </c>
      <c r="E488" s="171" t="e">
        <f t="shared" si="74"/>
        <v>#NUM!</v>
      </c>
      <c r="F488" s="171" t="e">
        <f t="shared" si="75"/>
        <v>#NUM!</v>
      </c>
      <c r="G488" s="186">
        <f>IF('prijem - EUR-viac-domacnosti'!$I$120=TRUE,IF($C$11&gt;0,0.00025*C487,0),IF('prijem - EUR-viac-domacnosti'!$I$121=TRUE,IF('prijem - EUR-viac-domacnosti'!$F$121&gt;0,0.00025*C487,0),0))</f>
        <v>0</v>
      </c>
      <c r="L488" s="89">
        <v>472</v>
      </c>
      <c r="M488" s="186" t="e">
        <f t="shared" si="76"/>
        <v>#DIV/0!</v>
      </c>
      <c r="N488" s="171" t="e">
        <f t="shared" si="77"/>
        <v>#DIV/0!</v>
      </c>
      <c r="O488" s="171" t="e">
        <f t="shared" si="70"/>
        <v>#DIV/0!</v>
      </c>
      <c r="P488" s="171" t="e">
        <f t="shared" si="78"/>
        <v>#DIV/0!</v>
      </c>
      <c r="Q488" s="171" t="e">
        <f t="shared" si="79"/>
        <v>#DIV/0!</v>
      </c>
      <c r="R488" s="186">
        <f>IF('prijem - EUR-viac-domacnosti'!$I$120=TRUE,IF($C$11&gt;0,0.00025*N487,0),IF('prijem - EUR-viac-domacnosti'!$I$121=TRUE,IF('prijem - EUR-viac-domacnosti'!$F$121&gt;0,0.00025*N487*-1,0),0))</f>
        <v>0</v>
      </c>
    </row>
    <row r="489" spans="1:18" x14ac:dyDescent="0.2">
      <c r="A489" s="89">
        <v>473</v>
      </c>
      <c r="B489" s="186" t="e">
        <f t="shared" si="71"/>
        <v>#NUM!</v>
      </c>
      <c r="C489" s="171" t="e">
        <f t="shared" si="72"/>
        <v>#NUM!</v>
      </c>
      <c r="D489" s="171" t="e">
        <f t="shared" si="73"/>
        <v>#NUM!</v>
      </c>
      <c r="E489" s="171" t="e">
        <f t="shared" si="74"/>
        <v>#NUM!</v>
      </c>
      <c r="F489" s="171" t="e">
        <f t="shared" si="75"/>
        <v>#NUM!</v>
      </c>
      <c r="G489" s="186">
        <f>IF('prijem - EUR-viac-domacnosti'!$I$120=TRUE,IF($C$11&gt;0,0.00025*C488,0),IF('prijem - EUR-viac-domacnosti'!$I$121=TRUE,IF('prijem - EUR-viac-domacnosti'!$F$121&gt;0,0.00025*C488,0),0))</f>
        <v>0</v>
      </c>
      <c r="L489" s="89">
        <v>473</v>
      </c>
      <c r="M489" s="186" t="e">
        <f t="shared" si="76"/>
        <v>#DIV/0!</v>
      </c>
      <c r="N489" s="171" t="e">
        <f t="shared" si="77"/>
        <v>#DIV/0!</v>
      </c>
      <c r="O489" s="171" t="e">
        <f t="shared" si="70"/>
        <v>#DIV/0!</v>
      </c>
      <c r="P489" s="171" t="e">
        <f t="shared" si="78"/>
        <v>#DIV/0!</v>
      </c>
      <c r="Q489" s="171" t="e">
        <f t="shared" si="79"/>
        <v>#DIV/0!</v>
      </c>
      <c r="R489" s="186">
        <f>IF('prijem - EUR-viac-domacnosti'!$I$120=TRUE,IF($C$11&gt;0,0.00025*N488,0),IF('prijem - EUR-viac-domacnosti'!$I$121=TRUE,IF('prijem - EUR-viac-domacnosti'!$F$121&gt;0,0.00025*N488*-1,0),0))</f>
        <v>0</v>
      </c>
    </row>
    <row r="490" spans="1:18" x14ac:dyDescent="0.2">
      <c r="A490" s="89">
        <v>474</v>
      </c>
      <c r="B490" s="186" t="e">
        <f t="shared" si="71"/>
        <v>#NUM!</v>
      </c>
      <c r="C490" s="171" t="e">
        <f t="shared" si="72"/>
        <v>#NUM!</v>
      </c>
      <c r="D490" s="171" t="e">
        <f t="shared" si="73"/>
        <v>#NUM!</v>
      </c>
      <c r="E490" s="171" t="e">
        <f t="shared" si="74"/>
        <v>#NUM!</v>
      </c>
      <c r="F490" s="171" t="e">
        <f t="shared" si="75"/>
        <v>#NUM!</v>
      </c>
      <c r="G490" s="186">
        <f>IF('prijem - EUR-viac-domacnosti'!$I$120=TRUE,IF($C$11&gt;0,0.00025*C489,0),IF('prijem - EUR-viac-domacnosti'!$I$121=TRUE,IF('prijem - EUR-viac-domacnosti'!$F$121&gt;0,0.00025*C489,0),0))</f>
        <v>0</v>
      </c>
      <c r="L490" s="89">
        <v>474</v>
      </c>
      <c r="M490" s="186" t="e">
        <f t="shared" si="76"/>
        <v>#DIV/0!</v>
      </c>
      <c r="N490" s="171" t="e">
        <f t="shared" si="77"/>
        <v>#DIV/0!</v>
      </c>
      <c r="O490" s="171" t="e">
        <f t="shared" si="70"/>
        <v>#DIV/0!</v>
      </c>
      <c r="P490" s="171" t="e">
        <f t="shared" si="78"/>
        <v>#DIV/0!</v>
      </c>
      <c r="Q490" s="171" t="e">
        <f t="shared" si="79"/>
        <v>#DIV/0!</v>
      </c>
      <c r="R490" s="186">
        <f>IF('prijem - EUR-viac-domacnosti'!$I$120=TRUE,IF($C$11&gt;0,0.00025*N489,0),IF('prijem - EUR-viac-domacnosti'!$I$121=TRUE,IF('prijem - EUR-viac-domacnosti'!$F$121&gt;0,0.00025*N489*-1,0),0))</f>
        <v>0</v>
      </c>
    </row>
    <row r="491" spans="1:18" x14ac:dyDescent="0.2">
      <c r="A491" s="89">
        <v>475</v>
      </c>
      <c r="B491" s="186" t="e">
        <f t="shared" si="71"/>
        <v>#NUM!</v>
      </c>
      <c r="C491" s="171" t="e">
        <f t="shared" si="72"/>
        <v>#NUM!</v>
      </c>
      <c r="D491" s="171" t="e">
        <f t="shared" si="73"/>
        <v>#NUM!</v>
      </c>
      <c r="E491" s="171" t="e">
        <f t="shared" si="74"/>
        <v>#NUM!</v>
      </c>
      <c r="F491" s="171" t="e">
        <f t="shared" si="75"/>
        <v>#NUM!</v>
      </c>
      <c r="G491" s="186">
        <f>IF('prijem - EUR-viac-domacnosti'!$I$120=TRUE,IF($C$11&gt;0,0.00025*C490,0),IF('prijem - EUR-viac-domacnosti'!$I$121=TRUE,IF('prijem - EUR-viac-domacnosti'!$F$121&gt;0,0.00025*C490,0),0))</f>
        <v>0</v>
      </c>
      <c r="L491" s="89">
        <v>475</v>
      </c>
      <c r="M491" s="186" t="e">
        <f t="shared" si="76"/>
        <v>#DIV/0!</v>
      </c>
      <c r="N491" s="171" t="e">
        <f t="shared" si="77"/>
        <v>#DIV/0!</v>
      </c>
      <c r="O491" s="171" t="e">
        <f t="shared" si="70"/>
        <v>#DIV/0!</v>
      </c>
      <c r="P491" s="171" t="e">
        <f t="shared" si="78"/>
        <v>#DIV/0!</v>
      </c>
      <c r="Q491" s="171" t="e">
        <f t="shared" si="79"/>
        <v>#DIV/0!</v>
      </c>
      <c r="R491" s="186">
        <f>IF('prijem - EUR-viac-domacnosti'!$I$120=TRUE,IF($C$11&gt;0,0.00025*N490,0),IF('prijem - EUR-viac-domacnosti'!$I$121=TRUE,IF('prijem - EUR-viac-domacnosti'!$F$121&gt;0,0.00025*N490*-1,0),0))</f>
        <v>0</v>
      </c>
    </row>
    <row r="492" spans="1:18" x14ac:dyDescent="0.2">
      <c r="A492" s="89">
        <v>476</v>
      </c>
      <c r="B492" s="186" t="e">
        <f t="shared" si="71"/>
        <v>#NUM!</v>
      </c>
      <c r="C492" s="171" t="e">
        <f t="shared" si="72"/>
        <v>#NUM!</v>
      </c>
      <c r="D492" s="171" t="e">
        <f t="shared" si="73"/>
        <v>#NUM!</v>
      </c>
      <c r="E492" s="171" t="e">
        <f t="shared" si="74"/>
        <v>#NUM!</v>
      </c>
      <c r="F492" s="171" t="e">
        <f t="shared" si="75"/>
        <v>#NUM!</v>
      </c>
      <c r="G492" s="186">
        <f>IF('prijem - EUR-viac-domacnosti'!$I$120=TRUE,IF($C$11&gt;0,0.00025*C491,0),IF('prijem - EUR-viac-domacnosti'!$I$121=TRUE,IF('prijem - EUR-viac-domacnosti'!$F$121&gt;0,0.00025*C491,0),0))</f>
        <v>0</v>
      </c>
      <c r="L492" s="89">
        <v>476</v>
      </c>
      <c r="M492" s="186" t="e">
        <f t="shared" si="76"/>
        <v>#DIV/0!</v>
      </c>
      <c r="N492" s="171" t="e">
        <f t="shared" si="77"/>
        <v>#DIV/0!</v>
      </c>
      <c r="O492" s="171" t="e">
        <f t="shared" si="70"/>
        <v>#DIV/0!</v>
      </c>
      <c r="P492" s="171" t="e">
        <f t="shared" si="78"/>
        <v>#DIV/0!</v>
      </c>
      <c r="Q492" s="171" t="e">
        <f t="shared" si="79"/>
        <v>#DIV/0!</v>
      </c>
      <c r="R492" s="186">
        <f>IF('prijem - EUR-viac-domacnosti'!$I$120=TRUE,IF($C$11&gt;0,0.00025*N491,0),IF('prijem - EUR-viac-domacnosti'!$I$121=TRUE,IF('prijem - EUR-viac-domacnosti'!$F$121&gt;0,0.00025*N491*-1,0),0))</f>
        <v>0</v>
      </c>
    </row>
    <row r="493" spans="1:18" x14ac:dyDescent="0.2">
      <c r="A493" s="89">
        <v>477</v>
      </c>
      <c r="B493" s="186" t="e">
        <f t="shared" si="71"/>
        <v>#NUM!</v>
      </c>
      <c r="C493" s="171" t="e">
        <f t="shared" si="72"/>
        <v>#NUM!</v>
      </c>
      <c r="D493" s="171" t="e">
        <f t="shared" si="73"/>
        <v>#NUM!</v>
      </c>
      <c r="E493" s="171" t="e">
        <f t="shared" si="74"/>
        <v>#NUM!</v>
      </c>
      <c r="F493" s="171" t="e">
        <f t="shared" si="75"/>
        <v>#NUM!</v>
      </c>
      <c r="G493" s="186">
        <f>IF('prijem - EUR-viac-domacnosti'!$I$120=TRUE,IF($C$11&gt;0,0.00025*C492,0),IF('prijem - EUR-viac-domacnosti'!$I$121=TRUE,IF('prijem - EUR-viac-domacnosti'!$F$121&gt;0,0.00025*C492,0),0))</f>
        <v>0</v>
      </c>
      <c r="L493" s="89">
        <v>477</v>
      </c>
      <c r="M493" s="186" t="e">
        <f t="shared" si="76"/>
        <v>#DIV/0!</v>
      </c>
      <c r="N493" s="171" t="e">
        <f t="shared" si="77"/>
        <v>#DIV/0!</v>
      </c>
      <c r="O493" s="171" t="e">
        <f t="shared" si="70"/>
        <v>#DIV/0!</v>
      </c>
      <c r="P493" s="171" t="e">
        <f t="shared" si="78"/>
        <v>#DIV/0!</v>
      </c>
      <c r="Q493" s="171" t="e">
        <f t="shared" si="79"/>
        <v>#DIV/0!</v>
      </c>
      <c r="R493" s="186">
        <f>IF('prijem - EUR-viac-domacnosti'!$I$120=TRUE,IF($C$11&gt;0,0.00025*N492,0),IF('prijem - EUR-viac-domacnosti'!$I$121=TRUE,IF('prijem - EUR-viac-domacnosti'!$F$121&gt;0,0.00025*N492*-1,0),0))</f>
        <v>0</v>
      </c>
    </row>
    <row r="494" spans="1:18" x14ac:dyDescent="0.2">
      <c r="A494" s="89">
        <v>478</v>
      </c>
      <c r="B494" s="186" t="e">
        <f t="shared" si="71"/>
        <v>#NUM!</v>
      </c>
      <c r="C494" s="171" t="e">
        <f t="shared" si="72"/>
        <v>#NUM!</v>
      </c>
      <c r="D494" s="171" t="e">
        <f t="shared" si="73"/>
        <v>#NUM!</v>
      </c>
      <c r="E494" s="171" t="e">
        <f t="shared" si="74"/>
        <v>#NUM!</v>
      </c>
      <c r="F494" s="171" t="e">
        <f t="shared" si="75"/>
        <v>#NUM!</v>
      </c>
      <c r="G494" s="186">
        <f>IF('prijem - EUR-viac-domacnosti'!$I$120=TRUE,IF($C$11&gt;0,0.00025*C493,0),IF('prijem - EUR-viac-domacnosti'!$I$121=TRUE,IF('prijem - EUR-viac-domacnosti'!$F$121&gt;0,0.00025*C493,0),0))</f>
        <v>0</v>
      </c>
      <c r="L494" s="89">
        <v>478</v>
      </c>
      <c r="M494" s="186" t="e">
        <f t="shared" si="76"/>
        <v>#DIV/0!</v>
      </c>
      <c r="N494" s="171" t="e">
        <f t="shared" si="77"/>
        <v>#DIV/0!</v>
      </c>
      <c r="O494" s="171" t="e">
        <f t="shared" si="70"/>
        <v>#DIV/0!</v>
      </c>
      <c r="P494" s="171" t="e">
        <f t="shared" si="78"/>
        <v>#DIV/0!</v>
      </c>
      <c r="Q494" s="171" t="e">
        <f t="shared" si="79"/>
        <v>#DIV/0!</v>
      </c>
      <c r="R494" s="186">
        <f>IF('prijem - EUR-viac-domacnosti'!$I$120=TRUE,IF($C$11&gt;0,0.00025*N493,0),IF('prijem - EUR-viac-domacnosti'!$I$121=TRUE,IF('prijem - EUR-viac-domacnosti'!$F$121&gt;0,0.00025*N493*-1,0),0))</f>
        <v>0</v>
      </c>
    </row>
    <row r="495" spans="1:18" x14ac:dyDescent="0.2">
      <c r="A495" s="89">
        <v>479</v>
      </c>
      <c r="B495" s="186" t="e">
        <f t="shared" si="71"/>
        <v>#NUM!</v>
      </c>
      <c r="C495" s="171" t="e">
        <f t="shared" si="72"/>
        <v>#NUM!</v>
      </c>
      <c r="D495" s="171" t="e">
        <f t="shared" si="73"/>
        <v>#NUM!</v>
      </c>
      <c r="E495" s="171" t="e">
        <f t="shared" si="74"/>
        <v>#NUM!</v>
      </c>
      <c r="F495" s="171" t="e">
        <f t="shared" si="75"/>
        <v>#NUM!</v>
      </c>
      <c r="G495" s="186">
        <f>IF('prijem - EUR-viac-domacnosti'!$I$120=TRUE,IF($C$11&gt;0,0.00025*C494,0),IF('prijem - EUR-viac-domacnosti'!$I$121=TRUE,IF('prijem - EUR-viac-domacnosti'!$F$121&gt;0,0.00025*C494,0),0))</f>
        <v>0</v>
      </c>
      <c r="L495" s="89">
        <v>479</v>
      </c>
      <c r="M495" s="186" t="e">
        <f t="shared" si="76"/>
        <v>#DIV/0!</v>
      </c>
      <c r="N495" s="171" t="e">
        <f t="shared" si="77"/>
        <v>#DIV/0!</v>
      </c>
      <c r="O495" s="171" t="e">
        <f t="shared" si="70"/>
        <v>#DIV/0!</v>
      </c>
      <c r="P495" s="171" t="e">
        <f t="shared" si="78"/>
        <v>#DIV/0!</v>
      </c>
      <c r="Q495" s="171" t="e">
        <f t="shared" si="79"/>
        <v>#DIV/0!</v>
      </c>
      <c r="R495" s="186">
        <f>IF('prijem - EUR-viac-domacnosti'!$I$120=TRUE,IF($C$11&gt;0,0.00025*N494,0),IF('prijem - EUR-viac-domacnosti'!$I$121=TRUE,IF('prijem - EUR-viac-domacnosti'!$F$121&gt;0,0.00025*N494*-1,0),0))</f>
        <v>0</v>
      </c>
    </row>
    <row r="496" spans="1:18" x14ac:dyDescent="0.2">
      <c r="A496" s="89">
        <v>480</v>
      </c>
      <c r="B496" s="186" t="e">
        <f t="shared" si="71"/>
        <v>#NUM!</v>
      </c>
      <c r="C496" s="171" t="e">
        <f t="shared" si="72"/>
        <v>#NUM!</v>
      </c>
      <c r="D496" s="171" t="e">
        <f t="shared" si="73"/>
        <v>#NUM!</v>
      </c>
      <c r="E496" s="171" t="e">
        <f t="shared" si="74"/>
        <v>#NUM!</v>
      </c>
      <c r="F496" s="171" t="e">
        <f t="shared" si="75"/>
        <v>#NUM!</v>
      </c>
      <c r="G496" s="186">
        <f>IF('prijem - EUR-viac-domacnosti'!$I$120=TRUE,IF($C$11&gt;0,0.00025*C495,0),IF('prijem - EUR-viac-domacnosti'!$I$121=TRUE,IF('prijem - EUR-viac-domacnosti'!$F$121&gt;0,0.00025*C495,0),0))</f>
        <v>0</v>
      </c>
      <c r="L496" s="89">
        <v>480</v>
      </c>
      <c r="M496" s="186" t="e">
        <f t="shared" si="76"/>
        <v>#DIV/0!</v>
      </c>
      <c r="N496" s="171" t="e">
        <f t="shared" si="77"/>
        <v>#DIV/0!</v>
      </c>
      <c r="O496" s="171" t="e">
        <f t="shared" si="70"/>
        <v>#DIV/0!</v>
      </c>
      <c r="P496" s="171" t="e">
        <f t="shared" si="78"/>
        <v>#DIV/0!</v>
      </c>
      <c r="Q496" s="171" t="e">
        <f t="shared" si="79"/>
        <v>#DIV/0!</v>
      </c>
      <c r="R496" s="186">
        <f>IF('prijem - EUR-viac-domacnosti'!$I$120=TRUE,IF($C$11&gt;0,0.00025*N495,0),IF('prijem - EUR-viac-domacnosti'!$I$121=TRUE,IF('prijem - EUR-viac-domacnosti'!$F$121&gt;0,0.00025*N495*-1,0),0))</f>
        <v>0</v>
      </c>
    </row>
    <row r="497" spans="1:12" x14ac:dyDescent="0.2">
      <c r="A497" s="89">
        <v>481</v>
      </c>
      <c r="L497" s="89">
        <v>481</v>
      </c>
    </row>
  </sheetData>
  <pageMargins left="0.7" right="0.7" top="0.75" bottom="0.75" header="0.3" footer="0.3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R246"/>
  <sheetViews>
    <sheetView showGridLines="0" topLeftCell="A94" zoomScaleNormal="100" workbookViewId="0">
      <selection activeCell="F117" sqref="F117"/>
    </sheetView>
  </sheetViews>
  <sheetFormatPr defaultColWidth="0" defaultRowHeight="12.75" customHeight="1" zeroHeight="1" outlineLevelRow="2" x14ac:dyDescent="0.2"/>
  <cols>
    <col min="1" max="1" width="6" customWidth="1"/>
    <col min="2" max="2" width="1.42578125" customWidth="1"/>
    <col min="3" max="3" width="2.7109375" customWidth="1"/>
    <col min="4" max="4" width="16.5703125" style="1" customWidth="1"/>
    <col min="5" max="5" width="40" style="1" customWidth="1"/>
    <col min="6" max="6" width="23.85546875" customWidth="1"/>
    <col min="7" max="7" width="2.7109375" customWidth="1"/>
    <col min="8" max="8" width="1.42578125" customWidth="1"/>
    <col min="9" max="9" width="9.140625" customWidth="1"/>
    <col min="10" max="10" width="2.42578125" customWidth="1"/>
    <col min="11" max="11" width="44.85546875" hidden="1" customWidth="1"/>
  </cols>
  <sheetData>
    <row r="1" spans="2:12" ht="53.25" customHeight="1" thickBot="1" x14ac:dyDescent="0.25">
      <c r="C1" s="380" t="s">
        <v>0</v>
      </c>
      <c r="D1" s="380"/>
      <c r="E1" s="380"/>
      <c r="F1" s="380"/>
      <c r="G1" s="380"/>
    </row>
    <row r="2" spans="2:12" x14ac:dyDescent="0.2">
      <c r="B2" s="5"/>
      <c r="C2" s="13"/>
      <c r="D2" s="14"/>
      <c r="E2" s="14"/>
      <c r="F2" s="13"/>
      <c r="G2" s="13"/>
      <c r="H2" s="11"/>
      <c r="I2" s="454"/>
    </row>
    <row r="3" spans="2:12" x14ac:dyDescent="0.2">
      <c r="B3" s="6"/>
      <c r="C3" s="271"/>
      <c r="D3" s="272" t="s">
        <v>87</v>
      </c>
      <c r="E3" s="273"/>
      <c r="F3" s="280"/>
      <c r="G3" s="271"/>
      <c r="H3" s="12"/>
      <c r="I3" s="455"/>
    </row>
    <row r="4" spans="2:12" x14ac:dyDescent="0.2">
      <c r="B4" s="6"/>
      <c r="C4" s="267"/>
      <c r="D4" s="268"/>
      <c r="E4" s="274"/>
      <c r="F4" s="279" t="str">
        <f>IF(ISBLANK(F3),"DÁTUM PODANIA!","OK")</f>
        <v>DÁTUM PODANIA!</v>
      </c>
      <c r="G4" s="267"/>
      <c r="H4" s="12"/>
      <c r="I4" s="278"/>
    </row>
    <row r="5" spans="2:12" x14ac:dyDescent="0.2">
      <c r="B5" s="6"/>
      <c r="C5" s="267"/>
      <c r="D5" s="268" t="s">
        <v>88</v>
      </c>
      <c r="E5" s="274"/>
      <c r="F5" s="270"/>
      <c r="G5" s="267"/>
      <c r="H5" s="12"/>
    </row>
    <row r="6" spans="2:12" x14ac:dyDescent="0.2">
      <c r="B6" s="6"/>
      <c r="C6" s="15"/>
      <c r="D6" s="16"/>
      <c r="E6" s="16"/>
      <c r="F6" s="15"/>
      <c r="G6" s="15"/>
      <c r="H6" s="12"/>
    </row>
    <row r="7" spans="2:12" ht="15" x14ac:dyDescent="0.2">
      <c r="B7" s="6"/>
      <c r="C7" s="23"/>
      <c r="D7" s="470" t="s">
        <v>148</v>
      </c>
      <c r="E7" s="471"/>
      <c r="F7" s="151">
        <f>F9+F11+F12+F14+F15+F17</f>
        <v>0</v>
      </c>
      <c r="G7" s="30"/>
      <c r="H7" s="12"/>
      <c r="L7" s="4"/>
    </row>
    <row r="8" spans="2:12" ht="15" x14ac:dyDescent="0.2">
      <c r="B8" s="6"/>
      <c r="C8" s="23"/>
      <c r="D8" s="216" t="s">
        <v>150</v>
      </c>
      <c r="E8" s="242"/>
      <c r="F8" s="218">
        <f>F10+F11+F13+F14+F16+F17</f>
        <v>0</v>
      </c>
      <c r="G8" s="30"/>
      <c r="H8" s="12"/>
      <c r="L8" s="4"/>
    </row>
    <row r="9" spans="2:12" ht="15.75" thickBot="1" x14ac:dyDescent="0.25">
      <c r="B9" s="6"/>
      <c r="C9" s="23"/>
      <c r="D9" s="216" t="s">
        <v>113</v>
      </c>
      <c r="E9" s="217"/>
      <c r="F9" s="218" t="str">
        <f>IF(F21="","0",(F10*(F86-MIN(MAX(F21+F86-744,0),F86))/F86)+(F10*0.85*MIN(MAX(F21+F86-744,0),F86)/F86))</f>
        <v>0</v>
      </c>
      <c r="G9" s="30"/>
      <c r="H9" s="12"/>
      <c r="L9" s="4"/>
    </row>
    <row r="10" spans="2:12" ht="15" x14ac:dyDescent="0.2">
      <c r="B10" s="6"/>
      <c r="C10" s="23"/>
      <c r="D10" s="219" t="s">
        <v>113</v>
      </c>
      <c r="E10" s="220"/>
      <c r="F10" s="221"/>
      <c r="G10" s="30"/>
      <c r="H10" s="12"/>
      <c r="L10" s="4"/>
    </row>
    <row r="11" spans="2:12" ht="15.75" thickBot="1" x14ac:dyDescent="0.25">
      <c r="B11" s="6"/>
      <c r="C11" s="23"/>
      <c r="D11" s="222" t="s">
        <v>114</v>
      </c>
      <c r="E11" s="223"/>
      <c r="F11" s="224"/>
      <c r="G11" s="30"/>
      <c r="H11" s="12"/>
      <c r="L11" s="4"/>
    </row>
    <row r="12" spans="2:12" ht="15.75" thickBot="1" x14ac:dyDescent="0.25">
      <c r="B12" s="6"/>
      <c r="C12" s="23"/>
      <c r="D12" s="225" t="s">
        <v>115</v>
      </c>
      <c r="E12" s="226"/>
      <c r="F12" s="227" t="str">
        <f>IF(F24="","0",(F13*(F86-MIN(MAX(F24+F86-744,0),F86))/F86)+(F13*0.85*MIN(MAX(F24+F86-744,0),F86)/F86))</f>
        <v>0</v>
      </c>
      <c r="G12" s="30"/>
      <c r="H12" s="12"/>
      <c r="L12" s="4"/>
    </row>
    <row r="13" spans="2:12" ht="15" x14ac:dyDescent="0.2">
      <c r="B13" s="6"/>
      <c r="C13" s="23"/>
      <c r="D13" s="219" t="s">
        <v>115</v>
      </c>
      <c r="E13" s="220"/>
      <c r="F13" s="221"/>
      <c r="G13" s="30"/>
      <c r="H13" s="12"/>
      <c r="L13" s="4"/>
    </row>
    <row r="14" spans="2:12" ht="15.75" thickBot="1" x14ac:dyDescent="0.25">
      <c r="B14" s="6"/>
      <c r="C14" s="23"/>
      <c r="D14" s="222" t="s">
        <v>116</v>
      </c>
      <c r="E14" s="223"/>
      <c r="F14" s="224"/>
      <c r="G14" s="30"/>
      <c r="H14" s="12"/>
      <c r="L14" s="4"/>
    </row>
    <row r="15" spans="2:12" ht="15.75" thickBot="1" x14ac:dyDescent="0.25">
      <c r="B15" s="6"/>
      <c r="C15" s="23"/>
      <c r="D15" s="225" t="s">
        <v>119</v>
      </c>
      <c r="E15" s="226"/>
      <c r="F15" s="227" t="str">
        <f>IF(F27="","0",(F16*(F86-MIN(MAX(F27+F86-744,0),F86))/F86)+(F16*0.85*MIN(MAX(F27+F86-744,0),F86)/F86))</f>
        <v>0</v>
      </c>
      <c r="G15" s="30"/>
      <c r="H15" s="12"/>
      <c r="L15" s="4"/>
    </row>
    <row r="16" spans="2:12" ht="15" x14ac:dyDescent="0.2">
      <c r="B16" s="6"/>
      <c r="C16" s="23"/>
      <c r="D16" s="219" t="s">
        <v>119</v>
      </c>
      <c r="E16" s="220"/>
      <c r="F16" s="221"/>
      <c r="G16" s="30"/>
      <c r="H16" s="12"/>
      <c r="L16" s="4"/>
    </row>
    <row r="17" spans="2:12" ht="15.75" thickBot="1" x14ac:dyDescent="0.25">
      <c r="B17" s="6"/>
      <c r="C17" s="23"/>
      <c r="D17" s="222" t="s">
        <v>120</v>
      </c>
      <c r="E17" s="223"/>
      <c r="F17" s="224"/>
      <c r="G17" s="30"/>
      <c r="H17" s="12"/>
      <c r="L17" s="4"/>
    </row>
    <row r="18" spans="2:12" ht="15" x14ac:dyDescent="0.2">
      <c r="B18" s="6"/>
      <c r="C18" s="23"/>
      <c r="D18" s="472" t="s">
        <v>23</v>
      </c>
      <c r="E18" s="473"/>
      <c r="F18" s="152"/>
      <c r="G18" s="30"/>
      <c r="H18" s="12"/>
    </row>
    <row r="19" spans="2:12" ht="15" x14ac:dyDescent="0.2">
      <c r="B19" s="6"/>
      <c r="C19" s="23"/>
      <c r="D19" s="472" t="s">
        <v>129</v>
      </c>
      <c r="E19" s="473"/>
      <c r="F19" s="173"/>
      <c r="G19" s="30"/>
      <c r="H19" s="12"/>
    </row>
    <row r="20" spans="2:12" ht="15" x14ac:dyDescent="0.2">
      <c r="B20" s="6"/>
      <c r="C20" s="23"/>
      <c r="D20" s="470" t="s">
        <v>122</v>
      </c>
      <c r="E20" s="474"/>
      <c r="F20" s="152" t="str">
        <f>IF(F19="","",YEAR(F3)-YEAR(F19))</f>
        <v/>
      </c>
      <c r="G20" s="30"/>
      <c r="H20" s="12"/>
    </row>
    <row r="21" spans="2:12" ht="15" x14ac:dyDescent="0.2">
      <c r="B21" s="6"/>
      <c r="C21" s="23"/>
      <c r="D21" s="470" t="s">
        <v>123</v>
      </c>
      <c r="E21" s="474"/>
      <c r="F21" s="152" t="str">
        <f>IF(F19="","",(DATEDIF(F19,F3,"M"))+(IF((DAY(F19)-DAY(F3))&lt;=0,0,1)))</f>
        <v/>
      </c>
      <c r="G21" s="30"/>
      <c r="H21" s="12"/>
    </row>
    <row r="22" spans="2:12" ht="15" x14ac:dyDescent="0.2">
      <c r="B22" s="6"/>
      <c r="C22" s="23"/>
      <c r="D22" s="472" t="s">
        <v>118</v>
      </c>
      <c r="E22" s="485"/>
      <c r="F22" s="173"/>
      <c r="G22" s="30"/>
      <c r="H22" s="12"/>
    </row>
    <row r="23" spans="2:12" ht="15" x14ac:dyDescent="0.2">
      <c r="B23" s="6"/>
      <c r="C23" s="23"/>
      <c r="D23" s="470" t="s">
        <v>130</v>
      </c>
      <c r="E23" s="474"/>
      <c r="F23" s="152" t="str">
        <f>IF(F22="","",YEAR(F3)-YEAR(F22))</f>
        <v/>
      </c>
      <c r="G23" s="30"/>
      <c r="H23" s="12"/>
    </row>
    <row r="24" spans="2:12" ht="15" x14ac:dyDescent="0.2">
      <c r="B24" s="6"/>
      <c r="C24" s="23"/>
      <c r="D24" s="470" t="s">
        <v>124</v>
      </c>
      <c r="E24" s="474"/>
      <c r="F24" s="152" t="str">
        <f>IF(F22="","",(DATEDIF(F22,F3,"M"))+(IF((DAY(F22)-DAY(F3))&lt;=0,0,1)))</f>
        <v/>
      </c>
      <c r="G24" s="30"/>
      <c r="H24" s="12"/>
    </row>
    <row r="25" spans="2:12" ht="15" x14ac:dyDescent="0.2">
      <c r="B25" s="6"/>
      <c r="C25" s="23"/>
      <c r="D25" s="472" t="s">
        <v>121</v>
      </c>
      <c r="E25" s="485"/>
      <c r="F25" s="173"/>
      <c r="G25" s="30"/>
      <c r="H25" s="12"/>
    </row>
    <row r="26" spans="2:12" ht="15" x14ac:dyDescent="0.2">
      <c r="B26" s="6"/>
      <c r="C26" s="23"/>
      <c r="D26" s="470" t="s">
        <v>131</v>
      </c>
      <c r="E26" s="474"/>
      <c r="F26" s="152" t="str">
        <f>IF(F25="","",YEAR(F3)-YEAR(F25))</f>
        <v/>
      </c>
      <c r="G26" s="30"/>
      <c r="H26" s="12"/>
    </row>
    <row r="27" spans="2:12" ht="15" x14ac:dyDescent="0.2">
      <c r="B27" s="6"/>
      <c r="C27" s="23"/>
      <c r="D27" s="470" t="s">
        <v>125</v>
      </c>
      <c r="E27" s="474"/>
      <c r="F27" s="152" t="str">
        <f>IF(F25="","",(DATEDIF(F25,F3,"M"))+(IF((DAY(F25)-DAY(F3))&lt;=0,0,1)))</f>
        <v/>
      </c>
      <c r="G27" s="30"/>
      <c r="H27" s="12"/>
    </row>
    <row r="28" spans="2:12" ht="15" x14ac:dyDescent="0.2">
      <c r="B28" s="6"/>
      <c r="C28" s="23"/>
      <c r="D28" s="472" t="s">
        <v>24</v>
      </c>
      <c r="E28" s="473"/>
      <c r="F28" s="152">
        <v>0</v>
      </c>
      <c r="G28" s="30"/>
      <c r="H28" s="12"/>
      <c r="L28" s="1"/>
    </row>
    <row r="29" spans="2:12" ht="15" x14ac:dyDescent="0.2">
      <c r="B29" s="6"/>
      <c r="C29" s="23"/>
      <c r="D29" s="433" t="s">
        <v>4</v>
      </c>
      <c r="E29" s="434"/>
      <c r="F29" s="153">
        <f>$F$18+$F$28</f>
        <v>0</v>
      </c>
      <c r="G29" s="30"/>
      <c r="H29" s="12"/>
      <c r="J29" s="35"/>
      <c r="L29" s="1"/>
    </row>
    <row r="30" spans="2:12" ht="15" x14ac:dyDescent="0.2">
      <c r="B30" s="6"/>
      <c r="C30" s="23"/>
      <c r="D30" s="472" t="s">
        <v>47</v>
      </c>
      <c r="E30" s="473"/>
      <c r="F30" s="152">
        <v>0</v>
      </c>
      <c r="G30" s="30"/>
      <c r="H30" s="12"/>
    </row>
    <row r="31" spans="2:12" ht="15" x14ac:dyDescent="0.2">
      <c r="B31" s="6"/>
      <c r="C31" s="23"/>
      <c r="D31" s="433" t="s">
        <v>1</v>
      </c>
      <c r="E31" s="434"/>
      <c r="F31" s="154">
        <f>MAX(0.95*(F7-MAX($F$32,$F$33)),0)</f>
        <v>0</v>
      </c>
      <c r="G31" s="30"/>
      <c r="H31" s="12"/>
    </row>
    <row r="32" spans="2:12" ht="15" x14ac:dyDescent="0.2">
      <c r="B32" s="6"/>
      <c r="C32" s="23"/>
      <c r="D32" s="433" t="s">
        <v>152</v>
      </c>
      <c r="E32" s="434"/>
      <c r="F32" s="155">
        <f>IF($F$29=0,0,0.2*(F7-(210.2+($F$29-$F$30-1)*146.64+($F$30)*95.96+$F$40))+(210.2+($F$29-$F$30-1)*146.64+($F$30)*95.96+$F$40))</f>
        <v>0</v>
      </c>
      <c r="G32" s="30"/>
      <c r="H32" s="12"/>
    </row>
    <row r="33" spans="2:12" ht="15" x14ac:dyDescent="0.2">
      <c r="B33" s="6"/>
      <c r="C33" s="23"/>
      <c r="D33" s="433" t="s">
        <v>153</v>
      </c>
      <c r="E33" s="434"/>
      <c r="F33" s="155">
        <f>IF($F$29=0,0,MAX($F$29*((185*($F$29^(-0.4)))^(1-0.4))*(($F$8/$F$29)^(0.4)),0))</f>
        <v>0</v>
      </c>
      <c r="G33" s="30"/>
      <c r="H33" s="12"/>
    </row>
    <row r="34" spans="2:12" x14ac:dyDescent="0.2">
      <c r="B34" s="6"/>
      <c r="C34" s="23"/>
      <c r="D34" s="156"/>
      <c r="E34" s="156"/>
      <c r="F34" s="157"/>
      <c r="G34" s="30"/>
      <c r="H34" s="12"/>
    </row>
    <row r="35" spans="2:12" ht="15" x14ac:dyDescent="0.2">
      <c r="B35" s="6"/>
      <c r="C35" s="23"/>
      <c r="D35" s="430" t="s">
        <v>43</v>
      </c>
      <c r="E35" s="431"/>
      <c r="F35" s="229">
        <v>0</v>
      </c>
      <c r="G35" s="30"/>
      <c r="H35" s="12"/>
    </row>
    <row r="36" spans="2:12" ht="15" x14ac:dyDescent="0.2">
      <c r="B36" s="6"/>
      <c r="C36" s="23"/>
      <c r="D36" s="430" t="s">
        <v>44</v>
      </c>
      <c r="E36" s="431"/>
      <c r="F36" s="229">
        <v>0</v>
      </c>
      <c r="G36" s="30"/>
      <c r="H36" s="12"/>
    </row>
    <row r="37" spans="2:12" ht="15" x14ac:dyDescent="0.2">
      <c r="B37" s="6"/>
      <c r="C37" s="23"/>
      <c r="D37" s="430" t="s">
        <v>26</v>
      </c>
      <c r="E37" s="431"/>
      <c r="F37" s="229">
        <v>0</v>
      </c>
      <c r="G37" s="30"/>
      <c r="H37" s="12"/>
    </row>
    <row r="38" spans="2:12" ht="15" x14ac:dyDescent="0.2">
      <c r="B38" s="6"/>
      <c r="C38" s="23"/>
      <c r="D38" s="430" t="s">
        <v>27</v>
      </c>
      <c r="E38" s="431"/>
      <c r="F38" s="229">
        <v>0</v>
      </c>
      <c r="G38" s="30"/>
      <c r="H38" s="12"/>
    </row>
    <row r="39" spans="2:12" ht="15" x14ac:dyDescent="0.2">
      <c r="B39" s="6"/>
      <c r="C39" s="23"/>
      <c r="D39" s="430" t="s">
        <v>28</v>
      </c>
      <c r="E39" s="431"/>
      <c r="F39" s="229">
        <v>0</v>
      </c>
      <c r="G39" s="30"/>
      <c r="H39" s="12"/>
    </row>
    <row r="40" spans="2:12" ht="15" x14ac:dyDescent="0.2">
      <c r="B40" s="6"/>
      <c r="C40" s="23"/>
      <c r="D40" s="251" t="s">
        <v>154</v>
      </c>
      <c r="E40" s="249"/>
      <c r="F40" s="154">
        <f>IF($F$39=0,0,IF($F$39&gt;30,$F$39,30))</f>
        <v>0</v>
      </c>
      <c r="G40" s="30"/>
      <c r="H40" s="12"/>
    </row>
    <row r="41" spans="2:12" ht="15" x14ac:dyDescent="0.2">
      <c r="B41" s="6"/>
      <c r="C41" s="23"/>
      <c r="D41" s="475" t="s">
        <v>2</v>
      </c>
      <c r="E41" s="476"/>
      <c r="F41" s="154">
        <f>MAX((MIN($F$31,0.75*F7)-$F$35-($F$36*1.2)-0.03*$F$37-0.03*$F$38),0)</f>
        <v>0</v>
      </c>
      <c r="G41" s="30"/>
      <c r="H41" s="12"/>
    </row>
    <row r="42" spans="2:12" ht="13.5" thickBot="1" x14ac:dyDescent="0.25">
      <c r="B42" s="6"/>
      <c r="C42" s="24"/>
      <c r="D42" s="25"/>
      <c r="E42" s="25"/>
      <c r="F42" s="28"/>
      <c r="G42" s="29"/>
      <c r="H42" s="12"/>
    </row>
    <row r="43" spans="2:12" ht="13.5" thickBot="1" x14ac:dyDescent="0.25">
      <c r="B43" s="6"/>
      <c r="C43" s="158"/>
      <c r="D43" s="159"/>
      <c r="E43" s="159"/>
      <c r="F43" s="158"/>
      <c r="G43" s="158"/>
      <c r="H43" s="12"/>
    </row>
    <row r="44" spans="2:12" x14ac:dyDescent="0.2">
      <c r="B44" s="6"/>
      <c r="C44" s="23"/>
      <c r="D44" s="156"/>
      <c r="E44" s="156"/>
      <c r="F44" s="157"/>
      <c r="G44" s="30"/>
      <c r="H44" s="12"/>
    </row>
    <row r="45" spans="2:12" ht="15" x14ac:dyDescent="0.2">
      <c r="B45" s="6"/>
      <c r="C45" s="23"/>
      <c r="D45" s="477" t="s">
        <v>149</v>
      </c>
      <c r="E45" s="478"/>
      <c r="F45" s="160">
        <f>F47+F49+F50+F52+F53+F55</f>
        <v>0</v>
      </c>
      <c r="G45" s="30"/>
      <c r="H45" s="12"/>
      <c r="L45" s="4"/>
    </row>
    <row r="46" spans="2:12" ht="15" x14ac:dyDescent="0.2">
      <c r="B46" s="6"/>
      <c r="C46" s="23"/>
      <c r="D46" s="204" t="s">
        <v>151</v>
      </c>
      <c r="E46" s="243"/>
      <c r="F46" s="206">
        <f>F48+F49+F51+F52+F54+F55</f>
        <v>0</v>
      </c>
      <c r="G46" s="30"/>
      <c r="H46" s="12"/>
      <c r="L46" s="4"/>
    </row>
    <row r="47" spans="2:12" ht="15.75" thickBot="1" x14ac:dyDescent="0.25">
      <c r="B47" s="6"/>
      <c r="C47" s="23"/>
      <c r="D47" s="204" t="s">
        <v>113</v>
      </c>
      <c r="E47" s="205"/>
      <c r="F47" s="206" t="str">
        <f>IF(F59="","0",(F48*(F86-MIN(MAX(F59+F86-744,0),F86))/F86)+(F48*0.85*MIN(MAX(F59+F86-744,0),F86)/F86))</f>
        <v>0</v>
      </c>
      <c r="G47" s="30"/>
      <c r="H47" s="12"/>
      <c r="L47" s="4"/>
    </row>
    <row r="48" spans="2:12" ht="15" x14ac:dyDescent="0.2">
      <c r="B48" s="6"/>
      <c r="C48" s="23"/>
      <c r="D48" s="207" t="s">
        <v>113</v>
      </c>
      <c r="E48" s="208"/>
      <c r="F48" s="209"/>
      <c r="G48" s="30"/>
      <c r="H48" s="12"/>
      <c r="L48" s="4"/>
    </row>
    <row r="49" spans="2:12" ht="15.75" thickBot="1" x14ac:dyDescent="0.25">
      <c r="B49" s="6"/>
      <c r="C49" s="23"/>
      <c r="D49" s="210" t="s">
        <v>114</v>
      </c>
      <c r="E49" s="211"/>
      <c r="F49" s="212"/>
      <c r="G49" s="30"/>
      <c r="H49" s="12"/>
      <c r="L49" s="4"/>
    </row>
    <row r="50" spans="2:12" ht="15.75" thickBot="1" x14ac:dyDescent="0.25">
      <c r="B50" s="6"/>
      <c r="C50" s="23"/>
      <c r="D50" s="213" t="s">
        <v>115</v>
      </c>
      <c r="E50" s="214"/>
      <c r="F50" s="215" t="str">
        <f>IF(F62="","0",(F51*(F86-MIN(MAX(F62+F86-744,0),F86))/F86)+(F51*0.85*MIN(MAX(F62+F86-744,0),F86)/F86))</f>
        <v>0</v>
      </c>
      <c r="G50" s="30"/>
      <c r="H50" s="12"/>
      <c r="L50" s="4"/>
    </row>
    <row r="51" spans="2:12" ht="15" x14ac:dyDescent="0.2">
      <c r="B51" s="6"/>
      <c r="C51" s="23"/>
      <c r="D51" s="207" t="s">
        <v>115</v>
      </c>
      <c r="E51" s="208"/>
      <c r="F51" s="209"/>
      <c r="G51" s="30"/>
      <c r="H51" s="12"/>
      <c r="L51" s="4"/>
    </row>
    <row r="52" spans="2:12" ht="15.75" thickBot="1" x14ac:dyDescent="0.25">
      <c r="B52" s="6"/>
      <c r="C52" s="23"/>
      <c r="D52" s="210" t="s">
        <v>116</v>
      </c>
      <c r="E52" s="211"/>
      <c r="F52" s="212"/>
      <c r="G52" s="30"/>
      <c r="H52" s="12"/>
      <c r="L52" s="4"/>
    </row>
    <row r="53" spans="2:12" ht="15.75" thickBot="1" x14ac:dyDescent="0.25">
      <c r="B53" s="6"/>
      <c r="C53" s="23"/>
      <c r="D53" s="213" t="s">
        <v>119</v>
      </c>
      <c r="E53" s="214"/>
      <c r="F53" s="215" t="str">
        <f>IF(F65="","0",(F54*(F86-MIN(MAX(F65+F86-744,0),F86))/F86)+(F54*0.85*MIN(MAX(F65+F86-744,0),F86)/F86))</f>
        <v>0</v>
      </c>
      <c r="G53" s="30"/>
      <c r="H53" s="12"/>
      <c r="L53" s="4"/>
    </row>
    <row r="54" spans="2:12" ht="15" x14ac:dyDescent="0.2">
      <c r="B54" s="6"/>
      <c r="C54" s="23"/>
      <c r="D54" s="207" t="s">
        <v>119</v>
      </c>
      <c r="E54" s="208"/>
      <c r="F54" s="209"/>
      <c r="G54" s="30"/>
      <c r="H54" s="12"/>
      <c r="L54" s="4"/>
    </row>
    <row r="55" spans="2:12" ht="15.75" thickBot="1" x14ac:dyDescent="0.25">
      <c r="B55" s="6"/>
      <c r="C55" s="23"/>
      <c r="D55" s="210" t="s">
        <v>120</v>
      </c>
      <c r="E55" s="211"/>
      <c r="F55" s="212"/>
      <c r="G55" s="30"/>
      <c r="H55" s="12"/>
      <c r="L55" s="4"/>
    </row>
    <row r="56" spans="2:12" ht="15" x14ac:dyDescent="0.2">
      <c r="B56" s="6"/>
      <c r="C56" s="23"/>
      <c r="D56" s="479" t="s">
        <v>23</v>
      </c>
      <c r="E56" s="480"/>
      <c r="F56" s="161">
        <v>0</v>
      </c>
      <c r="G56" s="30"/>
      <c r="H56" s="12"/>
    </row>
    <row r="57" spans="2:12" ht="15" x14ac:dyDescent="0.2">
      <c r="B57" s="6"/>
      <c r="C57" s="23"/>
      <c r="D57" s="479" t="s">
        <v>117</v>
      </c>
      <c r="E57" s="487"/>
      <c r="F57" s="161"/>
      <c r="G57" s="30"/>
      <c r="H57" s="12"/>
    </row>
    <row r="58" spans="2:12" ht="15" x14ac:dyDescent="0.2">
      <c r="B58" s="6"/>
      <c r="C58" s="23"/>
      <c r="D58" s="477" t="s">
        <v>122</v>
      </c>
      <c r="E58" s="486"/>
      <c r="F58" s="161" t="str">
        <f>IF(F57="","",YEAR(F3)-YEAR(F57))</f>
        <v/>
      </c>
      <c r="G58" s="30"/>
      <c r="H58" s="12"/>
    </row>
    <row r="59" spans="2:12" ht="15" x14ac:dyDescent="0.2">
      <c r="B59" s="6"/>
      <c r="C59" s="23"/>
      <c r="D59" s="477" t="s">
        <v>123</v>
      </c>
      <c r="E59" s="486"/>
      <c r="F59" s="161" t="str">
        <f>IF(F57="","",(DATEDIF(F57,F3,"M"))+(IF((DAY(F57)-DAY(F3))&lt;=0,0,1)))</f>
        <v/>
      </c>
      <c r="G59" s="30"/>
      <c r="H59" s="12"/>
    </row>
    <row r="60" spans="2:12" ht="14.25" customHeight="1" x14ac:dyDescent="0.2">
      <c r="B60" s="6"/>
      <c r="C60" s="23"/>
      <c r="D60" s="479" t="s">
        <v>118</v>
      </c>
      <c r="E60" s="487"/>
      <c r="F60" s="228"/>
      <c r="G60" s="30"/>
      <c r="H60" s="12"/>
    </row>
    <row r="61" spans="2:12" ht="14.25" customHeight="1" x14ac:dyDescent="0.2">
      <c r="B61" s="6"/>
      <c r="C61" s="23"/>
      <c r="D61" s="477" t="s">
        <v>130</v>
      </c>
      <c r="E61" s="486"/>
      <c r="F61" s="228" t="str">
        <f>IF(F60="","",YEAR(F3)-YEAR(F60))</f>
        <v/>
      </c>
      <c r="G61" s="30"/>
      <c r="H61" s="12"/>
    </row>
    <row r="62" spans="2:12" ht="15" x14ac:dyDescent="0.2">
      <c r="B62" s="6"/>
      <c r="C62" s="23"/>
      <c r="D62" s="477" t="s">
        <v>124</v>
      </c>
      <c r="E62" s="486"/>
      <c r="F62" s="161" t="str">
        <f>IF(F60="","",(DATEDIF(F60,F3,"M"))+(IF((DAY(F60)-DAY(F3))&lt;=0,0,1)))</f>
        <v/>
      </c>
      <c r="G62" s="30"/>
      <c r="H62" s="12"/>
    </row>
    <row r="63" spans="2:12" ht="15" x14ac:dyDescent="0.2">
      <c r="B63" s="6"/>
      <c r="C63" s="23"/>
      <c r="D63" s="479" t="s">
        <v>121</v>
      </c>
      <c r="E63" s="487"/>
      <c r="F63" s="228"/>
      <c r="G63" s="30"/>
      <c r="H63" s="12"/>
    </row>
    <row r="64" spans="2:12" ht="15" x14ac:dyDescent="0.2">
      <c r="B64" s="6"/>
      <c r="C64" s="23"/>
      <c r="D64" s="477" t="s">
        <v>131</v>
      </c>
      <c r="E64" s="486"/>
      <c r="F64" s="228" t="str">
        <f>IF(F63="","",YEAR(F3)-YEAR(F63))</f>
        <v/>
      </c>
      <c r="G64" s="30"/>
      <c r="H64" s="12"/>
    </row>
    <row r="65" spans="2:12" ht="15" x14ac:dyDescent="0.2">
      <c r="B65" s="6"/>
      <c r="C65" s="23"/>
      <c r="D65" s="477" t="s">
        <v>125</v>
      </c>
      <c r="E65" s="486"/>
      <c r="F65" s="161" t="str">
        <f>IF(F63="","",(DATEDIF(F63,F3,"M"))+(IF((DAY(F63)-DAY(F3))&lt;=0,0,1)))</f>
        <v/>
      </c>
      <c r="G65" s="30"/>
      <c r="H65" s="12"/>
    </row>
    <row r="66" spans="2:12" ht="15" x14ac:dyDescent="0.2">
      <c r="B66" s="6"/>
      <c r="C66" s="23"/>
      <c r="D66" s="479" t="s">
        <v>24</v>
      </c>
      <c r="E66" s="480"/>
      <c r="F66" s="161">
        <v>0</v>
      </c>
      <c r="G66" s="30"/>
      <c r="H66" s="12"/>
      <c r="L66" s="1"/>
    </row>
    <row r="67" spans="2:12" ht="15" x14ac:dyDescent="0.2">
      <c r="B67" s="6"/>
      <c r="C67" s="23"/>
      <c r="D67" s="451" t="s">
        <v>4</v>
      </c>
      <c r="E67" s="452"/>
      <c r="F67" s="162">
        <f>$F$56+$F$66</f>
        <v>0</v>
      </c>
      <c r="G67" s="30"/>
      <c r="H67" s="12"/>
      <c r="J67" s="35"/>
      <c r="L67" s="1"/>
    </row>
    <row r="68" spans="2:12" ht="15" x14ac:dyDescent="0.2">
      <c r="B68" s="6"/>
      <c r="C68" s="23"/>
      <c r="D68" s="479" t="s">
        <v>47</v>
      </c>
      <c r="E68" s="480"/>
      <c r="F68" s="161">
        <v>0</v>
      </c>
      <c r="G68" s="30"/>
      <c r="H68" s="12"/>
    </row>
    <row r="69" spans="2:12" ht="15" x14ac:dyDescent="0.2">
      <c r="B69" s="6"/>
      <c r="C69" s="23"/>
      <c r="D69" s="451" t="s">
        <v>1</v>
      </c>
      <c r="E69" s="452"/>
      <c r="F69" s="163">
        <f>MAX(0.95*(F45-MAX($F$70,$F$71)),0)</f>
        <v>0</v>
      </c>
      <c r="G69" s="30"/>
      <c r="H69" s="12"/>
    </row>
    <row r="70" spans="2:12" ht="15" x14ac:dyDescent="0.2">
      <c r="B70" s="6"/>
      <c r="C70" s="23"/>
      <c r="D70" s="451" t="s">
        <v>152</v>
      </c>
      <c r="E70" s="452"/>
      <c r="F70" s="164">
        <f>IF($F$67=0,0,0.2*(F45-(210.2+($F$67-$F$68-1)*146.64+($F$68)*95.96+$F$78))+(210.2+($F$67-$F$68-1)*146.64+($F$68)*95.96+$F$78))</f>
        <v>0</v>
      </c>
      <c r="G70" s="30"/>
      <c r="H70" s="12"/>
    </row>
    <row r="71" spans="2:12" ht="15.6" customHeight="1" x14ac:dyDescent="0.2">
      <c r="B71" s="6"/>
      <c r="C71" s="23"/>
      <c r="D71" s="451" t="s">
        <v>153</v>
      </c>
      <c r="E71" s="452"/>
      <c r="F71" s="164">
        <f>IF($F$67=0,0,MAX($F$67*((185*($F$67^(-0.4)))^(1-0.4))*(($F$46/$F$67)^(0.4)),0))</f>
        <v>0</v>
      </c>
      <c r="G71" s="30"/>
      <c r="H71" s="12"/>
    </row>
    <row r="72" spans="2:12" x14ac:dyDescent="0.2">
      <c r="B72" s="6"/>
      <c r="C72" s="23"/>
      <c r="D72" s="156"/>
      <c r="E72" s="156"/>
      <c r="F72" s="157"/>
      <c r="G72" s="30"/>
      <c r="H72" s="12"/>
    </row>
    <row r="73" spans="2:12" ht="15" x14ac:dyDescent="0.2">
      <c r="B73" s="6"/>
      <c r="C73" s="23"/>
      <c r="D73" s="437" t="s">
        <v>43</v>
      </c>
      <c r="E73" s="438"/>
      <c r="F73" s="230">
        <v>0</v>
      </c>
      <c r="G73" s="30"/>
      <c r="H73" s="12"/>
    </row>
    <row r="74" spans="2:12" ht="15" x14ac:dyDescent="0.2">
      <c r="B74" s="6"/>
      <c r="C74" s="23"/>
      <c r="D74" s="437" t="s">
        <v>44</v>
      </c>
      <c r="E74" s="438"/>
      <c r="F74" s="230">
        <v>0</v>
      </c>
      <c r="G74" s="30"/>
      <c r="H74" s="12"/>
    </row>
    <row r="75" spans="2:12" ht="15" x14ac:dyDescent="0.2">
      <c r="B75" s="6"/>
      <c r="C75" s="23"/>
      <c r="D75" s="437" t="s">
        <v>26</v>
      </c>
      <c r="E75" s="438"/>
      <c r="F75" s="230">
        <v>0</v>
      </c>
      <c r="G75" s="30"/>
      <c r="H75" s="12"/>
    </row>
    <row r="76" spans="2:12" ht="15" x14ac:dyDescent="0.2">
      <c r="B76" s="6"/>
      <c r="C76" s="23"/>
      <c r="D76" s="437" t="s">
        <v>27</v>
      </c>
      <c r="E76" s="438"/>
      <c r="F76" s="230">
        <v>0</v>
      </c>
      <c r="G76" s="30"/>
      <c r="H76" s="12"/>
    </row>
    <row r="77" spans="2:12" ht="15" x14ac:dyDescent="0.2">
      <c r="B77" s="6"/>
      <c r="C77" s="23"/>
      <c r="D77" s="437" t="s">
        <v>28</v>
      </c>
      <c r="E77" s="438"/>
      <c r="F77" s="230">
        <v>0</v>
      </c>
      <c r="G77" s="30"/>
      <c r="H77" s="12"/>
    </row>
    <row r="78" spans="2:12" ht="15" x14ac:dyDescent="0.2">
      <c r="B78" s="6"/>
      <c r="C78" s="23"/>
      <c r="D78" s="252" t="s">
        <v>154</v>
      </c>
      <c r="E78" s="248"/>
      <c r="F78" s="163">
        <f>IF($F$77=0,0,IF($F$77&gt;30,$F$77,30))</f>
        <v>0</v>
      </c>
      <c r="G78" s="30"/>
      <c r="H78" s="12"/>
    </row>
    <row r="79" spans="2:12" ht="15" x14ac:dyDescent="0.2">
      <c r="B79" s="6"/>
      <c r="C79" s="23"/>
      <c r="D79" s="481" t="s">
        <v>2</v>
      </c>
      <c r="E79" s="482"/>
      <c r="F79" s="163">
        <f>MAX((MIN($F$69,0.75*F45)-$F$73-($F$74*1.2)-0.03*$F$75-0.03*$F$76),0)</f>
        <v>0</v>
      </c>
      <c r="G79" s="30"/>
      <c r="H79" s="12"/>
    </row>
    <row r="80" spans="2:12" ht="15" x14ac:dyDescent="0.2">
      <c r="B80" s="6"/>
      <c r="C80" s="23"/>
      <c r="D80" s="483" t="s">
        <v>89</v>
      </c>
      <c r="E80" s="484"/>
      <c r="F80" s="165">
        <f>F41+F79</f>
        <v>0</v>
      </c>
      <c r="G80" s="30"/>
      <c r="H80" s="12"/>
    </row>
    <row r="81" spans="2:8" ht="13.5" thickBot="1" x14ac:dyDescent="0.25">
      <c r="B81" s="6"/>
      <c r="C81" s="23"/>
      <c r="D81" s="156"/>
      <c r="E81" s="156"/>
      <c r="F81" s="157"/>
      <c r="G81" s="30"/>
      <c r="H81" s="12"/>
    </row>
    <row r="82" spans="2:8" ht="13.5" thickBot="1" x14ac:dyDescent="0.25">
      <c r="B82" s="6"/>
      <c r="C82" s="158"/>
      <c r="D82" s="159"/>
      <c r="E82" s="159"/>
      <c r="F82" s="158"/>
      <c r="G82" s="158"/>
      <c r="H82" s="12"/>
    </row>
    <row r="83" spans="2:8" x14ac:dyDescent="0.2">
      <c r="B83" s="6"/>
      <c r="C83" s="21"/>
      <c r="D83" s="22"/>
      <c r="E83" s="22"/>
      <c r="F83" s="26"/>
      <c r="G83" s="27"/>
      <c r="H83" s="12"/>
    </row>
    <row r="84" spans="2:8" ht="15" x14ac:dyDescent="0.2">
      <c r="B84" s="6"/>
      <c r="C84" s="23"/>
      <c r="D84" s="383" t="s">
        <v>29</v>
      </c>
      <c r="E84" s="384"/>
      <c r="F84" s="32"/>
      <c r="G84" s="30"/>
      <c r="H84" s="12"/>
    </row>
    <row r="85" spans="2:8" ht="15" x14ac:dyDescent="0.2">
      <c r="B85" s="6"/>
      <c r="C85" s="23"/>
      <c r="D85" s="383" t="s">
        <v>30</v>
      </c>
      <c r="E85" s="384"/>
      <c r="F85" s="36">
        <f>F84+F121</f>
        <v>0</v>
      </c>
      <c r="G85" s="30"/>
      <c r="H85" s="12"/>
    </row>
    <row r="86" spans="2:8" ht="15" x14ac:dyDescent="0.2">
      <c r="B86" s="6"/>
      <c r="C86" s="23"/>
      <c r="D86" s="383" t="s">
        <v>31</v>
      </c>
      <c r="E86" s="384"/>
      <c r="F86" s="33"/>
      <c r="G86" s="30"/>
      <c r="H86" s="12"/>
    </row>
    <row r="87" spans="2:8" ht="15" x14ac:dyDescent="0.2">
      <c r="B87" s="6"/>
      <c r="C87" s="23"/>
      <c r="D87" s="387" t="s">
        <v>81</v>
      </c>
      <c r="E87" s="389"/>
      <c r="F87" s="32"/>
      <c r="G87" s="30"/>
      <c r="H87" s="12"/>
    </row>
    <row r="88" spans="2:8" ht="15" x14ac:dyDescent="0.2">
      <c r="B88" s="6"/>
      <c r="C88" s="23"/>
      <c r="D88" s="387" t="s">
        <v>82</v>
      </c>
      <c r="E88" s="389"/>
      <c r="F88" s="32"/>
      <c r="G88" s="30"/>
      <c r="H88" s="12"/>
    </row>
    <row r="89" spans="2:8" ht="15" x14ac:dyDescent="0.2">
      <c r="B89" s="6"/>
      <c r="C89" s="23"/>
      <c r="D89" s="419" t="s">
        <v>98</v>
      </c>
      <c r="E89" s="407"/>
      <c r="F89" s="190"/>
      <c r="G89" s="30"/>
      <c r="H89" s="12"/>
    </row>
    <row r="90" spans="2:8" ht="15" x14ac:dyDescent="0.2">
      <c r="B90" s="6"/>
      <c r="C90" s="23"/>
      <c r="D90" s="419" t="s">
        <v>138</v>
      </c>
      <c r="E90" s="407"/>
      <c r="F90" s="190"/>
      <c r="G90" s="30"/>
      <c r="H90" s="12"/>
    </row>
    <row r="91" spans="2:8" ht="15" x14ac:dyDescent="0.2">
      <c r="B91" s="6"/>
      <c r="C91" s="23"/>
      <c r="D91" s="418" t="s">
        <v>106</v>
      </c>
      <c r="E91" s="373"/>
      <c r="F91" s="187">
        <f>(F90/12)*F86</f>
        <v>0</v>
      </c>
      <c r="G91" s="30"/>
      <c r="H91" s="12"/>
    </row>
    <row r="92" spans="2:8" ht="15" x14ac:dyDescent="0.2">
      <c r="B92" s="6"/>
      <c r="C92" s="23"/>
      <c r="D92" s="387" t="s">
        <v>32</v>
      </c>
      <c r="E92" s="389"/>
      <c r="F92" s="166">
        <v>0.8</v>
      </c>
      <c r="G92" s="30"/>
      <c r="H92" s="12"/>
    </row>
    <row r="93" spans="2:8" ht="15" x14ac:dyDescent="0.2">
      <c r="B93" s="6"/>
      <c r="C93" s="23"/>
      <c r="D93" s="387" t="s">
        <v>79</v>
      </c>
      <c r="E93" s="389"/>
      <c r="F93" s="178">
        <f>IF(F92=80%,100%,IF(F92=70%,"80%",IF(C132=2,"75%","90%")))</f>
        <v>1</v>
      </c>
      <c r="G93" s="30"/>
      <c r="H93" s="12"/>
    </row>
    <row r="94" spans="2:8" ht="15" outlineLevel="1" x14ac:dyDescent="0.2">
      <c r="B94" s="6"/>
      <c r="C94" s="23"/>
      <c r="D94" s="387" t="s">
        <v>83</v>
      </c>
      <c r="E94" s="389"/>
      <c r="F94" s="172"/>
      <c r="G94" s="30"/>
      <c r="H94" s="12"/>
    </row>
    <row r="95" spans="2:8" ht="15" outlineLevel="1" x14ac:dyDescent="0.2">
      <c r="B95" s="6"/>
      <c r="C95" s="23"/>
      <c r="D95" s="387" t="s">
        <v>84</v>
      </c>
      <c r="E95" s="389"/>
      <c r="F95" s="172"/>
      <c r="G95" s="30"/>
      <c r="H95" s="12"/>
    </row>
    <row r="96" spans="2:8" ht="15" outlineLevel="1" x14ac:dyDescent="0.2">
      <c r="B96" s="6"/>
      <c r="C96" s="23"/>
      <c r="D96" s="419" t="s">
        <v>99</v>
      </c>
      <c r="E96" s="407"/>
      <c r="F96" s="191"/>
      <c r="G96" s="30"/>
      <c r="H96" s="12"/>
    </row>
    <row r="97" spans="2:8" ht="15" outlineLevel="1" x14ac:dyDescent="0.2">
      <c r="B97" s="6"/>
      <c r="C97" s="23"/>
      <c r="D97" s="419" t="s">
        <v>137</v>
      </c>
      <c r="E97" s="407"/>
      <c r="F97" s="191"/>
      <c r="G97" s="30"/>
      <c r="H97" s="12"/>
    </row>
    <row r="98" spans="2:8" ht="15" outlineLevel="1" x14ac:dyDescent="0.2">
      <c r="B98" s="6"/>
      <c r="C98" s="23"/>
      <c r="D98" s="418" t="s">
        <v>107</v>
      </c>
      <c r="E98" s="373"/>
      <c r="F98" s="189">
        <f>(F97/12)*F86</f>
        <v>0</v>
      </c>
      <c r="G98" s="30"/>
      <c r="H98" s="12"/>
    </row>
    <row r="99" spans="2:8" ht="15" outlineLevel="1" x14ac:dyDescent="0.2">
      <c r="B99" s="6"/>
      <c r="C99" s="23"/>
      <c r="D99" s="387" t="s">
        <v>80</v>
      </c>
      <c r="E99" s="389"/>
      <c r="F99" s="167">
        <v>0.7</v>
      </c>
      <c r="G99" s="30"/>
      <c r="H99" s="12"/>
    </row>
    <row r="100" spans="2:8" ht="15" outlineLevel="1" x14ac:dyDescent="0.2">
      <c r="B100" s="6"/>
      <c r="C100" s="23"/>
      <c r="D100" s="387" t="s">
        <v>79</v>
      </c>
      <c r="E100" s="389"/>
      <c r="F100" s="178" t="str">
        <f>IF(F99=80%,100%,IF(F99=70%,"80%",IF(C132=2,"75%","90%")))</f>
        <v>80%</v>
      </c>
      <c r="G100" s="30"/>
      <c r="H100" s="12"/>
    </row>
    <row r="101" spans="2:8" ht="15" outlineLevel="2" collapsed="1" x14ac:dyDescent="0.2">
      <c r="B101" s="6"/>
      <c r="C101" s="23"/>
      <c r="D101" s="387" t="s">
        <v>85</v>
      </c>
      <c r="E101" s="389"/>
      <c r="F101" s="172"/>
      <c r="G101" s="30"/>
      <c r="H101" s="12"/>
    </row>
    <row r="102" spans="2:8" ht="15" outlineLevel="2" x14ac:dyDescent="0.2">
      <c r="B102" s="6"/>
      <c r="C102" s="23"/>
      <c r="D102" s="387" t="s">
        <v>86</v>
      </c>
      <c r="E102" s="389"/>
      <c r="F102" s="172"/>
      <c r="G102" s="30"/>
      <c r="H102" s="12"/>
    </row>
    <row r="103" spans="2:8" ht="15" outlineLevel="2" x14ac:dyDescent="0.2">
      <c r="B103" s="6"/>
      <c r="C103" s="23"/>
      <c r="D103" s="419" t="s">
        <v>100</v>
      </c>
      <c r="E103" s="407"/>
      <c r="F103" s="191"/>
      <c r="G103" s="30"/>
      <c r="H103" s="12"/>
    </row>
    <row r="104" spans="2:8" ht="15" outlineLevel="2" x14ac:dyDescent="0.2">
      <c r="B104" s="6"/>
      <c r="C104" s="23"/>
      <c r="D104" s="419" t="s">
        <v>139</v>
      </c>
      <c r="E104" s="407"/>
      <c r="F104" s="191"/>
      <c r="G104" s="30"/>
      <c r="H104" s="12"/>
    </row>
    <row r="105" spans="2:8" ht="15" outlineLevel="2" x14ac:dyDescent="0.2">
      <c r="B105" s="6"/>
      <c r="C105" s="23"/>
      <c r="D105" s="418" t="s">
        <v>110</v>
      </c>
      <c r="E105" s="373"/>
      <c r="F105" s="189">
        <f>(F104/12)*F86</f>
        <v>0</v>
      </c>
      <c r="G105" s="30"/>
      <c r="H105" s="12"/>
    </row>
    <row r="106" spans="2:8" ht="15" outlineLevel="2" x14ac:dyDescent="0.2">
      <c r="B106" s="6"/>
      <c r="C106" s="23"/>
      <c r="D106" s="387" t="s">
        <v>80</v>
      </c>
      <c r="E106" s="389"/>
      <c r="F106" s="167">
        <v>0.65</v>
      </c>
      <c r="G106" s="30"/>
      <c r="H106" s="12"/>
    </row>
    <row r="107" spans="2:8" ht="15" outlineLevel="2" x14ac:dyDescent="0.2">
      <c r="B107" s="6"/>
      <c r="C107" s="23"/>
      <c r="D107" s="387" t="s">
        <v>79</v>
      </c>
      <c r="E107" s="389"/>
      <c r="F107" s="178" t="str">
        <f>IF(F106=80%,100%,IF(F106=70%,"80%",IF(C132=2,"75%","90%")))</f>
        <v>90%</v>
      </c>
      <c r="G107" s="30"/>
      <c r="H107" s="12"/>
    </row>
    <row r="108" spans="2:8" ht="15" x14ac:dyDescent="0.2">
      <c r="B108" s="6"/>
      <c r="C108" s="23"/>
      <c r="D108" s="387" t="s">
        <v>33</v>
      </c>
      <c r="E108" s="389"/>
      <c r="F108" s="62">
        <f>IFERROR(IF(ISBLANK($F$88)=TRUE,IF(ISBLANK($F$92)=TRUE,0,(F85/(F87+F94+F101))),(F87-F88+F94-F95+F101-F102+F85/(F87+F94+F101))),0)</f>
        <v>0</v>
      </c>
      <c r="G108" s="30"/>
      <c r="H108" s="12"/>
    </row>
    <row r="109" spans="2:8" ht="15" x14ac:dyDescent="0.2">
      <c r="B109" s="6"/>
      <c r="C109" s="23"/>
      <c r="D109" s="394" t="s">
        <v>34</v>
      </c>
      <c r="E109" s="395"/>
      <c r="F109" s="34"/>
      <c r="G109" s="30"/>
      <c r="H109" s="12"/>
    </row>
    <row r="110" spans="2:8" ht="15" x14ac:dyDescent="0.2">
      <c r="B110" s="6"/>
      <c r="C110" s="23"/>
      <c r="D110" s="396" t="s">
        <v>90</v>
      </c>
      <c r="E110" s="397"/>
      <c r="F110" s="34"/>
      <c r="G110" s="30"/>
      <c r="H110" s="12"/>
    </row>
    <row r="111" spans="2:8" ht="15" x14ac:dyDescent="0.2">
      <c r="B111" s="6"/>
      <c r="C111" s="23"/>
      <c r="D111" s="387" t="s">
        <v>20</v>
      </c>
      <c r="E111" s="389"/>
      <c r="F111" s="34"/>
      <c r="G111" s="30"/>
      <c r="H111" s="12"/>
    </row>
    <row r="112" spans="2:8" ht="13.5" thickBot="1" x14ac:dyDescent="0.25">
      <c r="B112" s="6"/>
      <c r="C112" s="24"/>
      <c r="D112" s="43"/>
      <c r="E112" s="43"/>
      <c r="F112" s="44"/>
      <c r="G112" s="29"/>
      <c r="H112" s="12"/>
    </row>
    <row r="113" spans="1:10" ht="13.5" thickBot="1" x14ac:dyDescent="0.25">
      <c r="B113" s="7"/>
      <c r="C113" s="8"/>
      <c r="D113" s="9"/>
      <c r="E113" s="9"/>
      <c r="F113" s="8"/>
      <c r="G113" s="8"/>
      <c r="H113" s="10"/>
    </row>
    <row r="114" spans="1:10" ht="13.5" thickBot="1" x14ac:dyDescent="0.25">
      <c r="A114" s="2"/>
      <c r="B114" s="2"/>
      <c r="C114" s="2"/>
      <c r="D114" s="3"/>
      <c r="E114" s="3"/>
      <c r="F114" s="2"/>
      <c r="G114" s="2"/>
      <c r="H114" s="2"/>
      <c r="I114" s="2"/>
      <c r="J114" s="2"/>
    </row>
    <row r="115" spans="1:10" ht="13.5" thickBot="1" x14ac:dyDescent="0.25">
      <c r="A115" s="2"/>
      <c r="B115" s="55"/>
      <c r="C115" s="47"/>
      <c r="D115" s="46"/>
      <c r="E115" s="46"/>
      <c r="F115" s="47"/>
      <c r="G115" s="47"/>
      <c r="H115" s="48"/>
      <c r="I115" s="2"/>
      <c r="J115" s="2"/>
    </row>
    <row r="116" spans="1:10" x14ac:dyDescent="0.2">
      <c r="A116" s="2"/>
      <c r="B116" s="54"/>
      <c r="C116" s="21"/>
      <c r="D116" s="22"/>
      <c r="E116" s="22"/>
      <c r="F116" s="26"/>
      <c r="G116" s="27"/>
      <c r="H116" s="49"/>
      <c r="I116" s="2"/>
      <c r="J116" s="2"/>
    </row>
    <row r="117" spans="1:10" ht="30.75" customHeight="1" x14ac:dyDescent="0.25">
      <c r="A117" s="2"/>
      <c r="B117" s="54"/>
      <c r="C117" s="23"/>
      <c r="D117" s="376" t="s">
        <v>35</v>
      </c>
      <c r="E117" s="391"/>
      <c r="F117" s="71" t="str">
        <f>IFERROR(IF(ISBLANK($F$86)=TRUE,"",MAX((F80/((E132/12)/(1-(1+(E132/12))^(-$F$86))))/E135,0)),0)</f>
        <v/>
      </c>
      <c r="G117" s="30"/>
      <c r="H117" s="49"/>
      <c r="I117" s="2"/>
      <c r="J117" s="2"/>
    </row>
    <row r="118" spans="1:10" ht="43.5" customHeight="1" x14ac:dyDescent="0.25">
      <c r="A118" s="2"/>
      <c r="B118" s="54"/>
      <c r="C118" s="23"/>
      <c r="D118" s="376" t="s">
        <v>36</v>
      </c>
      <c r="E118" s="391"/>
      <c r="F118" s="71" t="str">
        <f>IFERROR(MIN(IF((F7+F45)&lt;750,IF(ISBLANK($F$86)=TRUE,"",MIN(0.9*$F$88+0.9*F95+0.9*F102, $F$117)),IF(ISBLANK($F$86)=TRUE,"",MIN($F$93*$F$88+F95*F100+F102*F107, $F$117))),MIN($F$93*$F$88+F95*F100+F102*F107, $F$117)),"")</f>
        <v/>
      </c>
      <c r="G118" s="30"/>
      <c r="H118" s="49"/>
      <c r="I118" s="2"/>
      <c r="J118" s="2"/>
    </row>
    <row r="119" spans="1:10" x14ac:dyDescent="0.2">
      <c r="A119" s="2"/>
      <c r="B119" s="54"/>
      <c r="C119" s="23"/>
      <c r="D119" s="31"/>
      <c r="E119" s="31"/>
      <c r="F119" s="72"/>
      <c r="G119" s="30"/>
      <c r="H119" s="49"/>
      <c r="I119" s="2"/>
      <c r="J119" s="2"/>
    </row>
    <row r="120" spans="1:10" ht="15.75" x14ac:dyDescent="0.25">
      <c r="A120" s="2"/>
      <c r="B120" s="54"/>
      <c r="C120" s="23"/>
      <c r="D120" s="370" t="s">
        <v>37</v>
      </c>
      <c r="E120" s="371"/>
      <c r="F120" s="71">
        <f>IFERROR(ROUND(IF(ISBLANK($F$86)=TRUE,"",(IF(ISBLANK($F$109)=TRUE,"",$F$85*(($F$109/12)/(1-(1+($F$109/12))^(-$F$86)))))),2),0)</f>
        <v>0</v>
      </c>
      <c r="G120" s="30"/>
      <c r="H120" s="49"/>
      <c r="I120" s="2"/>
      <c r="J120" s="2"/>
    </row>
    <row r="121" spans="1:10" ht="15.75" x14ac:dyDescent="0.25">
      <c r="A121" s="2"/>
      <c r="B121" s="54"/>
      <c r="C121" s="23"/>
      <c r="D121" s="461" t="s">
        <v>91</v>
      </c>
      <c r="E121" s="462"/>
      <c r="F121" s="168">
        <f>ROUND(IF(I121,F144,0),2)</f>
        <v>0</v>
      </c>
      <c r="G121" s="30"/>
      <c r="H121" s="49"/>
      <c r="I121" s="65" t="b">
        <v>0</v>
      </c>
      <c r="J121" s="2"/>
    </row>
    <row r="122" spans="1:10" ht="15.75" x14ac:dyDescent="0.25">
      <c r="A122" s="2"/>
      <c r="B122" s="54"/>
      <c r="C122" s="23"/>
      <c r="D122" s="461" t="s">
        <v>92</v>
      </c>
      <c r="E122" s="462"/>
      <c r="F122" s="168">
        <f>ROUND(IF(I122,F145,0),2)</f>
        <v>0</v>
      </c>
      <c r="G122" s="30"/>
      <c r="H122" s="49"/>
      <c r="I122" s="65" t="b">
        <v>0</v>
      </c>
      <c r="J122" s="2"/>
    </row>
    <row r="123" spans="1:10" ht="15.75" x14ac:dyDescent="0.25">
      <c r="A123" s="2"/>
      <c r="B123" s="54"/>
      <c r="C123" s="23"/>
      <c r="D123" s="370" t="s">
        <v>40</v>
      </c>
      <c r="E123" s="371"/>
      <c r="F123" s="74" t="str">
        <f>IFERROR(IF(ISBLANK($F$86)=TRUE,"",IF(ISBLANK($F$109)=TRUE,"",$F$85/$F$86+$F$85*$F$109/12)),0)</f>
        <v/>
      </c>
      <c r="G123" s="30"/>
      <c r="H123" s="49"/>
      <c r="I123" s="2"/>
      <c r="J123" s="2"/>
    </row>
    <row r="124" spans="1:10" ht="15.75" x14ac:dyDescent="0.25">
      <c r="A124" s="2"/>
      <c r="B124" s="54"/>
      <c r="C124" s="23"/>
      <c r="D124" s="370" t="s">
        <v>111</v>
      </c>
      <c r="E124" s="371"/>
      <c r="F124" s="74">
        <f>IFERROR('RPMN - prijem_zah- EUR-vice-dom'!C13,0)</f>
        <v>0</v>
      </c>
      <c r="G124" s="30"/>
      <c r="H124" s="49"/>
      <c r="I124" s="2"/>
      <c r="J124" s="2"/>
    </row>
    <row r="125" spans="1:10" ht="15.75" x14ac:dyDescent="0.25">
      <c r="A125" s="2"/>
      <c r="B125" s="54"/>
      <c r="C125" s="23"/>
      <c r="D125" s="370" t="s">
        <v>112</v>
      </c>
      <c r="E125" s="371"/>
      <c r="F125" s="74">
        <f>IFERROR('RPMN - prijem_zah- EUR-vice-dom'!N13,0)</f>
        <v>0</v>
      </c>
      <c r="G125" s="30"/>
      <c r="H125" s="49"/>
      <c r="I125" s="2"/>
      <c r="J125" s="2"/>
    </row>
    <row r="126" spans="1:10" ht="15.75" x14ac:dyDescent="0.25">
      <c r="A126" s="2"/>
      <c r="B126" s="54"/>
      <c r="C126" s="23"/>
      <c r="D126" s="370" t="s">
        <v>93</v>
      </c>
      <c r="E126" s="371"/>
      <c r="F126" s="169">
        <f>IFERROR('RPMN - prijem_zah- EUR-vice-dom'!C12,0)</f>
        <v>0</v>
      </c>
      <c r="G126" s="30"/>
      <c r="H126" s="49"/>
      <c r="I126" s="2"/>
      <c r="J126" s="2"/>
    </row>
    <row r="127" spans="1:10" ht="17.100000000000001" customHeight="1" x14ac:dyDescent="0.25">
      <c r="A127" s="2"/>
      <c r="B127" s="54"/>
      <c r="C127" s="23"/>
      <c r="D127" s="370" t="s">
        <v>94</v>
      </c>
      <c r="E127" s="371"/>
      <c r="F127" s="169">
        <f>IFERROR('RPMN - prijem_zah- EUR-vice-dom'!N12,)</f>
        <v>0</v>
      </c>
      <c r="G127" s="30"/>
      <c r="H127" s="49"/>
      <c r="I127" s="2"/>
      <c r="J127" s="2"/>
    </row>
    <row r="128" spans="1:10" ht="7.5" customHeight="1" thickBot="1" x14ac:dyDescent="0.25">
      <c r="A128" s="2"/>
      <c r="B128" s="54"/>
      <c r="C128" s="24"/>
      <c r="D128" s="25"/>
      <c r="E128" s="25"/>
      <c r="F128" s="28"/>
      <c r="G128" s="29"/>
      <c r="H128" s="49"/>
      <c r="I128" s="2"/>
      <c r="J128" s="2"/>
    </row>
    <row r="129" spans="1:18" ht="7.5" customHeight="1" thickBot="1" x14ac:dyDescent="0.25">
      <c r="A129" s="2"/>
      <c r="B129" s="53"/>
      <c r="C129" s="51"/>
      <c r="D129" s="52"/>
      <c r="E129" s="52"/>
      <c r="F129" s="51"/>
      <c r="G129" s="51"/>
      <c r="H129" s="50"/>
      <c r="I129" s="2"/>
      <c r="J129" s="2"/>
    </row>
    <row r="130" spans="1:18" x14ac:dyDescent="0.2">
      <c r="A130" s="2"/>
      <c r="B130" s="2"/>
      <c r="C130" s="2"/>
      <c r="D130" s="3"/>
      <c r="E130" s="3"/>
      <c r="F130" s="2"/>
      <c r="G130" s="2"/>
      <c r="H130" s="2"/>
      <c r="I130" s="2"/>
      <c r="J130" s="2"/>
    </row>
    <row r="131" spans="1:18" ht="15.75" x14ac:dyDescent="0.2">
      <c r="E131" s="3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8"/>
    </row>
    <row r="132" spans="1:18" ht="16.5" thickBot="1" x14ac:dyDescent="0.25">
      <c r="B132" s="56"/>
      <c r="C132" s="70">
        <v>1</v>
      </c>
      <c r="D132" s="58" t="s">
        <v>76</v>
      </c>
      <c r="E132" s="66">
        <f>IF(C132=1,0.0384,IF(C132=2,0.042,0.0384))</f>
        <v>3.8399999999999997E-2</v>
      </c>
      <c r="F132" s="59"/>
      <c r="G132" s="59"/>
      <c r="H132" s="59"/>
      <c r="I132" s="59"/>
      <c r="J132" s="37"/>
      <c r="K132" s="39"/>
      <c r="L132" s="39"/>
      <c r="M132" s="39"/>
      <c r="N132" s="39"/>
      <c r="O132" s="39"/>
      <c r="P132" s="39"/>
      <c r="Q132" s="39"/>
      <c r="R132" s="40"/>
    </row>
    <row r="133" spans="1:18" ht="13.5" thickTop="1" x14ac:dyDescent="0.2">
      <c r="B133" s="56"/>
      <c r="C133" s="57"/>
      <c r="D133" s="58" t="s">
        <v>77</v>
      </c>
      <c r="E133" s="69"/>
      <c r="F133" s="57"/>
      <c r="G133" s="57"/>
      <c r="H133" s="57"/>
      <c r="I133" s="61"/>
    </row>
    <row r="134" spans="1:18" x14ac:dyDescent="0.2">
      <c r="B134" s="56"/>
      <c r="C134" s="57"/>
      <c r="D134" s="58" t="s">
        <v>78</v>
      </c>
      <c r="E134" s="69"/>
      <c r="F134" s="57"/>
      <c r="G134" s="57"/>
      <c r="H134" s="57"/>
      <c r="I134" s="61"/>
    </row>
    <row r="135" spans="1:18" x14ac:dyDescent="0.2">
      <c r="B135" s="56"/>
      <c r="C135" s="70">
        <v>2</v>
      </c>
      <c r="D135" s="60" t="s">
        <v>95</v>
      </c>
      <c r="E135" s="67">
        <f>IF(C135=1,1,1.2)</f>
        <v>1.2</v>
      </c>
      <c r="F135" s="57"/>
      <c r="G135" s="57"/>
      <c r="H135" s="57"/>
      <c r="I135" s="61"/>
    </row>
    <row r="136" spans="1:18" x14ac:dyDescent="0.2">
      <c r="B136" s="56"/>
      <c r="C136" s="57"/>
      <c r="D136" s="60" t="s">
        <v>96</v>
      </c>
      <c r="E136" s="69"/>
      <c r="F136" s="57"/>
      <c r="G136" s="57"/>
      <c r="H136" s="57"/>
      <c r="I136" s="61"/>
    </row>
    <row r="137" spans="1:18" x14ac:dyDescent="0.2">
      <c r="B137" s="56"/>
      <c r="C137" s="57"/>
      <c r="D137" s="60"/>
      <c r="E137" s="60"/>
      <c r="F137" s="57"/>
      <c r="G137" s="57"/>
      <c r="H137" s="57"/>
      <c r="I137" s="61"/>
    </row>
    <row r="138" spans="1:18" x14ac:dyDescent="0.2">
      <c r="B138" s="56"/>
      <c r="C138" s="180">
        <v>1</v>
      </c>
      <c r="D138" s="181" t="s">
        <v>103</v>
      </c>
      <c r="E138" s="181">
        <f>IF(F88=0,0,IF(ISBLANK(F88)=TRUE,0,66))</f>
        <v>0</v>
      </c>
      <c r="F138" s="57"/>
      <c r="G138" s="57"/>
      <c r="H138" s="57"/>
      <c r="I138" s="61"/>
    </row>
    <row r="139" spans="1:18" x14ac:dyDescent="0.2">
      <c r="B139" s="56"/>
      <c r="C139" s="180">
        <v>2</v>
      </c>
      <c r="D139" s="181" t="s">
        <v>104</v>
      </c>
      <c r="E139" s="181">
        <f>IF(F95=0,0,IF(ISBLANK(F95)=TRUE,0,66))</f>
        <v>0</v>
      </c>
      <c r="F139" s="57"/>
      <c r="G139" s="57"/>
      <c r="H139" s="57"/>
      <c r="I139" s="61"/>
    </row>
    <row r="140" spans="1:18" x14ac:dyDescent="0.2">
      <c r="B140" s="56"/>
      <c r="C140" s="180">
        <v>3</v>
      </c>
      <c r="D140" s="181" t="s">
        <v>105</v>
      </c>
      <c r="E140" s="181">
        <f>IF(F102=0,0,IF(ISBLANK(F102)=TRUE,0,66))</f>
        <v>0</v>
      </c>
      <c r="F140" s="57"/>
      <c r="G140" s="57"/>
      <c r="H140" s="57"/>
      <c r="I140" s="61"/>
    </row>
    <row r="141" spans="1:18" x14ac:dyDescent="0.2">
      <c r="B141" s="56"/>
      <c r="C141" s="57"/>
      <c r="D141" s="60"/>
      <c r="E141" s="60"/>
      <c r="F141" s="57"/>
      <c r="G141" s="57"/>
      <c r="H141" s="57"/>
      <c r="I141" s="61"/>
    </row>
    <row r="142" spans="1:18" x14ac:dyDescent="0.2">
      <c r="D142" s="42"/>
    </row>
    <row r="143" spans="1:18" x14ac:dyDescent="0.2">
      <c r="D143" s="42" t="s">
        <v>60</v>
      </c>
      <c r="E143" s="77" t="s">
        <v>61</v>
      </c>
      <c r="F143" s="63">
        <f>MAX((F85-F87*F92)*0.045,0)</f>
        <v>0</v>
      </c>
    </row>
    <row r="144" spans="1:18" x14ac:dyDescent="0.2">
      <c r="D144" s="42"/>
      <c r="E144" s="77" t="s">
        <v>62</v>
      </c>
      <c r="F144" s="63">
        <f>(0.015/0.985)*F84</f>
        <v>0</v>
      </c>
    </row>
    <row r="145" spans="4:6" x14ac:dyDescent="0.2">
      <c r="D145" s="42"/>
      <c r="E145" s="77" t="s">
        <v>63</v>
      </c>
      <c r="F145" s="63">
        <f>F84*0.015</f>
        <v>0</v>
      </c>
    </row>
    <row r="146" spans="4:6" x14ac:dyDescent="0.2">
      <c r="D146" s="42"/>
      <c r="E146" s="77"/>
    </row>
    <row r="147" spans="4:6" x14ac:dyDescent="0.2">
      <c r="D147" s="42" t="s">
        <v>64</v>
      </c>
      <c r="E147" s="77" t="s">
        <v>65</v>
      </c>
      <c r="F147" s="63">
        <f>MAX(0.045/0.955*(vyska_uveru_z-zabezpecenie_z*ltv_high_z),0)</f>
        <v>0</v>
      </c>
    </row>
    <row r="148" spans="4:6" x14ac:dyDescent="0.2">
      <c r="D148" s="42" t="s">
        <v>66</v>
      </c>
      <c r="E148" s="77" t="s">
        <v>63</v>
      </c>
      <c r="F148" s="63">
        <f>F85*0.015</f>
        <v>0</v>
      </c>
    </row>
    <row r="149" spans="4:6" x14ac:dyDescent="0.2">
      <c r="D149" s="42"/>
      <c r="F149" s="63"/>
    </row>
    <row r="150" spans="4:6" x14ac:dyDescent="0.2">
      <c r="D150" s="42" t="s">
        <v>67</v>
      </c>
      <c r="E150" s="77" t="s">
        <v>68</v>
      </c>
      <c r="F150" s="63">
        <f>0.015/0.985*vyska_uveru_z</f>
        <v>0</v>
      </c>
    </row>
    <row r="151" spans="4:6" x14ac:dyDescent="0.2">
      <c r="D151" s="42" t="s">
        <v>69</v>
      </c>
      <c r="E151" s="77" t="s">
        <v>70</v>
      </c>
      <c r="F151" s="63">
        <f>(0.015/0.94)*vyska_uveru_z-(0.015*0.045/0.94)*ltv_high_z*zabezpecenie_z</f>
        <v>0</v>
      </c>
    </row>
    <row r="152" spans="4:6" x14ac:dyDescent="0.2">
      <c r="D152" s="42"/>
      <c r="E152" s="77" t="s">
        <v>71</v>
      </c>
      <c r="F152" s="77" t="b">
        <f>F150&lt;(ltv_high_z*zabezpecenie-vyska_uveru_z)</f>
        <v>0</v>
      </c>
    </row>
    <row r="153" spans="4:6" x14ac:dyDescent="0.2">
      <c r="D153" s="42"/>
      <c r="E153" s="77" t="s">
        <v>72</v>
      </c>
      <c r="F153">
        <f>IF(F152,F150,F151)</f>
        <v>0</v>
      </c>
    </row>
    <row r="154" spans="4:6" x14ac:dyDescent="0.2">
      <c r="D154" s="42"/>
      <c r="E154" s="77" t="s">
        <v>65</v>
      </c>
      <c r="F154">
        <f>MAX(((vyska_uveru_z+F153-0.045*ltv_high_z*zabezpecenie_z)/(1-0.045)-ltv_high_z*zabezpecenie_z)*0.045,0)</f>
        <v>0</v>
      </c>
    </row>
    <row r="155" spans="4:6" x14ac:dyDescent="0.2">
      <c r="D155" s="42"/>
      <c r="E155" s="77"/>
    </row>
    <row r="156" spans="4:6" x14ac:dyDescent="0.2">
      <c r="D156" s="42" t="s">
        <v>73</v>
      </c>
      <c r="E156" s="77" t="s">
        <v>65</v>
      </c>
      <c r="F156">
        <f>MAX(0.045/0.955*(vyska_uveru_z-zabezpecenie_z*ltv_high_z),0)</f>
        <v>0</v>
      </c>
    </row>
    <row r="157" spans="4:6" x14ac:dyDescent="0.2">
      <c r="D157" s="42" t="s">
        <v>74</v>
      </c>
      <c r="E157" s="77"/>
    </row>
    <row r="158" spans="4:6" x14ac:dyDescent="0.2">
      <c r="D158" s="42"/>
      <c r="E158" s="77"/>
    </row>
    <row r="159" spans="4:6" x14ac:dyDescent="0.2">
      <c r="D159" s="42"/>
      <c r="F159" s="170">
        <v>0</v>
      </c>
    </row>
    <row r="160" spans="4:6" x14ac:dyDescent="0.2">
      <c r="D160" s="42"/>
      <c r="F160" s="170">
        <v>0.1</v>
      </c>
    </row>
    <row r="161" spans="3:7" x14ac:dyDescent="0.2">
      <c r="F161" s="170">
        <v>0.2</v>
      </c>
    </row>
    <row r="162" spans="3:7" ht="13.5" thickBot="1" x14ac:dyDescent="0.25">
      <c r="F162" s="170">
        <v>0.3</v>
      </c>
    </row>
    <row r="163" spans="3:7" ht="16.5" thickBot="1" x14ac:dyDescent="0.25">
      <c r="E163" s="255" t="s">
        <v>156</v>
      </c>
      <c r="F163" s="264">
        <v>500000</v>
      </c>
    </row>
    <row r="164" spans="3:7" ht="15.75" x14ac:dyDescent="0.25">
      <c r="E164" s="253" t="s">
        <v>157</v>
      </c>
      <c r="F164" s="265">
        <f>$F$37+$F$75</f>
        <v>0</v>
      </c>
    </row>
    <row r="165" spans="3:7" ht="15" x14ac:dyDescent="0.2">
      <c r="E165" s="262" t="s">
        <v>158</v>
      </c>
      <c r="F165" s="254">
        <v>0</v>
      </c>
    </row>
    <row r="166" spans="3:7" ht="15.75" thickBot="1" x14ac:dyDescent="0.25">
      <c r="E166" s="263" t="s">
        <v>159</v>
      </c>
      <c r="F166" s="256">
        <f>$F$164-$F$165</f>
        <v>0</v>
      </c>
    </row>
    <row r="167" spans="3:7" ht="15.75" x14ac:dyDescent="0.25">
      <c r="E167" s="253" t="s">
        <v>160</v>
      </c>
      <c r="F167" s="265">
        <f>$F$38+$F$76</f>
        <v>0</v>
      </c>
    </row>
    <row r="168" spans="3:7" ht="15" x14ac:dyDescent="0.2">
      <c r="E168" s="262" t="s">
        <v>161</v>
      </c>
      <c r="F168" s="254">
        <v>0</v>
      </c>
    </row>
    <row r="169" spans="3:7" ht="15.75" thickBot="1" x14ac:dyDescent="0.25">
      <c r="E169" s="263" t="s">
        <v>162</v>
      </c>
      <c r="F169" s="256">
        <f>$F$167-$F$168</f>
        <v>0</v>
      </c>
    </row>
    <row r="170" spans="3:7" ht="16.5" thickBot="1" x14ac:dyDescent="0.3">
      <c r="E170" s="257" t="s">
        <v>163</v>
      </c>
      <c r="F170" s="266">
        <f>MIN($F$85,$F$117)</f>
        <v>0</v>
      </c>
    </row>
    <row r="171" spans="3:7" ht="16.5" thickBot="1" x14ac:dyDescent="0.25">
      <c r="E171" s="258" t="s">
        <v>155</v>
      </c>
      <c r="F171" s="259" t="e">
        <f>($F$163+$F$165+$F$168+$F$170+0.2*($F$166+$F$169))/(12*($F$8+$F$46))</f>
        <v>#DIV/0!</v>
      </c>
    </row>
    <row r="172" spans="3:7" ht="16.5" thickBot="1" x14ac:dyDescent="0.25">
      <c r="E172" s="260" t="s">
        <v>164</v>
      </c>
      <c r="F172" s="261" t="e">
        <f>IF(F171&gt;8,"Překročen limit DTI","OK")</f>
        <v>#DIV/0!</v>
      </c>
    </row>
    <row r="173" spans="3:7" ht="13.5" thickBot="1" x14ac:dyDescent="0.25">
      <c r="F173" s="170"/>
    </row>
    <row r="174" spans="3:7" x14ac:dyDescent="0.2">
      <c r="C174" s="420"/>
      <c r="D174" s="421"/>
      <c r="E174" s="421"/>
      <c r="F174" s="421"/>
      <c r="G174" s="422"/>
    </row>
    <row r="175" spans="3:7" x14ac:dyDescent="0.2">
      <c r="C175" s="423"/>
      <c r="D175" s="424"/>
      <c r="E175" s="424"/>
      <c r="F175" s="424"/>
      <c r="G175" s="425"/>
    </row>
    <row r="176" spans="3:7" x14ac:dyDescent="0.2">
      <c r="C176" s="423"/>
      <c r="D176" s="424"/>
      <c r="E176" s="424"/>
      <c r="F176" s="424"/>
      <c r="G176" s="425"/>
    </row>
    <row r="177" spans="3:7" x14ac:dyDescent="0.2">
      <c r="C177" s="423"/>
      <c r="D177" s="424"/>
      <c r="E177" s="424"/>
      <c r="F177" s="424"/>
      <c r="G177" s="425"/>
    </row>
    <row r="178" spans="3:7" ht="13.5" thickBot="1" x14ac:dyDescent="0.25">
      <c r="C178" s="426"/>
      <c r="D178" s="427"/>
      <c r="E178" s="427"/>
      <c r="F178" s="427"/>
      <c r="G178" s="428"/>
    </row>
    <row r="179" spans="3:7" x14ac:dyDescent="0.2">
      <c r="D179" s="42" t="s">
        <v>165</v>
      </c>
    </row>
    <row r="180" spans="3:7" x14ac:dyDescent="0.2"/>
    <row r="181" spans="3:7" x14ac:dyDescent="0.2"/>
    <row r="182" spans="3:7" x14ac:dyDescent="0.2"/>
    <row r="183" spans="3:7" x14ac:dyDescent="0.2"/>
    <row r="184" spans="3:7" x14ac:dyDescent="0.2"/>
    <row r="185" spans="3:7" x14ac:dyDescent="0.2"/>
    <row r="186" spans="3:7" x14ac:dyDescent="0.2"/>
    <row r="187" spans="3:7" x14ac:dyDescent="0.2"/>
    <row r="188" spans="3:7" x14ac:dyDescent="0.2"/>
    <row r="189" spans="3:7" x14ac:dyDescent="0.2"/>
    <row r="190" spans="3:7" x14ac:dyDescent="0.2"/>
    <row r="191" spans="3:7" x14ac:dyDescent="0.2"/>
    <row r="192" spans="3:7" x14ac:dyDescent="0.2"/>
    <row r="193" x14ac:dyDescent="0.2"/>
    <row r="194" x14ac:dyDescent="0.2"/>
    <row r="195" x14ac:dyDescent="0.2"/>
    <row r="196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</sheetData>
  <mergeCells count="88">
    <mergeCell ref="D65:E65"/>
    <mergeCell ref="D57:E57"/>
    <mergeCell ref="D59:E59"/>
    <mergeCell ref="D60:E60"/>
    <mergeCell ref="D62:E62"/>
    <mergeCell ref="D63:E63"/>
    <mergeCell ref="D58:E58"/>
    <mergeCell ref="D61:E61"/>
    <mergeCell ref="D64:E64"/>
    <mergeCell ref="D22:E22"/>
    <mergeCell ref="D24:E24"/>
    <mergeCell ref="D25:E25"/>
    <mergeCell ref="D27:E27"/>
    <mergeCell ref="D23:E23"/>
    <mergeCell ref="D26:E26"/>
    <mergeCell ref="D126:E126"/>
    <mergeCell ref="D127:E127"/>
    <mergeCell ref="I2:I3"/>
    <mergeCell ref="D92:E92"/>
    <mergeCell ref="D94:E94"/>
    <mergeCell ref="D95:E95"/>
    <mergeCell ref="D99:E99"/>
    <mergeCell ref="D100:E100"/>
    <mergeCell ref="D101:E101"/>
    <mergeCell ref="D120:E120"/>
    <mergeCell ref="D121:E121"/>
    <mergeCell ref="D122:E122"/>
    <mergeCell ref="D123:E123"/>
    <mergeCell ref="D124:E124"/>
    <mergeCell ref="D118:E118"/>
    <mergeCell ref="D21:E21"/>
    <mergeCell ref="D104:E104"/>
    <mergeCell ref="D91:E91"/>
    <mergeCell ref="D98:E98"/>
    <mergeCell ref="D105:E105"/>
    <mergeCell ref="D125:E125"/>
    <mergeCell ref="D89:E89"/>
    <mergeCell ref="D90:E90"/>
    <mergeCell ref="D96:E96"/>
    <mergeCell ref="D97:E97"/>
    <mergeCell ref="D103:E103"/>
    <mergeCell ref="D79:E79"/>
    <mergeCell ref="D80:E80"/>
    <mergeCell ref="D110:E110"/>
    <mergeCell ref="D111:E111"/>
    <mergeCell ref="D117:E117"/>
    <mergeCell ref="D86:E86"/>
    <mergeCell ref="D84:E84"/>
    <mergeCell ref="D85:E85"/>
    <mergeCell ref="D87:E87"/>
    <mergeCell ref="D88:E88"/>
    <mergeCell ref="D93:E93"/>
    <mergeCell ref="D108:E108"/>
    <mergeCell ref="D109:E109"/>
    <mergeCell ref="D102:E102"/>
    <mergeCell ref="D106:E106"/>
    <mergeCell ref="D107:E107"/>
    <mergeCell ref="D71:E71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38:E38"/>
    <mergeCell ref="D39:E39"/>
    <mergeCell ref="D41:E41"/>
    <mergeCell ref="D45:E45"/>
    <mergeCell ref="D56:E56"/>
    <mergeCell ref="C174:G178"/>
    <mergeCell ref="D37:E37"/>
    <mergeCell ref="C1:G1"/>
    <mergeCell ref="D7:E7"/>
    <mergeCell ref="D18:E18"/>
    <mergeCell ref="D28:E28"/>
    <mergeCell ref="D29:E29"/>
    <mergeCell ref="D30:E30"/>
    <mergeCell ref="D31:E31"/>
    <mergeCell ref="D32:E32"/>
    <mergeCell ref="D33:E33"/>
    <mergeCell ref="D35:E35"/>
    <mergeCell ref="D36:E36"/>
    <mergeCell ref="D19:E19"/>
    <mergeCell ref="D20:E20"/>
    <mergeCell ref="D73:E73"/>
  </mergeCells>
  <conditionalFormatting sqref="F120 F123:F125">
    <cfRule type="expression" dxfId="3" priority="4" stopIfTrue="1">
      <formula>ISBLANK($F$86)=TRUE</formula>
    </cfRule>
    <cfRule type="expression" dxfId="2" priority="5" stopIfTrue="1">
      <formula>ISBLANK(#REF!)=TRUE</formula>
    </cfRule>
  </conditionalFormatting>
  <conditionalFormatting sqref="F166 F169">
    <cfRule type="cellIs" dxfId="1" priority="2" operator="lessThan">
      <formula>0</formula>
    </cfRule>
  </conditionalFormatting>
  <conditionalFormatting sqref="F172">
    <cfRule type="containsText" dxfId="0" priority="1" operator="containsText" text="Překročen limit DTI">
      <formula>NOT(ISERROR(SEARCH("Překročen limit DTI",F172)))</formula>
    </cfRule>
  </conditionalFormatting>
  <dataValidations count="1">
    <dataValidation allowBlank="1" showInputMessage="1" showErrorMessage="1" promptTitle="Poznámka pri schvalovaní" prompt="Pi úverovej analýze vložiť dátum podania žiadosti podľa dátumu v UF" sqref="F3:F4" xr:uid="{00000000-0002-0000-0700-000000000000}"/>
  </dataValidations>
  <pageMargins left="0.7" right="0.7" top="0.75" bottom="0.75" header="0.3" footer="0.3"/>
  <pageSetup paperSize="9" orientation="portrait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4</xdr:col>
                    <xdr:colOff>2162175</xdr:colOff>
                    <xdr:row>184</xdr:row>
                    <xdr:rowOff>0</xdr:rowOff>
                  </from>
                  <to>
                    <xdr:col>4</xdr:col>
                    <xdr:colOff>2162175</xdr:colOff>
                    <xdr:row>185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Drop Down 2">
              <controlPr defaultSize="0" autoLine="0" autoPict="0">
                <anchor moveWithCells="1">
                  <from>
                    <xdr:col>5</xdr:col>
                    <xdr:colOff>0</xdr:colOff>
                    <xdr:row>109</xdr:row>
                    <xdr:rowOff>0</xdr:rowOff>
                  </from>
                  <to>
                    <xdr:col>5</xdr:col>
                    <xdr:colOff>0</xdr:colOff>
                    <xdr:row>110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4</xdr:col>
                    <xdr:colOff>2162175</xdr:colOff>
                    <xdr:row>184</xdr:row>
                    <xdr:rowOff>0</xdr:rowOff>
                  </from>
                  <to>
                    <xdr:col>4</xdr:col>
                    <xdr:colOff>2162175</xdr:colOff>
                    <xdr:row>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4</xdr:col>
                    <xdr:colOff>2162175</xdr:colOff>
                    <xdr:row>184</xdr:row>
                    <xdr:rowOff>0</xdr:rowOff>
                  </from>
                  <to>
                    <xdr:col>4</xdr:col>
                    <xdr:colOff>2162175</xdr:colOff>
                    <xdr:row>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4</xdr:col>
                    <xdr:colOff>2162175</xdr:colOff>
                    <xdr:row>184</xdr:row>
                    <xdr:rowOff>0</xdr:rowOff>
                  </from>
                  <to>
                    <xdr:col>4</xdr:col>
                    <xdr:colOff>2162175</xdr:colOff>
                    <xdr:row>185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Drop Down 6">
              <controlPr defaultSize="0" autoLine="0" autoPict="0">
                <anchor moveWithCells="1">
                  <from>
                    <xdr:col>5</xdr:col>
                    <xdr:colOff>0</xdr:colOff>
                    <xdr:row>110</xdr:row>
                    <xdr:rowOff>0</xdr:rowOff>
                  </from>
                  <to>
                    <xdr:col>5</xdr:col>
                    <xdr:colOff>0</xdr:colOff>
                    <xdr:row>111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Drop Down 7">
              <controlPr defaultSize="0" autoLine="0" autoPict="0">
                <anchor moveWithCells="1">
                  <from>
                    <xdr:col>5</xdr:col>
                    <xdr:colOff>0</xdr:colOff>
                    <xdr:row>109</xdr:row>
                    <xdr:rowOff>0</xdr:rowOff>
                  </from>
                  <to>
                    <xdr:col>5</xdr:col>
                    <xdr:colOff>0</xdr:colOff>
                    <xdr:row>110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>
                  <from>
                    <xdr:col>4</xdr:col>
                    <xdr:colOff>2162175</xdr:colOff>
                    <xdr:row>184</xdr:row>
                    <xdr:rowOff>0</xdr:rowOff>
                  </from>
                  <to>
                    <xdr:col>4</xdr:col>
                    <xdr:colOff>2162175</xdr:colOff>
                    <xdr:row>185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>
                <anchor moveWithCells="1">
                  <from>
                    <xdr:col>4</xdr:col>
                    <xdr:colOff>2162175</xdr:colOff>
                    <xdr:row>184</xdr:row>
                    <xdr:rowOff>0</xdr:rowOff>
                  </from>
                  <to>
                    <xdr:col>4</xdr:col>
                    <xdr:colOff>2162175</xdr:colOff>
                    <xdr:row>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Drop Down 10">
              <controlPr defaultSize="0" autoLine="0" autoPict="0">
                <anchor moveWithCells="1">
                  <from>
                    <xdr:col>5</xdr:col>
                    <xdr:colOff>0</xdr:colOff>
                    <xdr:row>109</xdr:row>
                    <xdr:rowOff>0</xdr:rowOff>
                  </from>
                  <to>
                    <xdr:col>5</xdr:col>
                    <xdr:colOff>0</xdr:colOff>
                    <xdr:row>110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>
                <anchor moveWithCells="1">
                  <from>
                    <xdr:col>4</xdr:col>
                    <xdr:colOff>2219325</xdr:colOff>
                    <xdr:row>184</xdr:row>
                    <xdr:rowOff>0</xdr:rowOff>
                  </from>
                  <to>
                    <xdr:col>4</xdr:col>
                    <xdr:colOff>2219325</xdr:colOff>
                    <xdr:row>185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Check Box 12">
              <controlPr defaultSize="0" autoFill="0" autoLine="0" autoPict="0">
                <anchor moveWithCells="1">
                  <from>
                    <xdr:col>4</xdr:col>
                    <xdr:colOff>2219325</xdr:colOff>
                    <xdr:row>184</xdr:row>
                    <xdr:rowOff>0</xdr:rowOff>
                  </from>
                  <to>
                    <xdr:col>4</xdr:col>
                    <xdr:colOff>2219325</xdr:colOff>
                    <xdr:row>185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Drop Down 13">
              <controlPr defaultSize="0" autoLine="0" autoPict="0">
                <anchor moveWithCells="1">
                  <from>
                    <xdr:col>4</xdr:col>
                    <xdr:colOff>2514600</xdr:colOff>
                    <xdr:row>109</xdr:row>
                    <xdr:rowOff>0</xdr:rowOff>
                  </from>
                  <to>
                    <xdr:col>4</xdr:col>
                    <xdr:colOff>2514600</xdr:colOff>
                    <xdr:row>110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Check Box 14">
              <controlPr defaultSize="0" autoFill="0" autoLine="0" autoPict="0">
                <anchor moveWithCells="1">
                  <from>
                    <xdr:col>5</xdr:col>
                    <xdr:colOff>2286000</xdr:colOff>
                    <xdr:row>184</xdr:row>
                    <xdr:rowOff>0</xdr:rowOff>
                  </from>
                  <to>
                    <xdr:col>6</xdr:col>
                    <xdr:colOff>0</xdr:colOff>
                    <xdr:row>185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Check Box 15">
              <controlPr defaultSize="0" autoFill="0" autoLine="0" autoPict="0">
                <anchor moveWithCells="1">
                  <from>
                    <xdr:col>5</xdr:col>
                    <xdr:colOff>2276475</xdr:colOff>
                    <xdr:row>184</xdr:row>
                    <xdr:rowOff>0</xdr:rowOff>
                  </from>
                  <to>
                    <xdr:col>6</xdr:col>
                    <xdr:colOff>0</xdr:colOff>
                    <xdr:row>185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Check Box 16">
              <controlPr defaultSize="0" autoFill="0" autoLine="0" autoPict="0">
                <anchor moveWithCells="1">
                  <from>
                    <xdr:col>4</xdr:col>
                    <xdr:colOff>2286000</xdr:colOff>
                    <xdr:row>120</xdr:row>
                    <xdr:rowOff>0</xdr:rowOff>
                  </from>
                  <to>
                    <xdr:col>4</xdr:col>
                    <xdr:colOff>2286000</xdr:colOff>
                    <xdr:row>121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Check Box 17">
              <controlPr defaultSize="0" autoFill="0" autoLine="0" autoPict="0">
                <anchor moveWithCells="1">
                  <from>
                    <xdr:col>4</xdr:col>
                    <xdr:colOff>2276475</xdr:colOff>
                    <xdr:row>120</xdr:row>
                    <xdr:rowOff>180975</xdr:rowOff>
                  </from>
                  <to>
                    <xdr:col>4</xdr:col>
                    <xdr:colOff>2276475</xdr:colOff>
                    <xdr:row>122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Drop Down 18">
              <controlPr defaultSize="0" autoLine="0" autoPict="0">
                <anchor moveWithCells="1">
                  <from>
                    <xdr:col>4</xdr:col>
                    <xdr:colOff>2505075</xdr:colOff>
                    <xdr:row>109</xdr:row>
                    <xdr:rowOff>0</xdr:rowOff>
                  </from>
                  <to>
                    <xdr:col>4</xdr:col>
                    <xdr:colOff>2505075</xdr:colOff>
                    <xdr:row>110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2" name="Drop Down 24">
              <controlPr defaultSize="0" autoLine="0" autoPict="0">
                <anchor moveWithCells="1">
                  <from>
                    <xdr:col>4</xdr:col>
                    <xdr:colOff>2657475</xdr:colOff>
                    <xdr:row>109</xdr:row>
                    <xdr:rowOff>9525</xdr:rowOff>
                  </from>
                  <to>
                    <xdr:col>6</xdr:col>
                    <xdr:colOff>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3" name="Check Box 25">
              <controlPr defaultSize="0" autoFill="0" autoLine="0" autoPict="0">
                <anchor moveWithCells="1">
                  <from>
                    <xdr:col>4</xdr:col>
                    <xdr:colOff>2419350</xdr:colOff>
                    <xdr:row>120</xdr:row>
                    <xdr:rowOff>28575</xdr:rowOff>
                  </from>
                  <to>
                    <xdr:col>4</xdr:col>
                    <xdr:colOff>2600325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4" name="Check Box 26">
              <controlPr defaultSize="0" autoFill="0" autoLine="0" autoPict="0">
                <anchor moveWithCells="1">
                  <from>
                    <xdr:col>4</xdr:col>
                    <xdr:colOff>2419350</xdr:colOff>
                    <xdr:row>121</xdr:row>
                    <xdr:rowOff>19050</xdr:rowOff>
                  </from>
                  <to>
                    <xdr:col>4</xdr:col>
                    <xdr:colOff>2619375</xdr:colOff>
                    <xdr:row>121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2:S497"/>
  <sheetViews>
    <sheetView workbookViewId="0">
      <selection activeCell="P7" sqref="P7"/>
    </sheetView>
  </sheetViews>
  <sheetFormatPr defaultColWidth="9.140625" defaultRowHeight="12.75" x14ac:dyDescent="0.2"/>
  <cols>
    <col min="1" max="1" width="9.140625" style="89"/>
    <col min="2" max="2" width="17.85546875" style="89" bestFit="1" customWidth="1"/>
    <col min="3" max="3" width="16.5703125" style="89" bestFit="1" customWidth="1"/>
    <col min="4" max="4" width="14.42578125" style="89" bestFit="1" customWidth="1"/>
    <col min="5" max="6" width="12.85546875" style="89" bestFit="1" customWidth="1"/>
    <col min="7" max="7" width="13.28515625" style="89" customWidth="1"/>
    <col min="8" max="8" width="11" style="89" bestFit="1" customWidth="1"/>
    <col min="9" max="12" width="9.140625" style="89"/>
    <col min="13" max="14" width="16" style="89" bestFit="1" customWidth="1"/>
    <col min="15" max="15" width="12.28515625" style="89" bestFit="1" customWidth="1"/>
    <col min="16" max="16" width="12.85546875" style="89" bestFit="1" customWidth="1"/>
    <col min="17" max="17" width="13.42578125" style="89" bestFit="1" customWidth="1"/>
    <col min="18" max="18" width="11.28515625" style="89" bestFit="1" customWidth="1"/>
    <col min="19" max="19" width="11" style="89" bestFit="1" customWidth="1"/>
    <col min="20" max="16384" width="9.140625" style="89"/>
  </cols>
  <sheetData>
    <row r="2" spans="1:19" x14ac:dyDescent="0.2">
      <c r="A2" s="138" t="s">
        <v>17</v>
      </c>
      <c r="L2" s="138" t="s">
        <v>18</v>
      </c>
    </row>
    <row r="3" spans="1:19" x14ac:dyDescent="0.2">
      <c r="B3" s="89" t="s">
        <v>5</v>
      </c>
      <c r="C3" s="177">
        <f>'prijem_zahranicie - viac-dom'!F85</f>
        <v>0</v>
      </c>
      <c r="M3" s="89" t="s">
        <v>5</v>
      </c>
      <c r="N3" s="139">
        <f>'prijem_zahranicie - viac-dom'!F85</f>
        <v>0</v>
      </c>
    </row>
    <row r="4" spans="1:19" x14ac:dyDescent="0.2">
      <c r="B4" s="89" t="s">
        <v>6</v>
      </c>
      <c r="C4" s="140">
        <f>'prijem_zahranicie - viac-dom'!F109</f>
        <v>0</v>
      </c>
      <c r="M4" s="89" t="s">
        <v>6</v>
      </c>
      <c r="N4" s="140">
        <f>'prijem_zahranicie - viac-dom'!F109</f>
        <v>0</v>
      </c>
    </row>
    <row r="5" spans="1:19" x14ac:dyDescent="0.2">
      <c r="B5" s="89" t="s">
        <v>7</v>
      </c>
      <c r="C5" s="89">
        <f>'prijem_zahranicie - viac-dom'!F86</f>
        <v>0</v>
      </c>
      <c r="M5" s="89" t="s">
        <v>7</v>
      </c>
      <c r="N5" s="89">
        <f>'prijem_zahranicie - viac-dom'!F86</f>
        <v>0</v>
      </c>
    </row>
    <row r="6" spans="1:19" x14ac:dyDescent="0.2">
      <c r="B6" s="235" t="s">
        <v>101</v>
      </c>
      <c r="C6" s="236">
        <f>'prijem_zahranicie - viac-dom'!F89+'prijem_zahranicie - viac-dom'!F96+'prijem_zahranicie - viac-dom'!F103</f>
        <v>0</v>
      </c>
      <c r="M6" s="235" t="s">
        <v>101</v>
      </c>
      <c r="N6" s="236">
        <f>'prijem_zahranicie - viac-dom'!F89+'prijem_zahranicie - viac-dom'!F96+'prijem_zahranicie - viac-dom'!F103</f>
        <v>0</v>
      </c>
    </row>
    <row r="7" spans="1:19" x14ac:dyDescent="0.2">
      <c r="B7" s="235" t="s">
        <v>108</v>
      </c>
      <c r="C7" s="236">
        <f>'prijem_zahranicie - viac-dom'!F90+'prijem_zahranicie - viac-dom'!F97+'prijem_zahranicie - viac-dom'!F104</f>
        <v>0</v>
      </c>
      <c r="M7" s="235" t="s">
        <v>108</v>
      </c>
      <c r="N7" s="236">
        <f>'prijem_zahranicie - viac-dom'!F90+'prijem_zahranicie - viac-dom'!F97+'prijem_zahranicie - viac-dom'!F104</f>
        <v>0</v>
      </c>
    </row>
    <row r="8" spans="1:19" x14ac:dyDescent="0.2">
      <c r="B8" s="235" t="s">
        <v>109</v>
      </c>
      <c r="C8" s="236">
        <f>'prijem_zahranicie - viac-dom'!F91+'prijem_zahranicie - viac-dom'!F98+'prijem_zahranicie - viac-dom'!F105</f>
        <v>0</v>
      </c>
      <c r="M8" s="235" t="s">
        <v>109</v>
      </c>
      <c r="N8" s="236">
        <f>'prijem_zahranicie - viac-dom'!F91+'prijem_zahranicie - viac-dom'!F98+'prijem_zahranicie - viac-dom'!F105</f>
        <v>0</v>
      </c>
    </row>
    <row r="9" spans="1:19" x14ac:dyDescent="0.2">
      <c r="B9" s="235" t="s">
        <v>102</v>
      </c>
      <c r="C9" s="110">
        <f>'prijem_zahranicie - viac-dom'!E138+'prijem_zahranicie - viac-dom'!E139+'prijem_zahranicie - viac-dom'!E140</f>
        <v>0</v>
      </c>
      <c r="M9" s="235" t="s">
        <v>102</v>
      </c>
      <c r="N9" s="110">
        <f>'prijem_zahranicie - viac-dom'!E138+'prijem_zahranicie - viac-dom'!E139+'prijem_zahranicie - viac-dom'!E140</f>
        <v>0</v>
      </c>
    </row>
    <row r="10" spans="1:19" x14ac:dyDescent="0.2">
      <c r="B10" s="89" t="s">
        <v>8</v>
      </c>
      <c r="C10" s="141" t="e">
        <v>#REF!</v>
      </c>
      <c r="M10" s="89" t="s">
        <v>8</v>
      </c>
      <c r="N10" s="141" t="e">
        <v>#REF!</v>
      </c>
    </row>
    <row r="11" spans="1:19" x14ac:dyDescent="0.2">
      <c r="B11" s="89" t="s">
        <v>9</v>
      </c>
      <c r="C11" s="141">
        <f>'prijem_zahranicie - viac-dom'!F121</f>
        <v>0</v>
      </c>
      <c r="M11" s="89" t="s">
        <v>9</v>
      </c>
      <c r="N11" s="141">
        <f>'prijem_zahranicie - viac-dom'!F121</f>
        <v>0</v>
      </c>
    </row>
    <row r="12" spans="1:19" x14ac:dyDescent="0.2">
      <c r="B12" s="138" t="s">
        <v>97</v>
      </c>
      <c r="C12" s="140" t="e">
        <f>(1+IRR(B16:B496,1%))^12-1</f>
        <v>#VALUE!</v>
      </c>
      <c r="M12" s="138" t="s">
        <v>97</v>
      </c>
      <c r="N12" s="140" t="e">
        <f>(1+IRR(M16:M496,1%))^12-1</f>
        <v>#VALUE!</v>
      </c>
    </row>
    <row r="13" spans="1:19" x14ac:dyDescent="0.2">
      <c r="B13" s="138" t="s">
        <v>19</v>
      </c>
      <c r="C13" s="238" t="e">
        <f>(SUM(B17:B496)*-1)+C6+C8+C9+H17</f>
        <v>#NUM!</v>
      </c>
      <c r="M13" s="138" t="s">
        <v>19</v>
      </c>
      <c r="N13" s="238" t="e">
        <f>(SUM(M17:M496)*-1)+N6+N8+N9+S17</f>
        <v>#DIV/0!</v>
      </c>
    </row>
    <row r="14" spans="1:19" x14ac:dyDescent="0.2">
      <c r="D14" s="142"/>
    </row>
    <row r="15" spans="1:19" x14ac:dyDescent="0.2">
      <c r="B15" s="89" t="s">
        <v>11</v>
      </c>
      <c r="C15" s="143" t="s">
        <v>13</v>
      </c>
      <c r="M15" s="89" t="s">
        <v>11</v>
      </c>
      <c r="N15" s="143" t="s">
        <v>13</v>
      </c>
    </row>
    <row r="16" spans="1:19" x14ac:dyDescent="0.2">
      <c r="A16" s="89" t="s">
        <v>10</v>
      </c>
      <c r="B16" s="186">
        <f>C3-C6-C7-C9-C11-H17</f>
        <v>0</v>
      </c>
      <c r="C16" s="171">
        <f>C3</f>
        <v>0</v>
      </c>
      <c r="D16" s="143" t="s">
        <v>12</v>
      </c>
      <c r="E16" s="143" t="s">
        <v>14</v>
      </c>
      <c r="F16" s="143" t="s">
        <v>15</v>
      </c>
      <c r="G16" s="182" t="s">
        <v>141</v>
      </c>
      <c r="H16" s="232" t="s">
        <v>140</v>
      </c>
      <c r="L16" s="89" t="s">
        <v>10</v>
      </c>
      <c r="M16" s="186">
        <f>N3-N6-N7-N9-N11-S17</f>
        <v>0</v>
      </c>
      <c r="N16" s="171">
        <f>N3</f>
        <v>0</v>
      </c>
      <c r="O16" s="143" t="s">
        <v>12</v>
      </c>
      <c r="P16" s="143" t="s">
        <v>14</v>
      </c>
      <c r="Q16" s="143" t="s">
        <v>15</v>
      </c>
      <c r="R16" s="182" t="s">
        <v>141</v>
      </c>
      <c r="S16" s="232" t="s">
        <v>140</v>
      </c>
    </row>
    <row r="17" spans="1:19" x14ac:dyDescent="0.2">
      <c r="A17" s="89">
        <v>1</v>
      </c>
      <c r="B17" s="186">
        <f>IF(C16&gt;0.00001,F17-G17,0)</f>
        <v>0</v>
      </c>
      <c r="C17" s="171" t="e">
        <f>MAX(C16-D17,0)</f>
        <v>#NUM!</v>
      </c>
      <c r="D17" s="171" t="e">
        <f>(F17-E17)*-1</f>
        <v>#NUM!</v>
      </c>
      <c r="E17" s="171" t="e">
        <f>IPMT($C$4/12,1,$C$5,C16)</f>
        <v>#NUM!</v>
      </c>
      <c r="F17" s="171" t="e">
        <f>PMT($C$4/12,$C$5,$C$3)</f>
        <v>#NUM!</v>
      </c>
      <c r="G17" s="171"/>
      <c r="H17" s="233">
        <f>'prijem_zahranicie - viac-dom'!F122</f>
        <v>0</v>
      </c>
      <c r="L17" s="89">
        <v>1</v>
      </c>
      <c r="M17" s="186">
        <f>IF(N16&gt;0.00001,Q17-R17,0)*-1</f>
        <v>0</v>
      </c>
      <c r="N17" s="171" t="e">
        <f>MAX(N16-O17,0)</f>
        <v>#DIV/0!</v>
      </c>
      <c r="O17" s="171" t="e">
        <f t="shared" ref="O17:O80" si="0">$N$16/$N$5</f>
        <v>#DIV/0!</v>
      </c>
      <c r="P17" s="171">
        <f>N16*$N$4/12</f>
        <v>0</v>
      </c>
      <c r="Q17" s="171" t="e">
        <f>P17+O17</f>
        <v>#DIV/0!</v>
      </c>
      <c r="R17" s="171"/>
      <c r="S17" s="233">
        <f>'prijem_zahranicie - viac-dom'!F122</f>
        <v>0</v>
      </c>
    </row>
    <row r="18" spans="1:19" x14ac:dyDescent="0.2">
      <c r="A18" s="89">
        <v>2</v>
      </c>
      <c r="B18" s="186" t="e">
        <f t="shared" ref="B18:B81" si="1">IF(C17&gt;0.00001,F18-G18,0)</f>
        <v>#NUM!</v>
      </c>
      <c r="C18" s="171" t="e">
        <f t="shared" ref="C18:C81" si="2">MAX(C17-D18,0)</f>
        <v>#NUM!</v>
      </c>
      <c r="D18" s="171" t="e">
        <f t="shared" ref="D18:D81" si="3">(F18-E18)*-1</f>
        <v>#NUM!</v>
      </c>
      <c r="E18" s="171" t="e">
        <f t="shared" ref="E18:E81" si="4">IPMT($C$4/12,1,$C$5,C17)</f>
        <v>#NUM!</v>
      </c>
      <c r="F18" s="171" t="e">
        <f t="shared" ref="F18:F81" si="5">PMT($C$4/12,$C$5,$C$3)</f>
        <v>#NUM!</v>
      </c>
      <c r="G18" s="171"/>
      <c r="L18" s="89">
        <v>2</v>
      </c>
      <c r="M18" s="186" t="e">
        <f t="shared" ref="M18:M81" si="6">IF(N17&gt;0.00001,Q18-R18,0)*-1</f>
        <v>#DIV/0!</v>
      </c>
      <c r="N18" s="171" t="e">
        <f t="shared" ref="N18:N81" si="7">MAX(N17-O18,0)</f>
        <v>#DIV/0!</v>
      </c>
      <c r="O18" s="171" t="e">
        <f t="shared" si="0"/>
        <v>#DIV/0!</v>
      </c>
      <c r="P18" s="171" t="e">
        <f t="shared" ref="P18:P81" si="8">N17*$N$4/12</f>
        <v>#DIV/0!</v>
      </c>
      <c r="Q18" s="171" t="e">
        <f t="shared" ref="Q18:Q81" si="9">P18+O18</f>
        <v>#DIV/0!</v>
      </c>
      <c r="R18" s="171"/>
    </row>
    <row r="19" spans="1:19" x14ac:dyDescent="0.2">
      <c r="A19" s="89">
        <v>3</v>
      </c>
      <c r="B19" s="186" t="e">
        <f t="shared" si="1"/>
        <v>#NUM!</v>
      </c>
      <c r="C19" s="171" t="e">
        <f t="shared" si="2"/>
        <v>#NUM!</v>
      </c>
      <c r="D19" s="171" t="e">
        <f t="shared" si="3"/>
        <v>#NUM!</v>
      </c>
      <c r="E19" s="171" t="e">
        <f t="shared" si="4"/>
        <v>#NUM!</v>
      </c>
      <c r="F19" s="171" t="e">
        <f t="shared" si="5"/>
        <v>#NUM!</v>
      </c>
      <c r="G19" s="171"/>
      <c r="L19" s="89">
        <v>3</v>
      </c>
      <c r="M19" s="186" t="e">
        <f t="shared" si="6"/>
        <v>#DIV/0!</v>
      </c>
      <c r="N19" s="171" t="e">
        <f t="shared" si="7"/>
        <v>#DIV/0!</v>
      </c>
      <c r="O19" s="171" t="e">
        <f t="shared" si="0"/>
        <v>#DIV/0!</v>
      </c>
      <c r="P19" s="171" t="e">
        <f t="shared" si="8"/>
        <v>#DIV/0!</v>
      </c>
      <c r="Q19" s="171" t="e">
        <f t="shared" si="9"/>
        <v>#DIV/0!</v>
      </c>
      <c r="R19" s="171"/>
    </row>
    <row r="20" spans="1:19" x14ac:dyDescent="0.2">
      <c r="A20" s="89">
        <v>4</v>
      </c>
      <c r="B20" s="186" t="e">
        <f t="shared" si="1"/>
        <v>#NUM!</v>
      </c>
      <c r="C20" s="171" t="e">
        <f t="shared" si="2"/>
        <v>#NUM!</v>
      </c>
      <c r="D20" s="171" t="e">
        <f t="shared" si="3"/>
        <v>#NUM!</v>
      </c>
      <c r="E20" s="171" t="e">
        <f t="shared" si="4"/>
        <v>#NUM!</v>
      </c>
      <c r="F20" s="171" t="e">
        <f t="shared" si="5"/>
        <v>#NUM!</v>
      </c>
      <c r="G20" s="171"/>
      <c r="L20" s="89">
        <v>4</v>
      </c>
      <c r="M20" s="186" t="e">
        <f t="shared" si="6"/>
        <v>#DIV/0!</v>
      </c>
      <c r="N20" s="171" t="e">
        <f t="shared" si="7"/>
        <v>#DIV/0!</v>
      </c>
      <c r="O20" s="171" t="e">
        <f t="shared" si="0"/>
        <v>#DIV/0!</v>
      </c>
      <c r="P20" s="171" t="e">
        <f t="shared" si="8"/>
        <v>#DIV/0!</v>
      </c>
      <c r="Q20" s="171" t="e">
        <f t="shared" si="9"/>
        <v>#DIV/0!</v>
      </c>
      <c r="R20" s="171"/>
    </row>
    <row r="21" spans="1:19" x14ac:dyDescent="0.2">
      <c r="A21" s="89">
        <v>5</v>
      </c>
      <c r="B21" s="186" t="e">
        <f t="shared" si="1"/>
        <v>#NUM!</v>
      </c>
      <c r="C21" s="171" t="e">
        <f t="shared" si="2"/>
        <v>#NUM!</v>
      </c>
      <c r="D21" s="171" t="e">
        <f t="shared" si="3"/>
        <v>#NUM!</v>
      </c>
      <c r="E21" s="171" t="e">
        <f t="shared" si="4"/>
        <v>#NUM!</v>
      </c>
      <c r="F21" s="171" t="e">
        <f t="shared" si="5"/>
        <v>#NUM!</v>
      </c>
      <c r="G21" s="171"/>
      <c r="L21" s="89">
        <v>5</v>
      </c>
      <c r="M21" s="186" t="e">
        <f t="shared" si="6"/>
        <v>#DIV/0!</v>
      </c>
      <c r="N21" s="171" t="e">
        <f t="shared" si="7"/>
        <v>#DIV/0!</v>
      </c>
      <c r="O21" s="171" t="e">
        <f t="shared" si="0"/>
        <v>#DIV/0!</v>
      </c>
      <c r="P21" s="171" t="e">
        <f t="shared" si="8"/>
        <v>#DIV/0!</v>
      </c>
      <c r="Q21" s="171" t="e">
        <f t="shared" si="9"/>
        <v>#DIV/0!</v>
      </c>
      <c r="R21" s="171"/>
    </row>
    <row r="22" spans="1:19" x14ac:dyDescent="0.2">
      <c r="A22" s="89">
        <v>6</v>
      </c>
      <c r="B22" s="186" t="e">
        <f t="shared" si="1"/>
        <v>#NUM!</v>
      </c>
      <c r="C22" s="171" t="e">
        <f t="shared" si="2"/>
        <v>#NUM!</v>
      </c>
      <c r="D22" s="171" t="e">
        <f t="shared" si="3"/>
        <v>#NUM!</v>
      </c>
      <c r="E22" s="171" t="e">
        <f t="shared" si="4"/>
        <v>#NUM!</v>
      </c>
      <c r="F22" s="171" t="e">
        <f t="shared" si="5"/>
        <v>#NUM!</v>
      </c>
      <c r="G22" s="171"/>
      <c r="L22" s="89">
        <v>6</v>
      </c>
      <c r="M22" s="186" t="e">
        <f t="shared" si="6"/>
        <v>#DIV/0!</v>
      </c>
      <c r="N22" s="171" t="e">
        <f t="shared" si="7"/>
        <v>#DIV/0!</v>
      </c>
      <c r="O22" s="171" t="e">
        <f t="shared" si="0"/>
        <v>#DIV/0!</v>
      </c>
      <c r="P22" s="171" t="e">
        <f t="shared" si="8"/>
        <v>#DIV/0!</v>
      </c>
      <c r="Q22" s="171" t="e">
        <f t="shared" si="9"/>
        <v>#DIV/0!</v>
      </c>
      <c r="R22" s="171"/>
    </row>
    <row r="23" spans="1:19" x14ac:dyDescent="0.2">
      <c r="A23" s="89">
        <v>7</v>
      </c>
      <c r="B23" s="186" t="e">
        <f t="shared" si="1"/>
        <v>#NUM!</v>
      </c>
      <c r="C23" s="171" t="e">
        <f t="shared" si="2"/>
        <v>#NUM!</v>
      </c>
      <c r="D23" s="171" t="e">
        <f t="shared" si="3"/>
        <v>#NUM!</v>
      </c>
      <c r="E23" s="171" t="e">
        <f t="shared" si="4"/>
        <v>#NUM!</v>
      </c>
      <c r="F23" s="171" t="e">
        <f t="shared" si="5"/>
        <v>#NUM!</v>
      </c>
      <c r="G23" s="171"/>
      <c r="L23" s="89">
        <v>7</v>
      </c>
      <c r="M23" s="186" t="e">
        <f t="shared" si="6"/>
        <v>#DIV/0!</v>
      </c>
      <c r="N23" s="171" t="e">
        <f t="shared" si="7"/>
        <v>#DIV/0!</v>
      </c>
      <c r="O23" s="171" t="e">
        <f t="shared" si="0"/>
        <v>#DIV/0!</v>
      </c>
      <c r="P23" s="171" t="e">
        <f t="shared" si="8"/>
        <v>#DIV/0!</v>
      </c>
      <c r="Q23" s="171" t="e">
        <f t="shared" si="9"/>
        <v>#DIV/0!</v>
      </c>
      <c r="R23" s="171"/>
    </row>
    <row r="24" spans="1:19" x14ac:dyDescent="0.2">
      <c r="A24" s="89">
        <v>8</v>
      </c>
      <c r="B24" s="186" t="e">
        <f t="shared" si="1"/>
        <v>#NUM!</v>
      </c>
      <c r="C24" s="171" t="e">
        <f t="shared" si="2"/>
        <v>#NUM!</v>
      </c>
      <c r="D24" s="171" t="e">
        <f t="shared" si="3"/>
        <v>#NUM!</v>
      </c>
      <c r="E24" s="171" t="e">
        <f t="shared" si="4"/>
        <v>#NUM!</v>
      </c>
      <c r="F24" s="171" t="e">
        <f t="shared" si="5"/>
        <v>#NUM!</v>
      </c>
      <c r="G24" s="171"/>
      <c r="L24" s="89">
        <v>8</v>
      </c>
      <c r="M24" s="186" t="e">
        <f t="shared" si="6"/>
        <v>#DIV/0!</v>
      </c>
      <c r="N24" s="171" t="e">
        <f t="shared" si="7"/>
        <v>#DIV/0!</v>
      </c>
      <c r="O24" s="171" t="e">
        <f t="shared" si="0"/>
        <v>#DIV/0!</v>
      </c>
      <c r="P24" s="171" t="e">
        <f t="shared" si="8"/>
        <v>#DIV/0!</v>
      </c>
      <c r="Q24" s="171" t="e">
        <f t="shared" si="9"/>
        <v>#DIV/0!</v>
      </c>
      <c r="R24" s="171"/>
    </row>
    <row r="25" spans="1:19" x14ac:dyDescent="0.2">
      <c r="A25" s="89">
        <v>9</v>
      </c>
      <c r="B25" s="186" t="e">
        <f t="shared" si="1"/>
        <v>#NUM!</v>
      </c>
      <c r="C25" s="171" t="e">
        <f t="shared" si="2"/>
        <v>#NUM!</v>
      </c>
      <c r="D25" s="171" t="e">
        <f t="shared" si="3"/>
        <v>#NUM!</v>
      </c>
      <c r="E25" s="171" t="e">
        <f t="shared" si="4"/>
        <v>#NUM!</v>
      </c>
      <c r="F25" s="171" t="e">
        <f t="shared" si="5"/>
        <v>#NUM!</v>
      </c>
      <c r="G25" s="171"/>
      <c r="L25" s="89">
        <v>9</v>
      </c>
      <c r="M25" s="186" t="e">
        <f t="shared" si="6"/>
        <v>#DIV/0!</v>
      </c>
      <c r="N25" s="171" t="e">
        <f t="shared" si="7"/>
        <v>#DIV/0!</v>
      </c>
      <c r="O25" s="171" t="e">
        <f t="shared" si="0"/>
        <v>#DIV/0!</v>
      </c>
      <c r="P25" s="171" t="e">
        <f t="shared" si="8"/>
        <v>#DIV/0!</v>
      </c>
      <c r="Q25" s="171" t="e">
        <f t="shared" si="9"/>
        <v>#DIV/0!</v>
      </c>
      <c r="R25" s="171"/>
    </row>
    <row r="26" spans="1:19" x14ac:dyDescent="0.2">
      <c r="A26" s="89">
        <v>10</v>
      </c>
      <c r="B26" s="186" t="e">
        <f t="shared" si="1"/>
        <v>#NUM!</v>
      </c>
      <c r="C26" s="171" t="e">
        <f t="shared" si="2"/>
        <v>#NUM!</v>
      </c>
      <c r="D26" s="171" t="e">
        <f t="shared" si="3"/>
        <v>#NUM!</v>
      </c>
      <c r="E26" s="171" t="e">
        <f t="shared" si="4"/>
        <v>#NUM!</v>
      </c>
      <c r="F26" s="171" t="e">
        <f t="shared" si="5"/>
        <v>#NUM!</v>
      </c>
      <c r="G26" s="171"/>
      <c r="L26" s="89">
        <v>10</v>
      </c>
      <c r="M26" s="186" t="e">
        <f t="shared" si="6"/>
        <v>#DIV/0!</v>
      </c>
      <c r="N26" s="171" t="e">
        <f t="shared" si="7"/>
        <v>#DIV/0!</v>
      </c>
      <c r="O26" s="171" t="e">
        <f t="shared" si="0"/>
        <v>#DIV/0!</v>
      </c>
      <c r="P26" s="171" t="e">
        <f t="shared" si="8"/>
        <v>#DIV/0!</v>
      </c>
      <c r="Q26" s="171" t="e">
        <f t="shared" si="9"/>
        <v>#DIV/0!</v>
      </c>
      <c r="R26" s="171"/>
    </row>
    <row r="27" spans="1:19" x14ac:dyDescent="0.2">
      <c r="A27" s="89">
        <v>11</v>
      </c>
      <c r="B27" s="186" t="e">
        <f t="shared" si="1"/>
        <v>#NUM!</v>
      </c>
      <c r="C27" s="171" t="e">
        <f t="shared" si="2"/>
        <v>#NUM!</v>
      </c>
      <c r="D27" s="171" t="e">
        <f t="shared" si="3"/>
        <v>#NUM!</v>
      </c>
      <c r="E27" s="171" t="e">
        <f t="shared" si="4"/>
        <v>#NUM!</v>
      </c>
      <c r="F27" s="171" t="e">
        <f t="shared" si="5"/>
        <v>#NUM!</v>
      </c>
      <c r="G27" s="171"/>
      <c r="L27" s="89">
        <v>11</v>
      </c>
      <c r="M27" s="186" t="e">
        <f t="shared" si="6"/>
        <v>#DIV/0!</v>
      </c>
      <c r="N27" s="171" t="e">
        <f t="shared" si="7"/>
        <v>#DIV/0!</v>
      </c>
      <c r="O27" s="171" t="e">
        <f t="shared" si="0"/>
        <v>#DIV/0!</v>
      </c>
      <c r="P27" s="171" t="e">
        <f t="shared" si="8"/>
        <v>#DIV/0!</v>
      </c>
      <c r="Q27" s="171" t="e">
        <f t="shared" si="9"/>
        <v>#DIV/0!</v>
      </c>
      <c r="R27" s="171"/>
    </row>
    <row r="28" spans="1:19" x14ac:dyDescent="0.2">
      <c r="A28" s="89">
        <v>12</v>
      </c>
      <c r="B28" s="186" t="e">
        <f t="shared" si="1"/>
        <v>#NUM!</v>
      </c>
      <c r="C28" s="171" t="e">
        <f t="shared" si="2"/>
        <v>#NUM!</v>
      </c>
      <c r="D28" s="171" t="e">
        <f t="shared" si="3"/>
        <v>#NUM!</v>
      </c>
      <c r="E28" s="171" t="e">
        <f t="shared" si="4"/>
        <v>#NUM!</v>
      </c>
      <c r="F28" s="171" t="e">
        <f t="shared" si="5"/>
        <v>#NUM!</v>
      </c>
      <c r="G28" s="171"/>
      <c r="L28" s="89">
        <v>12</v>
      </c>
      <c r="M28" s="186" t="e">
        <f t="shared" si="6"/>
        <v>#DIV/0!</v>
      </c>
      <c r="N28" s="171" t="e">
        <f t="shared" si="7"/>
        <v>#DIV/0!</v>
      </c>
      <c r="O28" s="171" t="e">
        <f t="shared" si="0"/>
        <v>#DIV/0!</v>
      </c>
      <c r="P28" s="171" t="e">
        <f t="shared" si="8"/>
        <v>#DIV/0!</v>
      </c>
      <c r="Q28" s="171" t="e">
        <f t="shared" si="9"/>
        <v>#DIV/0!</v>
      </c>
      <c r="R28" s="171"/>
    </row>
    <row r="29" spans="1:19" x14ac:dyDescent="0.2">
      <c r="A29" s="89">
        <v>13</v>
      </c>
      <c r="B29" s="186" t="e">
        <f t="shared" si="1"/>
        <v>#NUM!</v>
      </c>
      <c r="C29" s="171" t="e">
        <f t="shared" si="2"/>
        <v>#NUM!</v>
      </c>
      <c r="D29" s="171" t="e">
        <f t="shared" si="3"/>
        <v>#NUM!</v>
      </c>
      <c r="E29" s="171" t="e">
        <f t="shared" si="4"/>
        <v>#NUM!</v>
      </c>
      <c r="F29" s="171" t="e">
        <f t="shared" si="5"/>
        <v>#NUM!</v>
      </c>
      <c r="G29" s="171"/>
      <c r="L29" s="89">
        <v>13</v>
      </c>
      <c r="M29" s="186" t="e">
        <f t="shared" si="6"/>
        <v>#DIV/0!</v>
      </c>
      <c r="N29" s="171" t="e">
        <f t="shared" si="7"/>
        <v>#DIV/0!</v>
      </c>
      <c r="O29" s="171" t="e">
        <f t="shared" si="0"/>
        <v>#DIV/0!</v>
      </c>
      <c r="P29" s="171" t="e">
        <f t="shared" si="8"/>
        <v>#DIV/0!</v>
      </c>
      <c r="Q29" s="171" t="e">
        <f t="shared" si="9"/>
        <v>#DIV/0!</v>
      </c>
      <c r="R29" s="171"/>
    </row>
    <row r="30" spans="1:19" x14ac:dyDescent="0.2">
      <c r="A30" s="89">
        <v>14</v>
      </c>
      <c r="B30" s="186" t="e">
        <f t="shared" si="1"/>
        <v>#NUM!</v>
      </c>
      <c r="C30" s="171" t="e">
        <f t="shared" si="2"/>
        <v>#NUM!</v>
      </c>
      <c r="D30" s="171" t="e">
        <f t="shared" si="3"/>
        <v>#NUM!</v>
      </c>
      <c r="E30" s="171" t="e">
        <f t="shared" si="4"/>
        <v>#NUM!</v>
      </c>
      <c r="F30" s="171" t="e">
        <f t="shared" si="5"/>
        <v>#NUM!</v>
      </c>
      <c r="G30" s="171"/>
      <c r="L30" s="89">
        <v>14</v>
      </c>
      <c r="M30" s="186" t="e">
        <f t="shared" si="6"/>
        <v>#DIV/0!</v>
      </c>
      <c r="N30" s="171" t="e">
        <f t="shared" si="7"/>
        <v>#DIV/0!</v>
      </c>
      <c r="O30" s="171" t="e">
        <f t="shared" si="0"/>
        <v>#DIV/0!</v>
      </c>
      <c r="P30" s="171" t="e">
        <f t="shared" si="8"/>
        <v>#DIV/0!</v>
      </c>
      <c r="Q30" s="171" t="e">
        <f t="shared" si="9"/>
        <v>#DIV/0!</v>
      </c>
      <c r="R30" s="171"/>
    </row>
    <row r="31" spans="1:19" x14ac:dyDescent="0.2">
      <c r="A31" s="89">
        <v>15</v>
      </c>
      <c r="B31" s="186" t="e">
        <f t="shared" si="1"/>
        <v>#NUM!</v>
      </c>
      <c r="C31" s="171" t="e">
        <f t="shared" si="2"/>
        <v>#NUM!</v>
      </c>
      <c r="D31" s="171" t="e">
        <f t="shared" si="3"/>
        <v>#NUM!</v>
      </c>
      <c r="E31" s="171" t="e">
        <f t="shared" si="4"/>
        <v>#NUM!</v>
      </c>
      <c r="F31" s="171" t="e">
        <f t="shared" si="5"/>
        <v>#NUM!</v>
      </c>
      <c r="G31" s="171"/>
      <c r="L31" s="89">
        <v>15</v>
      </c>
      <c r="M31" s="186" t="e">
        <f t="shared" si="6"/>
        <v>#DIV/0!</v>
      </c>
      <c r="N31" s="171" t="e">
        <f t="shared" si="7"/>
        <v>#DIV/0!</v>
      </c>
      <c r="O31" s="171" t="e">
        <f t="shared" si="0"/>
        <v>#DIV/0!</v>
      </c>
      <c r="P31" s="171" t="e">
        <f t="shared" si="8"/>
        <v>#DIV/0!</v>
      </c>
      <c r="Q31" s="171" t="e">
        <f t="shared" si="9"/>
        <v>#DIV/0!</v>
      </c>
      <c r="R31" s="171"/>
    </row>
    <row r="32" spans="1:19" x14ac:dyDescent="0.2">
      <c r="A32" s="89">
        <v>16</v>
      </c>
      <c r="B32" s="186" t="e">
        <f t="shared" si="1"/>
        <v>#NUM!</v>
      </c>
      <c r="C32" s="171" t="e">
        <f t="shared" si="2"/>
        <v>#NUM!</v>
      </c>
      <c r="D32" s="171" t="e">
        <f t="shared" si="3"/>
        <v>#NUM!</v>
      </c>
      <c r="E32" s="171" t="e">
        <f t="shared" si="4"/>
        <v>#NUM!</v>
      </c>
      <c r="F32" s="171" t="e">
        <f t="shared" si="5"/>
        <v>#NUM!</v>
      </c>
      <c r="G32" s="171"/>
      <c r="L32" s="89">
        <v>16</v>
      </c>
      <c r="M32" s="186" t="e">
        <f t="shared" si="6"/>
        <v>#DIV/0!</v>
      </c>
      <c r="N32" s="171" t="e">
        <f t="shared" si="7"/>
        <v>#DIV/0!</v>
      </c>
      <c r="O32" s="171" t="e">
        <f t="shared" si="0"/>
        <v>#DIV/0!</v>
      </c>
      <c r="P32" s="171" t="e">
        <f t="shared" si="8"/>
        <v>#DIV/0!</v>
      </c>
      <c r="Q32" s="171" t="e">
        <f t="shared" si="9"/>
        <v>#DIV/0!</v>
      </c>
      <c r="R32" s="171"/>
    </row>
    <row r="33" spans="1:18" x14ac:dyDescent="0.2">
      <c r="A33" s="89">
        <v>17</v>
      </c>
      <c r="B33" s="186" t="e">
        <f t="shared" si="1"/>
        <v>#NUM!</v>
      </c>
      <c r="C33" s="171" t="e">
        <f t="shared" si="2"/>
        <v>#NUM!</v>
      </c>
      <c r="D33" s="171" t="e">
        <f t="shared" si="3"/>
        <v>#NUM!</v>
      </c>
      <c r="E33" s="171" t="e">
        <f t="shared" si="4"/>
        <v>#NUM!</v>
      </c>
      <c r="F33" s="171" t="e">
        <f t="shared" si="5"/>
        <v>#NUM!</v>
      </c>
      <c r="G33" s="171"/>
      <c r="L33" s="89">
        <v>17</v>
      </c>
      <c r="M33" s="186" t="e">
        <f t="shared" si="6"/>
        <v>#DIV/0!</v>
      </c>
      <c r="N33" s="171" t="e">
        <f t="shared" si="7"/>
        <v>#DIV/0!</v>
      </c>
      <c r="O33" s="171" t="e">
        <f t="shared" si="0"/>
        <v>#DIV/0!</v>
      </c>
      <c r="P33" s="171" t="e">
        <f t="shared" si="8"/>
        <v>#DIV/0!</v>
      </c>
      <c r="Q33" s="171" t="e">
        <f t="shared" si="9"/>
        <v>#DIV/0!</v>
      </c>
      <c r="R33" s="171"/>
    </row>
    <row r="34" spans="1:18" x14ac:dyDescent="0.2">
      <c r="A34" s="89">
        <v>18</v>
      </c>
      <c r="B34" s="186" t="e">
        <f t="shared" si="1"/>
        <v>#NUM!</v>
      </c>
      <c r="C34" s="171" t="e">
        <f t="shared" si="2"/>
        <v>#NUM!</v>
      </c>
      <c r="D34" s="171" t="e">
        <f t="shared" si="3"/>
        <v>#NUM!</v>
      </c>
      <c r="E34" s="171" t="e">
        <f t="shared" si="4"/>
        <v>#NUM!</v>
      </c>
      <c r="F34" s="171" t="e">
        <f t="shared" si="5"/>
        <v>#NUM!</v>
      </c>
      <c r="G34" s="171"/>
      <c r="L34" s="89">
        <v>18</v>
      </c>
      <c r="M34" s="186" t="e">
        <f t="shared" si="6"/>
        <v>#DIV/0!</v>
      </c>
      <c r="N34" s="171" t="e">
        <f t="shared" si="7"/>
        <v>#DIV/0!</v>
      </c>
      <c r="O34" s="171" t="e">
        <f t="shared" si="0"/>
        <v>#DIV/0!</v>
      </c>
      <c r="P34" s="171" t="e">
        <f t="shared" si="8"/>
        <v>#DIV/0!</v>
      </c>
      <c r="Q34" s="171" t="e">
        <f t="shared" si="9"/>
        <v>#DIV/0!</v>
      </c>
      <c r="R34" s="171"/>
    </row>
    <row r="35" spans="1:18" x14ac:dyDescent="0.2">
      <c r="A35" s="89">
        <v>19</v>
      </c>
      <c r="B35" s="186" t="e">
        <f t="shared" si="1"/>
        <v>#NUM!</v>
      </c>
      <c r="C35" s="171" t="e">
        <f t="shared" si="2"/>
        <v>#NUM!</v>
      </c>
      <c r="D35" s="171" t="e">
        <f t="shared" si="3"/>
        <v>#NUM!</v>
      </c>
      <c r="E35" s="171" t="e">
        <f t="shared" si="4"/>
        <v>#NUM!</v>
      </c>
      <c r="F35" s="171" t="e">
        <f t="shared" si="5"/>
        <v>#NUM!</v>
      </c>
      <c r="G35" s="171"/>
      <c r="L35" s="89">
        <v>19</v>
      </c>
      <c r="M35" s="186" t="e">
        <f t="shared" si="6"/>
        <v>#DIV/0!</v>
      </c>
      <c r="N35" s="171" t="e">
        <f t="shared" si="7"/>
        <v>#DIV/0!</v>
      </c>
      <c r="O35" s="171" t="e">
        <f t="shared" si="0"/>
        <v>#DIV/0!</v>
      </c>
      <c r="P35" s="171" t="e">
        <f t="shared" si="8"/>
        <v>#DIV/0!</v>
      </c>
      <c r="Q35" s="171" t="e">
        <f t="shared" si="9"/>
        <v>#DIV/0!</v>
      </c>
      <c r="R35" s="171"/>
    </row>
    <row r="36" spans="1:18" x14ac:dyDescent="0.2">
      <c r="A36" s="89">
        <v>20</v>
      </c>
      <c r="B36" s="186" t="e">
        <f t="shared" si="1"/>
        <v>#NUM!</v>
      </c>
      <c r="C36" s="171" t="e">
        <f t="shared" si="2"/>
        <v>#NUM!</v>
      </c>
      <c r="D36" s="171" t="e">
        <f t="shared" si="3"/>
        <v>#NUM!</v>
      </c>
      <c r="E36" s="171" t="e">
        <f t="shared" si="4"/>
        <v>#NUM!</v>
      </c>
      <c r="F36" s="171" t="e">
        <f t="shared" si="5"/>
        <v>#NUM!</v>
      </c>
      <c r="G36" s="171"/>
      <c r="L36" s="89">
        <v>20</v>
      </c>
      <c r="M36" s="186" t="e">
        <f t="shared" si="6"/>
        <v>#DIV/0!</v>
      </c>
      <c r="N36" s="171" t="e">
        <f t="shared" si="7"/>
        <v>#DIV/0!</v>
      </c>
      <c r="O36" s="171" t="e">
        <f t="shared" si="0"/>
        <v>#DIV/0!</v>
      </c>
      <c r="P36" s="171" t="e">
        <f t="shared" si="8"/>
        <v>#DIV/0!</v>
      </c>
      <c r="Q36" s="171" t="e">
        <f t="shared" si="9"/>
        <v>#DIV/0!</v>
      </c>
      <c r="R36" s="171"/>
    </row>
    <row r="37" spans="1:18" x14ac:dyDescent="0.2">
      <c r="A37" s="89">
        <v>21</v>
      </c>
      <c r="B37" s="186" t="e">
        <f t="shared" si="1"/>
        <v>#NUM!</v>
      </c>
      <c r="C37" s="171" t="e">
        <f t="shared" si="2"/>
        <v>#NUM!</v>
      </c>
      <c r="D37" s="171" t="e">
        <f t="shared" si="3"/>
        <v>#NUM!</v>
      </c>
      <c r="E37" s="171" t="e">
        <f t="shared" si="4"/>
        <v>#NUM!</v>
      </c>
      <c r="F37" s="171" t="e">
        <f t="shared" si="5"/>
        <v>#NUM!</v>
      </c>
      <c r="G37" s="171"/>
      <c r="L37" s="89">
        <v>21</v>
      </c>
      <c r="M37" s="186" t="e">
        <f t="shared" si="6"/>
        <v>#DIV/0!</v>
      </c>
      <c r="N37" s="171" t="e">
        <f t="shared" si="7"/>
        <v>#DIV/0!</v>
      </c>
      <c r="O37" s="171" t="e">
        <f t="shared" si="0"/>
        <v>#DIV/0!</v>
      </c>
      <c r="P37" s="171" t="e">
        <f t="shared" si="8"/>
        <v>#DIV/0!</v>
      </c>
      <c r="Q37" s="171" t="e">
        <f t="shared" si="9"/>
        <v>#DIV/0!</v>
      </c>
      <c r="R37" s="171"/>
    </row>
    <row r="38" spans="1:18" x14ac:dyDescent="0.2">
      <c r="A38" s="89">
        <v>22</v>
      </c>
      <c r="B38" s="186" t="e">
        <f t="shared" si="1"/>
        <v>#NUM!</v>
      </c>
      <c r="C38" s="171" t="e">
        <f t="shared" si="2"/>
        <v>#NUM!</v>
      </c>
      <c r="D38" s="171" t="e">
        <f t="shared" si="3"/>
        <v>#NUM!</v>
      </c>
      <c r="E38" s="171" t="e">
        <f t="shared" si="4"/>
        <v>#NUM!</v>
      </c>
      <c r="F38" s="171" t="e">
        <f t="shared" si="5"/>
        <v>#NUM!</v>
      </c>
      <c r="G38" s="171"/>
      <c r="L38" s="89">
        <v>22</v>
      </c>
      <c r="M38" s="186" t="e">
        <f t="shared" si="6"/>
        <v>#DIV/0!</v>
      </c>
      <c r="N38" s="171" t="e">
        <f t="shared" si="7"/>
        <v>#DIV/0!</v>
      </c>
      <c r="O38" s="171" t="e">
        <f t="shared" si="0"/>
        <v>#DIV/0!</v>
      </c>
      <c r="P38" s="171" t="e">
        <f t="shared" si="8"/>
        <v>#DIV/0!</v>
      </c>
      <c r="Q38" s="171" t="e">
        <f t="shared" si="9"/>
        <v>#DIV/0!</v>
      </c>
      <c r="R38" s="171"/>
    </row>
    <row r="39" spans="1:18" x14ac:dyDescent="0.2">
      <c r="A39" s="89">
        <v>23</v>
      </c>
      <c r="B39" s="186" t="e">
        <f t="shared" si="1"/>
        <v>#NUM!</v>
      </c>
      <c r="C39" s="171" t="e">
        <f t="shared" si="2"/>
        <v>#NUM!</v>
      </c>
      <c r="D39" s="171" t="e">
        <f t="shared" si="3"/>
        <v>#NUM!</v>
      </c>
      <c r="E39" s="171" t="e">
        <f t="shared" si="4"/>
        <v>#NUM!</v>
      </c>
      <c r="F39" s="171" t="e">
        <f t="shared" si="5"/>
        <v>#NUM!</v>
      </c>
      <c r="G39" s="171"/>
      <c r="L39" s="89">
        <v>23</v>
      </c>
      <c r="M39" s="186" t="e">
        <f t="shared" si="6"/>
        <v>#DIV/0!</v>
      </c>
      <c r="N39" s="171" t="e">
        <f t="shared" si="7"/>
        <v>#DIV/0!</v>
      </c>
      <c r="O39" s="171" t="e">
        <f t="shared" si="0"/>
        <v>#DIV/0!</v>
      </c>
      <c r="P39" s="171" t="e">
        <f t="shared" si="8"/>
        <v>#DIV/0!</v>
      </c>
      <c r="Q39" s="171" t="e">
        <f t="shared" si="9"/>
        <v>#DIV/0!</v>
      </c>
      <c r="R39" s="171"/>
    </row>
    <row r="40" spans="1:18" x14ac:dyDescent="0.2">
      <c r="A40" s="89">
        <v>24</v>
      </c>
      <c r="B40" s="186" t="e">
        <f t="shared" si="1"/>
        <v>#NUM!</v>
      </c>
      <c r="C40" s="171" t="e">
        <f t="shared" si="2"/>
        <v>#NUM!</v>
      </c>
      <c r="D40" s="171" t="e">
        <f t="shared" si="3"/>
        <v>#NUM!</v>
      </c>
      <c r="E40" s="171" t="e">
        <f t="shared" si="4"/>
        <v>#NUM!</v>
      </c>
      <c r="F40" s="171" t="e">
        <f t="shared" si="5"/>
        <v>#NUM!</v>
      </c>
      <c r="G40" s="171"/>
      <c r="L40" s="89">
        <v>24</v>
      </c>
      <c r="M40" s="186" t="e">
        <f t="shared" si="6"/>
        <v>#DIV/0!</v>
      </c>
      <c r="N40" s="171" t="e">
        <f t="shared" si="7"/>
        <v>#DIV/0!</v>
      </c>
      <c r="O40" s="171" t="e">
        <f t="shared" si="0"/>
        <v>#DIV/0!</v>
      </c>
      <c r="P40" s="171" t="e">
        <f t="shared" si="8"/>
        <v>#DIV/0!</v>
      </c>
      <c r="Q40" s="171" t="e">
        <f t="shared" si="9"/>
        <v>#DIV/0!</v>
      </c>
      <c r="R40" s="171"/>
    </row>
    <row r="41" spans="1:18" x14ac:dyDescent="0.2">
      <c r="A41" s="89">
        <v>25</v>
      </c>
      <c r="B41" s="186" t="e">
        <f t="shared" si="1"/>
        <v>#NUM!</v>
      </c>
      <c r="C41" s="171" t="e">
        <f t="shared" si="2"/>
        <v>#NUM!</v>
      </c>
      <c r="D41" s="171" t="e">
        <f t="shared" si="3"/>
        <v>#NUM!</v>
      </c>
      <c r="E41" s="171" t="e">
        <f t="shared" si="4"/>
        <v>#NUM!</v>
      </c>
      <c r="F41" s="171" t="e">
        <f t="shared" si="5"/>
        <v>#NUM!</v>
      </c>
      <c r="G41" s="186">
        <f>IF('prijem_zahranicie - viac-dom'!$I$121=TRUE,IF($C$11&gt;0,0.00025*C40,0),IF('prijem_zahranicie - viac-dom'!$I$122=TRUE,IF('prijem_zahranicie - viac-dom'!$F$122&gt;0,0.00025*C40,0),0))</f>
        <v>0</v>
      </c>
      <c r="L41" s="89">
        <v>25</v>
      </c>
      <c r="M41" s="186" t="e">
        <f t="shared" si="6"/>
        <v>#DIV/0!</v>
      </c>
      <c r="N41" s="171" t="e">
        <f t="shared" si="7"/>
        <v>#DIV/0!</v>
      </c>
      <c r="O41" s="171" t="e">
        <f t="shared" si="0"/>
        <v>#DIV/0!</v>
      </c>
      <c r="P41" s="171" t="e">
        <f t="shared" si="8"/>
        <v>#DIV/0!</v>
      </c>
      <c r="Q41" s="171" t="e">
        <f t="shared" si="9"/>
        <v>#DIV/0!</v>
      </c>
      <c r="R41" s="186">
        <f>IF('prijem_zahranicie - viac-dom'!$I$121=TRUE,IF($C$11&gt;0,0.00025*N40,0),IF('prijem_zahranicie - viac-dom'!$I$122=TRUE,IF('prijem_zahranicie - viac-dom'!$F$122&gt;0,0.00025*N40*-1,0),0))</f>
        <v>0</v>
      </c>
    </row>
    <row r="42" spans="1:18" x14ac:dyDescent="0.2">
      <c r="A42" s="89">
        <v>26</v>
      </c>
      <c r="B42" s="186" t="e">
        <f t="shared" si="1"/>
        <v>#NUM!</v>
      </c>
      <c r="C42" s="171" t="e">
        <f t="shared" si="2"/>
        <v>#NUM!</v>
      </c>
      <c r="D42" s="171" t="e">
        <f t="shared" si="3"/>
        <v>#NUM!</v>
      </c>
      <c r="E42" s="171" t="e">
        <f t="shared" si="4"/>
        <v>#NUM!</v>
      </c>
      <c r="F42" s="171" t="e">
        <f t="shared" si="5"/>
        <v>#NUM!</v>
      </c>
      <c r="G42" s="186">
        <f>IF('prijem_zahranicie - viac-dom'!$I$121=TRUE,IF($C$11&gt;0,0.00025*C41,0),IF('prijem_zahranicie - viac-dom'!$I$122=TRUE,IF('prijem_zahranicie - viac-dom'!$F$122&gt;0,0.00025*C41,0),0))</f>
        <v>0</v>
      </c>
      <c r="L42" s="89">
        <v>26</v>
      </c>
      <c r="M42" s="186" t="e">
        <f t="shared" si="6"/>
        <v>#DIV/0!</v>
      </c>
      <c r="N42" s="171" t="e">
        <f t="shared" si="7"/>
        <v>#DIV/0!</v>
      </c>
      <c r="O42" s="171" t="e">
        <f t="shared" si="0"/>
        <v>#DIV/0!</v>
      </c>
      <c r="P42" s="171" t="e">
        <f t="shared" si="8"/>
        <v>#DIV/0!</v>
      </c>
      <c r="Q42" s="171" t="e">
        <f t="shared" si="9"/>
        <v>#DIV/0!</v>
      </c>
      <c r="R42" s="186">
        <f>IF('prijem_zahranicie - viac-dom'!$I$121=TRUE,IF($C$11&gt;0,0.00025*N41,0),IF('prijem_zahranicie - viac-dom'!$I$122=TRUE,IF('prijem_zahranicie - viac-dom'!$F$122&gt;0,0.00025*N41*-1,0),0))</f>
        <v>0</v>
      </c>
    </row>
    <row r="43" spans="1:18" x14ac:dyDescent="0.2">
      <c r="A43" s="89">
        <v>27</v>
      </c>
      <c r="B43" s="186" t="e">
        <f t="shared" si="1"/>
        <v>#NUM!</v>
      </c>
      <c r="C43" s="171" t="e">
        <f t="shared" si="2"/>
        <v>#NUM!</v>
      </c>
      <c r="D43" s="171" t="e">
        <f t="shared" si="3"/>
        <v>#NUM!</v>
      </c>
      <c r="E43" s="171" t="e">
        <f t="shared" si="4"/>
        <v>#NUM!</v>
      </c>
      <c r="F43" s="171" t="e">
        <f t="shared" si="5"/>
        <v>#NUM!</v>
      </c>
      <c r="G43" s="186">
        <f>IF('prijem_zahranicie - viac-dom'!$I$121=TRUE,IF($C$11&gt;0,0.00025*C42,0),IF('prijem_zahranicie - viac-dom'!$I$122=TRUE,IF('prijem_zahranicie - viac-dom'!$F$122&gt;0,0.00025*C42,0),0))</f>
        <v>0</v>
      </c>
      <c r="L43" s="89">
        <v>27</v>
      </c>
      <c r="M43" s="186" t="e">
        <f t="shared" si="6"/>
        <v>#DIV/0!</v>
      </c>
      <c r="N43" s="171" t="e">
        <f t="shared" si="7"/>
        <v>#DIV/0!</v>
      </c>
      <c r="O43" s="171" t="e">
        <f t="shared" si="0"/>
        <v>#DIV/0!</v>
      </c>
      <c r="P43" s="171" t="e">
        <f t="shared" si="8"/>
        <v>#DIV/0!</v>
      </c>
      <c r="Q43" s="171" t="e">
        <f t="shared" si="9"/>
        <v>#DIV/0!</v>
      </c>
      <c r="R43" s="186">
        <f>IF('prijem_zahranicie - viac-dom'!$I$121=TRUE,IF($C$11&gt;0,0.00025*N42,0),IF('prijem_zahranicie - viac-dom'!$I$122=TRUE,IF('prijem_zahranicie - viac-dom'!$F$122&gt;0,0.00025*N42*-1,0),0))</f>
        <v>0</v>
      </c>
    </row>
    <row r="44" spans="1:18" x14ac:dyDescent="0.2">
      <c r="A44" s="89">
        <v>28</v>
      </c>
      <c r="B44" s="186" t="e">
        <f t="shared" si="1"/>
        <v>#NUM!</v>
      </c>
      <c r="C44" s="171" t="e">
        <f t="shared" si="2"/>
        <v>#NUM!</v>
      </c>
      <c r="D44" s="171" t="e">
        <f t="shared" si="3"/>
        <v>#NUM!</v>
      </c>
      <c r="E44" s="171" t="e">
        <f t="shared" si="4"/>
        <v>#NUM!</v>
      </c>
      <c r="F44" s="171" t="e">
        <f t="shared" si="5"/>
        <v>#NUM!</v>
      </c>
      <c r="G44" s="186">
        <f>IF('prijem_zahranicie - viac-dom'!$I$121=TRUE,IF($C$11&gt;0,0.00025*C43,0),IF('prijem_zahranicie - viac-dom'!$I$122=TRUE,IF('prijem_zahranicie - viac-dom'!$F$122&gt;0,0.00025*C43,0),0))</f>
        <v>0</v>
      </c>
      <c r="L44" s="89">
        <v>28</v>
      </c>
      <c r="M44" s="186" t="e">
        <f t="shared" si="6"/>
        <v>#DIV/0!</v>
      </c>
      <c r="N44" s="171" t="e">
        <f t="shared" si="7"/>
        <v>#DIV/0!</v>
      </c>
      <c r="O44" s="171" t="e">
        <f t="shared" si="0"/>
        <v>#DIV/0!</v>
      </c>
      <c r="P44" s="171" t="e">
        <f t="shared" si="8"/>
        <v>#DIV/0!</v>
      </c>
      <c r="Q44" s="171" t="e">
        <f t="shared" si="9"/>
        <v>#DIV/0!</v>
      </c>
      <c r="R44" s="186">
        <f>IF('prijem_zahranicie - viac-dom'!$I$121=TRUE,IF($C$11&gt;0,0.00025*N43,0),IF('prijem_zahranicie - viac-dom'!$I$122=TRUE,IF('prijem_zahranicie - viac-dom'!$F$122&gt;0,0.00025*N43*-1,0),0))</f>
        <v>0</v>
      </c>
    </row>
    <row r="45" spans="1:18" x14ac:dyDescent="0.2">
      <c r="A45" s="89">
        <v>29</v>
      </c>
      <c r="B45" s="186" t="e">
        <f t="shared" si="1"/>
        <v>#NUM!</v>
      </c>
      <c r="C45" s="171" t="e">
        <f t="shared" si="2"/>
        <v>#NUM!</v>
      </c>
      <c r="D45" s="171" t="e">
        <f t="shared" si="3"/>
        <v>#NUM!</v>
      </c>
      <c r="E45" s="171" t="e">
        <f t="shared" si="4"/>
        <v>#NUM!</v>
      </c>
      <c r="F45" s="171" t="e">
        <f t="shared" si="5"/>
        <v>#NUM!</v>
      </c>
      <c r="G45" s="186">
        <f>IF('prijem_zahranicie - viac-dom'!$I$121=TRUE,IF($C$11&gt;0,0.00025*C44,0),IF('prijem_zahranicie - viac-dom'!$I$122=TRUE,IF('prijem_zahranicie - viac-dom'!$F$122&gt;0,0.00025*C44,0),0))</f>
        <v>0</v>
      </c>
      <c r="L45" s="89">
        <v>29</v>
      </c>
      <c r="M45" s="186" t="e">
        <f t="shared" si="6"/>
        <v>#DIV/0!</v>
      </c>
      <c r="N45" s="171" t="e">
        <f t="shared" si="7"/>
        <v>#DIV/0!</v>
      </c>
      <c r="O45" s="171" t="e">
        <f t="shared" si="0"/>
        <v>#DIV/0!</v>
      </c>
      <c r="P45" s="171" t="e">
        <f t="shared" si="8"/>
        <v>#DIV/0!</v>
      </c>
      <c r="Q45" s="171" t="e">
        <f t="shared" si="9"/>
        <v>#DIV/0!</v>
      </c>
      <c r="R45" s="186">
        <f>IF('prijem_zahranicie - viac-dom'!$I$121=TRUE,IF($C$11&gt;0,0.00025*N44,0),IF('prijem_zahranicie - viac-dom'!$I$122=TRUE,IF('prijem_zahranicie - viac-dom'!$F$122&gt;0,0.00025*N44*-1,0),0))</f>
        <v>0</v>
      </c>
    </row>
    <row r="46" spans="1:18" x14ac:dyDescent="0.2">
      <c r="A46" s="89">
        <v>30</v>
      </c>
      <c r="B46" s="186" t="e">
        <f t="shared" si="1"/>
        <v>#NUM!</v>
      </c>
      <c r="C46" s="171" t="e">
        <f t="shared" si="2"/>
        <v>#NUM!</v>
      </c>
      <c r="D46" s="171" t="e">
        <f t="shared" si="3"/>
        <v>#NUM!</v>
      </c>
      <c r="E46" s="171" t="e">
        <f t="shared" si="4"/>
        <v>#NUM!</v>
      </c>
      <c r="F46" s="171" t="e">
        <f t="shared" si="5"/>
        <v>#NUM!</v>
      </c>
      <c r="G46" s="186">
        <f>IF('prijem_zahranicie - viac-dom'!$I$121=TRUE,IF($C$11&gt;0,0.00025*C45,0),IF('prijem_zahranicie - viac-dom'!$I$122=TRUE,IF('prijem_zahranicie - viac-dom'!$F$122&gt;0,0.00025*C45,0),0))</f>
        <v>0</v>
      </c>
      <c r="L46" s="89">
        <v>30</v>
      </c>
      <c r="M46" s="186" t="e">
        <f t="shared" si="6"/>
        <v>#DIV/0!</v>
      </c>
      <c r="N46" s="171" t="e">
        <f t="shared" si="7"/>
        <v>#DIV/0!</v>
      </c>
      <c r="O46" s="171" t="e">
        <f t="shared" si="0"/>
        <v>#DIV/0!</v>
      </c>
      <c r="P46" s="171" t="e">
        <f t="shared" si="8"/>
        <v>#DIV/0!</v>
      </c>
      <c r="Q46" s="171" t="e">
        <f t="shared" si="9"/>
        <v>#DIV/0!</v>
      </c>
      <c r="R46" s="186">
        <f>IF('prijem_zahranicie - viac-dom'!$I$121=TRUE,IF($C$11&gt;0,0.00025*N45,0),IF('prijem_zahranicie - viac-dom'!$I$122=TRUE,IF('prijem_zahranicie - viac-dom'!$F$122&gt;0,0.00025*N45*-1,0),0))</f>
        <v>0</v>
      </c>
    </row>
    <row r="47" spans="1:18" x14ac:dyDescent="0.2">
      <c r="A47" s="89">
        <v>31</v>
      </c>
      <c r="B47" s="186" t="e">
        <f t="shared" si="1"/>
        <v>#NUM!</v>
      </c>
      <c r="C47" s="171" t="e">
        <f t="shared" si="2"/>
        <v>#NUM!</v>
      </c>
      <c r="D47" s="171" t="e">
        <f t="shared" si="3"/>
        <v>#NUM!</v>
      </c>
      <c r="E47" s="171" t="e">
        <f t="shared" si="4"/>
        <v>#NUM!</v>
      </c>
      <c r="F47" s="171" t="e">
        <f t="shared" si="5"/>
        <v>#NUM!</v>
      </c>
      <c r="G47" s="186">
        <f>IF('prijem_zahranicie - viac-dom'!$I$121=TRUE,IF($C$11&gt;0,0.00025*C46,0),IF('prijem_zahranicie - viac-dom'!$I$122=TRUE,IF('prijem_zahranicie - viac-dom'!$F$122&gt;0,0.00025*C46,0),0))</f>
        <v>0</v>
      </c>
      <c r="L47" s="89">
        <v>31</v>
      </c>
      <c r="M47" s="186" t="e">
        <f t="shared" si="6"/>
        <v>#DIV/0!</v>
      </c>
      <c r="N47" s="171" t="e">
        <f t="shared" si="7"/>
        <v>#DIV/0!</v>
      </c>
      <c r="O47" s="171" t="e">
        <f t="shared" si="0"/>
        <v>#DIV/0!</v>
      </c>
      <c r="P47" s="171" t="e">
        <f t="shared" si="8"/>
        <v>#DIV/0!</v>
      </c>
      <c r="Q47" s="171" t="e">
        <f t="shared" si="9"/>
        <v>#DIV/0!</v>
      </c>
      <c r="R47" s="186">
        <f>IF('prijem_zahranicie - viac-dom'!$I$121=TRUE,IF($C$11&gt;0,0.00025*N46,0),IF('prijem_zahranicie - viac-dom'!$I$122=TRUE,IF('prijem_zahranicie - viac-dom'!$F$122&gt;0,0.00025*N46*-1,0),0))</f>
        <v>0</v>
      </c>
    </row>
    <row r="48" spans="1:18" x14ac:dyDescent="0.2">
      <c r="A48" s="89">
        <v>32</v>
      </c>
      <c r="B48" s="186" t="e">
        <f t="shared" si="1"/>
        <v>#NUM!</v>
      </c>
      <c r="C48" s="171" t="e">
        <f t="shared" si="2"/>
        <v>#NUM!</v>
      </c>
      <c r="D48" s="171" t="e">
        <f t="shared" si="3"/>
        <v>#NUM!</v>
      </c>
      <c r="E48" s="171" t="e">
        <f t="shared" si="4"/>
        <v>#NUM!</v>
      </c>
      <c r="F48" s="171" t="e">
        <f t="shared" si="5"/>
        <v>#NUM!</v>
      </c>
      <c r="G48" s="186">
        <f>IF('prijem_zahranicie - viac-dom'!$I$121=TRUE,IF($C$11&gt;0,0.00025*C47,0),IF('prijem_zahranicie - viac-dom'!$I$122=TRUE,IF('prijem_zahranicie - viac-dom'!$F$122&gt;0,0.00025*C47,0),0))</f>
        <v>0</v>
      </c>
      <c r="L48" s="89">
        <v>32</v>
      </c>
      <c r="M48" s="186" t="e">
        <f t="shared" si="6"/>
        <v>#DIV/0!</v>
      </c>
      <c r="N48" s="171" t="e">
        <f t="shared" si="7"/>
        <v>#DIV/0!</v>
      </c>
      <c r="O48" s="171" t="e">
        <f t="shared" si="0"/>
        <v>#DIV/0!</v>
      </c>
      <c r="P48" s="171" t="e">
        <f t="shared" si="8"/>
        <v>#DIV/0!</v>
      </c>
      <c r="Q48" s="171" t="e">
        <f t="shared" si="9"/>
        <v>#DIV/0!</v>
      </c>
      <c r="R48" s="186">
        <f>IF('prijem_zahranicie - viac-dom'!$I$121=TRUE,IF($C$11&gt;0,0.00025*N47,0),IF('prijem_zahranicie - viac-dom'!$I$122=TRUE,IF('prijem_zahranicie - viac-dom'!$F$122&gt;0,0.00025*N47*-1,0),0))</f>
        <v>0</v>
      </c>
    </row>
    <row r="49" spans="1:18" x14ac:dyDescent="0.2">
      <c r="A49" s="89">
        <v>33</v>
      </c>
      <c r="B49" s="186" t="e">
        <f t="shared" si="1"/>
        <v>#NUM!</v>
      </c>
      <c r="C49" s="171" t="e">
        <f t="shared" si="2"/>
        <v>#NUM!</v>
      </c>
      <c r="D49" s="171" t="e">
        <f t="shared" si="3"/>
        <v>#NUM!</v>
      </c>
      <c r="E49" s="171" t="e">
        <f t="shared" si="4"/>
        <v>#NUM!</v>
      </c>
      <c r="F49" s="171" t="e">
        <f t="shared" si="5"/>
        <v>#NUM!</v>
      </c>
      <c r="G49" s="186">
        <f>IF('prijem_zahranicie - viac-dom'!$I$121=TRUE,IF($C$11&gt;0,0.00025*C48,0),IF('prijem_zahranicie - viac-dom'!$I$122=TRUE,IF('prijem_zahranicie - viac-dom'!$F$122&gt;0,0.00025*C48,0),0))</f>
        <v>0</v>
      </c>
      <c r="L49" s="89">
        <v>33</v>
      </c>
      <c r="M49" s="186" t="e">
        <f t="shared" si="6"/>
        <v>#DIV/0!</v>
      </c>
      <c r="N49" s="171" t="e">
        <f t="shared" si="7"/>
        <v>#DIV/0!</v>
      </c>
      <c r="O49" s="171" t="e">
        <f t="shared" si="0"/>
        <v>#DIV/0!</v>
      </c>
      <c r="P49" s="171" t="e">
        <f t="shared" si="8"/>
        <v>#DIV/0!</v>
      </c>
      <c r="Q49" s="171" t="e">
        <f t="shared" si="9"/>
        <v>#DIV/0!</v>
      </c>
      <c r="R49" s="186">
        <f>IF('prijem_zahranicie - viac-dom'!$I$121=TRUE,IF($C$11&gt;0,0.00025*N48,0),IF('prijem_zahranicie - viac-dom'!$I$122=TRUE,IF('prijem_zahranicie - viac-dom'!$F$122&gt;0,0.00025*N48*-1,0),0))</f>
        <v>0</v>
      </c>
    </row>
    <row r="50" spans="1:18" x14ac:dyDescent="0.2">
      <c r="A50" s="89">
        <v>34</v>
      </c>
      <c r="B50" s="186" t="e">
        <f t="shared" si="1"/>
        <v>#NUM!</v>
      </c>
      <c r="C50" s="171" t="e">
        <f t="shared" si="2"/>
        <v>#NUM!</v>
      </c>
      <c r="D50" s="171" t="e">
        <f t="shared" si="3"/>
        <v>#NUM!</v>
      </c>
      <c r="E50" s="171" t="e">
        <f t="shared" si="4"/>
        <v>#NUM!</v>
      </c>
      <c r="F50" s="171" t="e">
        <f t="shared" si="5"/>
        <v>#NUM!</v>
      </c>
      <c r="G50" s="186">
        <f>IF('prijem_zahranicie - viac-dom'!$I$121=TRUE,IF($C$11&gt;0,0.00025*C49,0),IF('prijem_zahranicie - viac-dom'!$I$122=TRUE,IF('prijem_zahranicie - viac-dom'!$F$122&gt;0,0.00025*C49,0),0))</f>
        <v>0</v>
      </c>
      <c r="L50" s="89">
        <v>34</v>
      </c>
      <c r="M50" s="186" t="e">
        <f t="shared" si="6"/>
        <v>#DIV/0!</v>
      </c>
      <c r="N50" s="171" t="e">
        <f t="shared" si="7"/>
        <v>#DIV/0!</v>
      </c>
      <c r="O50" s="171" t="e">
        <f t="shared" si="0"/>
        <v>#DIV/0!</v>
      </c>
      <c r="P50" s="171" t="e">
        <f t="shared" si="8"/>
        <v>#DIV/0!</v>
      </c>
      <c r="Q50" s="171" t="e">
        <f t="shared" si="9"/>
        <v>#DIV/0!</v>
      </c>
      <c r="R50" s="186">
        <f>IF('prijem_zahranicie - viac-dom'!$I$121=TRUE,IF($C$11&gt;0,0.00025*N49,0),IF('prijem_zahranicie - viac-dom'!$I$122=TRUE,IF('prijem_zahranicie - viac-dom'!$F$122&gt;0,0.00025*N49*-1,0),0))</f>
        <v>0</v>
      </c>
    </row>
    <row r="51" spans="1:18" x14ac:dyDescent="0.2">
      <c r="A51" s="89">
        <v>35</v>
      </c>
      <c r="B51" s="186" t="e">
        <f t="shared" si="1"/>
        <v>#NUM!</v>
      </c>
      <c r="C51" s="171" t="e">
        <f t="shared" si="2"/>
        <v>#NUM!</v>
      </c>
      <c r="D51" s="171" t="e">
        <f t="shared" si="3"/>
        <v>#NUM!</v>
      </c>
      <c r="E51" s="171" t="e">
        <f t="shared" si="4"/>
        <v>#NUM!</v>
      </c>
      <c r="F51" s="171" t="e">
        <f t="shared" si="5"/>
        <v>#NUM!</v>
      </c>
      <c r="G51" s="186">
        <f>IF('prijem_zahranicie - viac-dom'!$I$121=TRUE,IF($C$11&gt;0,0.00025*C50,0),IF('prijem_zahranicie - viac-dom'!$I$122=TRUE,IF('prijem_zahranicie - viac-dom'!$F$122&gt;0,0.00025*C50,0),0))</f>
        <v>0</v>
      </c>
      <c r="L51" s="89">
        <v>35</v>
      </c>
      <c r="M51" s="186" t="e">
        <f t="shared" si="6"/>
        <v>#DIV/0!</v>
      </c>
      <c r="N51" s="171" t="e">
        <f t="shared" si="7"/>
        <v>#DIV/0!</v>
      </c>
      <c r="O51" s="171" t="e">
        <f t="shared" si="0"/>
        <v>#DIV/0!</v>
      </c>
      <c r="P51" s="171" t="e">
        <f t="shared" si="8"/>
        <v>#DIV/0!</v>
      </c>
      <c r="Q51" s="171" t="e">
        <f t="shared" si="9"/>
        <v>#DIV/0!</v>
      </c>
      <c r="R51" s="186">
        <f>IF('prijem_zahranicie - viac-dom'!$I$121=TRUE,IF($C$11&gt;0,0.00025*N50,0),IF('prijem_zahranicie - viac-dom'!$I$122=TRUE,IF('prijem_zahranicie - viac-dom'!$F$122&gt;0,0.00025*N50*-1,0),0))</f>
        <v>0</v>
      </c>
    </row>
    <row r="52" spans="1:18" x14ac:dyDescent="0.2">
      <c r="A52" s="89">
        <v>36</v>
      </c>
      <c r="B52" s="186" t="e">
        <f t="shared" si="1"/>
        <v>#NUM!</v>
      </c>
      <c r="C52" s="171" t="e">
        <f t="shared" si="2"/>
        <v>#NUM!</v>
      </c>
      <c r="D52" s="171" t="e">
        <f t="shared" si="3"/>
        <v>#NUM!</v>
      </c>
      <c r="E52" s="171" t="e">
        <f t="shared" si="4"/>
        <v>#NUM!</v>
      </c>
      <c r="F52" s="171" t="e">
        <f t="shared" si="5"/>
        <v>#NUM!</v>
      </c>
      <c r="G52" s="186">
        <f>IF('prijem_zahranicie - viac-dom'!$I$121=TRUE,IF($C$11&gt;0,0.00025*C51,0),IF('prijem_zahranicie - viac-dom'!$I$122=TRUE,IF('prijem_zahranicie - viac-dom'!$F$122&gt;0,0.00025*C51,0),0))</f>
        <v>0</v>
      </c>
      <c r="L52" s="89">
        <v>36</v>
      </c>
      <c r="M52" s="186" t="e">
        <f t="shared" si="6"/>
        <v>#DIV/0!</v>
      </c>
      <c r="N52" s="171" t="e">
        <f t="shared" si="7"/>
        <v>#DIV/0!</v>
      </c>
      <c r="O52" s="171" t="e">
        <f t="shared" si="0"/>
        <v>#DIV/0!</v>
      </c>
      <c r="P52" s="171" t="e">
        <f t="shared" si="8"/>
        <v>#DIV/0!</v>
      </c>
      <c r="Q52" s="171" t="e">
        <f t="shared" si="9"/>
        <v>#DIV/0!</v>
      </c>
      <c r="R52" s="186">
        <f>IF('prijem_zahranicie - viac-dom'!$I$121=TRUE,IF($C$11&gt;0,0.00025*N51,0),IF('prijem_zahranicie - viac-dom'!$I$122=TRUE,IF('prijem_zahranicie - viac-dom'!$F$122&gt;0,0.00025*N51*-1,0),0))</f>
        <v>0</v>
      </c>
    </row>
    <row r="53" spans="1:18" x14ac:dyDescent="0.2">
      <c r="A53" s="89">
        <v>37</v>
      </c>
      <c r="B53" s="186" t="e">
        <f t="shared" si="1"/>
        <v>#NUM!</v>
      </c>
      <c r="C53" s="171" t="e">
        <f t="shared" si="2"/>
        <v>#NUM!</v>
      </c>
      <c r="D53" s="171" t="e">
        <f t="shared" si="3"/>
        <v>#NUM!</v>
      </c>
      <c r="E53" s="171" t="e">
        <f t="shared" si="4"/>
        <v>#NUM!</v>
      </c>
      <c r="F53" s="171" t="e">
        <f t="shared" si="5"/>
        <v>#NUM!</v>
      </c>
      <c r="G53" s="186">
        <f>IF('prijem_zahranicie - viac-dom'!$I$121=TRUE,IF($C$11&gt;0,0.00025*C52,0),IF('prijem_zahranicie - viac-dom'!$I$122=TRUE,IF('prijem_zahranicie - viac-dom'!$F$122&gt;0,0.00025*C52,0),0))</f>
        <v>0</v>
      </c>
      <c r="L53" s="89">
        <v>37</v>
      </c>
      <c r="M53" s="186" t="e">
        <f t="shared" si="6"/>
        <v>#DIV/0!</v>
      </c>
      <c r="N53" s="171" t="e">
        <f t="shared" si="7"/>
        <v>#DIV/0!</v>
      </c>
      <c r="O53" s="171" t="e">
        <f t="shared" si="0"/>
        <v>#DIV/0!</v>
      </c>
      <c r="P53" s="171" t="e">
        <f t="shared" si="8"/>
        <v>#DIV/0!</v>
      </c>
      <c r="Q53" s="171" t="e">
        <f t="shared" si="9"/>
        <v>#DIV/0!</v>
      </c>
      <c r="R53" s="186">
        <f>IF('prijem_zahranicie - viac-dom'!$I$121=TRUE,IF($C$11&gt;0,0.00025*N52,0),IF('prijem_zahranicie - viac-dom'!$I$122=TRUE,IF('prijem_zahranicie - viac-dom'!$F$122&gt;0,0.00025*N52*-1,0),0))</f>
        <v>0</v>
      </c>
    </row>
    <row r="54" spans="1:18" x14ac:dyDescent="0.2">
      <c r="A54" s="89">
        <v>38</v>
      </c>
      <c r="B54" s="186" t="e">
        <f t="shared" si="1"/>
        <v>#NUM!</v>
      </c>
      <c r="C54" s="171" t="e">
        <f t="shared" si="2"/>
        <v>#NUM!</v>
      </c>
      <c r="D54" s="171" t="e">
        <f t="shared" si="3"/>
        <v>#NUM!</v>
      </c>
      <c r="E54" s="171" t="e">
        <f t="shared" si="4"/>
        <v>#NUM!</v>
      </c>
      <c r="F54" s="171" t="e">
        <f t="shared" si="5"/>
        <v>#NUM!</v>
      </c>
      <c r="G54" s="186">
        <f>IF('prijem_zahranicie - viac-dom'!$I$121=TRUE,IF($C$11&gt;0,0.00025*C53,0),IF('prijem_zahranicie - viac-dom'!$I$122=TRUE,IF('prijem_zahranicie - viac-dom'!$F$122&gt;0,0.00025*C53,0),0))</f>
        <v>0</v>
      </c>
      <c r="L54" s="89">
        <v>38</v>
      </c>
      <c r="M54" s="186" t="e">
        <f t="shared" si="6"/>
        <v>#DIV/0!</v>
      </c>
      <c r="N54" s="171" t="e">
        <f t="shared" si="7"/>
        <v>#DIV/0!</v>
      </c>
      <c r="O54" s="171" t="e">
        <f t="shared" si="0"/>
        <v>#DIV/0!</v>
      </c>
      <c r="P54" s="171" t="e">
        <f t="shared" si="8"/>
        <v>#DIV/0!</v>
      </c>
      <c r="Q54" s="171" t="e">
        <f t="shared" si="9"/>
        <v>#DIV/0!</v>
      </c>
      <c r="R54" s="186">
        <f>IF('prijem_zahranicie - viac-dom'!$I$121=TRUE,IF($C$11&gt;0,0.00025*N53,0),IF('prijem_zahranicie - viac-dom'!$I$122=TRUE,IF('prijem_zahranicie - viac-dom'!$F$122&gt;0,0.00025*N53*-1,0),0))</f>
        <v>0</v>
      </c>
    </row>
    <row r="55" spans="1:18" x14ac:dyDescent="0.2">
      <c r="A55" s="89">
        <v>39</v>
      </c>
      <c r="B55" s="186" t="e">
        <f t="shared" si="1"/>
        <v>#NUM!</v>
      </c>
      <c r="C55" s="171" t="e">
        <f t="shared" si="2"/>
        <v>#NUM!</v>
      </c>
      <c r="D55" s="171" t="e">
        <f t="shared" si="3"/>
        <v>#NUM!</v>
      </c>
      <c r="E55" s="171" t="e">
        <f t="shared" si="4"/>
        <v>#NUM!</v>
      </c>
      <c r="F55" s="171" t="e">
        <f t="shared" si="5"/>
        <v>#NUM!</v>
      </c>
      <c r="G55" s="186">
        <f>IF('prijem_zahranicie - viac-dom'!$I$121=TRUE,IF($C$11&gt;0,0.00025*C54,0),IF('prijem_zahranicie - viac-dom'!$I$122=TRUE,IF('prijem_zahranicie - viac-dom'!$F$122&gt;0,0.00025*C54,0),0))</f>
        <v>0</v>
      </c>
      <c r="L55" s="89">
        <v>39</v>
      </c>
      <c r="M55" s="186" t="e">
        <f t="shared" si="6"/>
        <v>#DIV/0!</v>
      </c>
      <c r="N55" s="171" t="e">
        <f t="shared" si="7"/>
        <v>#DIV/0!</v>
      </c>
      <c r="O55" s="171" t="e">
        <f t="shared" si="0"/>
        <v>#DIV/0!</v>
      </c>
      <c r="P55" s="171" t="e">
        <f t="shared" si="8"/>
        <v>#DIV/0!</v>
      </c>
      <c r="Q55" s="171" t="e">
        <f t="shared" si="9"/>
        <v>#DIV/0!</v>
      </c>
      <c r="R55" s="186">
        <f>IF('prijem_zahranicie - viac-dom'!$I$121=TRUE,IF($C$11&gt;0,0.00025*N54,0),IF('prijem_zahranicie - viac-dom'!$I$122=TRUE,IF('prijem_zahranicie - viac-dom'!$F$122&gt;0,0.00025*N54*-1,0),0))</f>
        <v>0</v>
      </c>
    </row>
    <row r="56" spans="1:18" x14ac:dyDescent="0.2">
      <c r="A56" s="89">
        <v>40</v>
      </c>
      <c r="B56" s="186" t="e">
        <f t="shared" si="1"/>
        <v>#NUM!</v>
      </c>
      <c r="C56" s="171" t="e">
        <f t="shared" si="2"/>
        <v>#NUM!</v>
      </c>
      <c r="D56" s="171" t="e">
        <f t="shared" si="3"/>
        <v>#NUM!</v>
      </c>
      <c r="E56" s="171" t="e">
        <f t="shared" si="4"/>
        <v>#NUM!</v>
      </c>
      <c r="F56" s="171" t="e">
        <f t="shared" si="5"/>
        <v>#NUM!</v>
      </c>
      <c r="G56" s="186">
        <f>IF('prijem_zahranicie - viac-dom'!$I$121=TRUE,IF($C$11&gt;0,0.00025*C55,0),IF('prijem_zahranicie - viac-dom'!$I$122=TRUE,IF('prijem_zahranicie - viac-dom'!$F$122&gt;0,0.00025*C55,0),0))</f>
        <v>0</v>
      </c>
      <c r="L56" s="89">
        <v>40</v>
      </c>
      <c r="M56" s="186" t="e">
        <f t="shared" si="6"/>
        <v>#DIV/0!</v>
      </c>
      <c r="N56" s="171" t="e">
        <f t="shared" si="7"/>
        <v>#DIV/0!</v>
      </c>
      <c r="O56" s="171" t="e">
        <f t="shared" si="0"/>
        <v>#DIV/0!</v>
      </c>
      <c r="P56" s="171" t="e">
        <f t="shared" si="8"/>
        <v>#DIV/0!</v>
      </c>
      <c r="Q56" s="171" t="e">
        <f t="shared" si="9"/>
        <v>#DIV/0!</v>
      </c>
      <c r="R56" s="186">
        <f>IF('prijem_zahranicie - viac-dom'!$I$121=TRUE,IF($C$11&gt;0,0.00025*N55,0),IF('prijem_zahranicie - viac-dom'!$I$122=TRUE,IF('prijem_zahranicie - viac-dom'!$F$122&gt;0,0.00025*N55*-1,0),0))</f>
        <v>0</v>
      </c>
    </row>
    <row r="57" spans="1:18" x14ac:dyDescent="0.2">
      <c r="A57" s="89">
        <v>41</v>
      </c>
      <c r="B57" s="186" t="e">
        <f t="shared" si="1"/>
        <v>#NUM!</v>
      </c>
      <c r="C57" s="171" t="e">
        <f t="shared" si="2"/>
        <v>#NUM!</v>
      </c>
      <c r="D57" s="171" t="e">
        <f t="shared" si="3"/>
        <v>#NUM!</v>
      </c>
      <c r="E57" s="171" t="e">
        <f t="shared" si="4"/>
        <v>#NUM!</v>
      </c>
      <c r="F57" s="171" t="e">
        <f t="shared" si="5"/>
        <v>#NUM!</v>
      </c>
      <c r="G57" s="186">
        <f>IF('prijem_zahranicie - viac-dom'!$I$121=TRUE,IF($C$11&gt;0,0.00025*C56,0),IF('prijem_zahranicie - viac-dom'!$I$122=TRUE,IF('prijem_zahranicie - viac-dom'!$F$122&gt;0,0.00025*C56,0),0))</f>
        <v>0</v>
      </c>
      <c r="L57" s="89">
        <v>41</v>
      </c>
      <c r="M57" s="186" t="e">
        <f t="shared" si="6"/>
        <v>#DIV/0!</v>
      </c>
      <c r="N57" s="171" t="e">
        <f t="shared" si="7"/>
        <v>#DIV/0!</v>
      </c>
      <c r="O57" s="171" t="e">
        <f t="shared" si="0"/>
        <v>#DIV/0!</v>
      </c>
      <c r="P57" s="171" t="e">
        <f t="shared" si="8"/>
        <v>#DIV/0!</v>
      </c>
      <c r="Q57" s="171" t="e">
        <f t="shared" si="9"/>
        <v>#DIV/0!</v>
      </c>
      <c r="R57" s="186">
        <f>IF('prijem_zahranicie - viac-dom'!$I$121=TRUE,IF($C$11&gt;0,0.00025*N56,0),IF('prijem_zahranicie - viac-dom'!$I$122=TRUE,IF('prijem_zahranicie - viac-dom'!$F$122&gt;0,0.00025*N56*-1,0),0))</f>
        <v>0</v>
      </c>
    </row>
    <row r="58" spans="1:18" x14ac:dyDescent="0.2">
      <c r="A58" s="89">
        <v>42</v>
      </c>
      <c r="B58" s="186" t="e">
        <f t="shared" si="1"/>
        <v>#NUM!</v>
      </c>
      <c r="C58" s="171" t="e">
        <f t="shared" si="2"/>
        <v>#NUM!</v>
      </c>
      <c r="D58" s="171" t="e">
        <f t="shared" si="3"/>
        <v>#NUM!</v>
      </c>
      <c r="E58" s="171" t="e">
        <f t="shared" si="4"/>
        <v>#NUM!</v>
      </c>
      <c r="F58" s="171" t="e">
        <f t="shared" si="5"/>
        <v>#NUM!</v>
      </c>
      <c r="G58" s="186">
        <f>IF('prijem_zahranicie - viac-dom'!$I$121=TRUE,IF($C$11&gt;0,0.00025*C57,0),IF('prijem_zahranicie - viac-dom'!$I$122=TRUE,IF('prijem_zahranicie - viac-dom'!$F$122&gt;0,0.00025*C57,0),0))</f>
        <v>0</v>
      </c>
      <c r="L58" s="89">
        <v>42</v>
      </c>
      <c r="M58" s="186" t="e">
        <f t="shared" si="6"/>
        <v>#DIV/0!</v>
      </c>
      <c r="N58" s="171" t="e">
        <f t="shared" si="7"/>
        <v>#DIV/0!</v>
      </c>
      <c r="O58" s="171" t="e">
        <f t="shared" si="0"/>
        <v>#DIV/0!</v>
      </c>
      <c r="P58" s="171" t="e">
        <f t="shared" si="8"/>
        <v>#DIV/0!</v>
      </c>
      <c r="Q58" s="171" t="e">
        <f t="shared" si="9"/>
        <v>#DIV/0!</v>
      </c>
      <c r="R58" s="186">
        <f>IF('prijem_zahranicie - viac-dom'!$I$121=TRUE,IF($C$11&gt;0,0.00025*N57,0),IF('prijem_zahranicie - viac-dom'!$I$122=TRUE,IF('prijem_zahranicie - viac-dom'!$F$122&gt;0,0.00025*N57*-1,0),0))</f>
        <v>0</v>
      </c>
    </row>
    <row r="59" spans="1:18" x14ac:dyDescent="0.2">
      <c r="A59" s="89">
        <v>43</v>
      </c>
      <c r="B59" s="186" t="e">
        <f t="shared" si="1"/>
        <v>#NUM!</v>
      </c>
      <c r="C59" s="171" t="e">
        <f t="shared" si="2"/>
        <v>#NUM!</v>
      </c>
      <c r="D59" s="171" t="e">
        <f t="shared" si="3"/>
        <v>#NUM!</v>
      </c>
      <c r="E59" s="171" t="e">
        <f t="shared" si="4"/>
        <v>#NUM!</v>
      </c>
      <c r="F59" s="171" t="e">
        <f t="shared" si="5"/>
        <v>#NUM!</v>
      </c>
      <c r="G59" s="186">
        <f>IF('prijem_zahranicie - viac-dom'!$I$121=TRUE,IF($C$11&gt;0,0.00025*C58,0),IF('prijem_zahranicie - viac-dom'!$I$122=TRUE,IF('prijem_zahranicie - viac-dom'!$F$122&gt;0,0.00025*C58,0),0))</f>
        <v>0</v>
      </c>
      <c r="L59" s="89">
        <v>43</v>
      </c>
      <c r="M59" s="186" t="e">
        <f t="shared" si="6"/>
        <v>#DIV/0!</v>
      </c>
      <c r="N59" s="171" t="e">
        <f t="shared" si="7"/>
        <v>#DIV/0!</v>
      </c>
      <c r="O59" s="171" t="e">
        <f t="shared" si="0"/>
        <v>#DIV/0!</v>
      </c>
      <c r="P59" s="171" t="e">
        <f t="shared" si="8"/>
        <v>#DIV/0!</v>
      </c>
      <c r="Q59" s="171" t="e">
        <f t="shared" si="9"/>
        <v>#DIV/0!</v>
      </c>
      <c r="R59" s="186">
        <f>IF('prijem_zahranicie - viac-dom'!$I$121=TRUE,IF($C$11&gt;0,0.00025*N58,0),IF('prijem_zahranicie - viac-dom'!$I$122=TRUE,IF('prijem_zahranicie - viac-dom'!$F$122&gt;0,0.00025*N58*-1,0),0))</f>
        <v>0</v>
      </c>
    </row>
    <row r="60" spans="1:18" x14ac:dyDescent="0.2">
      <c r="A60" s="89">
        <v>44</v>
      </c>
      <c r="B60" s="186" t="e">
        <f t="shared" si="1"/>
        <v>#NUM!</v>
      </c>
      <c r="C60" s="171" t="e">
        <f t="shared" si="2"/>
        <v>#NUM!</v>
      </c>
      <c r="D60" s="171" t="e">
        <f t="shared" si="3"/>
        <v>#NUM!</v>
      </c>
      <c r="E60" s="171" t="e">
        <f t="shared" si="4"/>
        <v>#NUM!</v>
      </c>
      <c r="F60" s="171" t="e">
        <f t="shared" si="5"/>
        <v>#NUM!</v>
      </c>
      <c r="G60" s="186">
        <f>IF('prijem_zahranicie - viac-dom'!$I$121=TRUE,IF($C$11&gt;0,0.00025*C59,0),IF('prijem_zahranicie - viac-dom'!$I$122=TRUE,IF('prijem_zahranicie - viac-dom'!$F$122&gt;0,0.00025*C59,0),0))</f>
        <v>0</v>
      </c>
      <c r="L60" s="89">
        <v>44</v>
      </c>
      <c r="M60" s="186" t="e">
        <f t="shared" si="6"/>
        <v>#DIV/0!</v>
      </c>
      <c r="N60" s="171" t="e">
        <f t="shared" si="7"/>
        <v>#DIV/0!</v>
      </c>
      <c r="O60" s="171" t="e">
        <f t="shared" si="0"/>
        <v>#DIV/0!</v>
      </c>
      <c r="P60" s="171" t="e">
        <f t="shared" si="8"/>
        <v>#DIV/0!</v>
      </c>
      <c r="Q60" s="171" t="e">
        <f t="shared" si="9"/>
        <v>#DIV/0!</v>
      </c>
      <c r="R60" s="186">
        <f>IF('prijem_zahranicie - viac-dom'!$I$121=TRUE,IF($C$11&gt;0,0.00025*N59,0),IF('prijem_zahranicie - viac-dom'!$I$122=TRUE,IF('prijem_zahranicie - viac-dom'!$F$122&gt;0,0.00025*N59*-1,0),0))</f>
        <v>0</v>
      </c>
    </row>
    <row r="61" spans="1:18" x14ac:dyDescent="0.2">
      <c r="A61" s="89">
        <v>45</v>
      </c>
      <c r="B61" s="186" t="e">
        <f t="shared" si="1"/>
        <v>#NUM!</v>
      </c>
      <c r="C61" s="171" t="e">
        <f t="shared" si="2"/>
        <v>#NUM!</v>
      </c>
      <c r="D61" s="171" t="e">
        <f t="shared" si="3"/>
        <v>#NUM!</v>
      </c>
      <c r="E61" s="171" t="e">
        <f t="shared" si="4"/>
        <v>#NUM!</v>
      </c>
      <c r="F61" s="171" t="e">
        <f t="shared" si="5"/>
        <v>#NUM!</v>
      </c>
      <c r="G61" s="186">
        <f>IF('prijem_zahranicie - viac-dom'!$I$121=TRUE,IF($C$11&gt;0,0.00025*C60,0),IF('prijem_zahranicie - viac-dom'!$I$122=TRUE,IF('prijem_zahranicie - viac-dom'!$F$122&gt;0,0.00025*C60,0),0))</f>
        <v>0</v>
      </c>
      <c r="L61" s="89">
        <v>45</v>
      </c>
      <c r="M61" s="186" t="e">
        <f t="shared" si="6"/>
        <v>#DIV/0!</v>
      </c>
      <c r="N61" s="171" t="e">
        <f t="shared" si="7"/>
        <v>#DIV/0!</v>
      </c>
      <c r="O61" s="171" t="e">
        <f t="shared" si="0"/>
        <v>#DIV/0!</v>
      </c>
      <c r="P61" s="171" t="e">
        <f t="shared" si="8"/>
        <v>#DIV/0!</v>
      </c>
      <c r="Q61" s="171" t="e">
        <f t="shared" si="9"/>
        <v>#DIV/0!</v>
      </c>
      <c r="R61" s="186">
        <f>IF('prijem_zahranicie - viac-dom'!$I$121=TRUE,IF($C$11&gt;0,0.00025*N60,0),IF('prijem_zahranicie - viac-dom'!$I$122=TRUE,IF('prijem_zahranicie - viac-dom'!$F$122&gt;0,0.00025*N60*-1,0),0))</f>
        <v>0</v>
      </c>
    </row>
    <row r="62" spans="1:18" x14ac:dyDescent="0.2">
      <c r="A62" s="89">
        <v>46</v>
      </c>
      <c r="B62" s="186" t="e">
        <f t="shared" si="1"/>
        <v>#NUM!</v>
      </c>
      <c r="C62" s="171" t="e">
        <f t="shared" si="2"/>
        <v>#NUM!</v>
      </c>
      <c r="D62" s="171" t="e">
        <f t="shared" si="3"/>
        <v>#NUM!</v>
      </c>
      <c r="E62" s="171" t="e">
        <f t="shared" si="4"/>
        <v>#NUM!</v>
      </c>
      <c r="F62" s="171" t="e">
        <f t="shared" si="5"/>
        <v>#NUM!</v>
      </c>
      <c r="G62" s="186">
        <f>IF('prijem_zahranicie - viac-dom'!$I$121=TRUE,IF($C$11&gt;0,0.00025*C61,0),IF('prijem_zahranicie - viac-dom'!$I$122=TRUE,IF('prijem_zahranicie - viac-dom'!$F$122&gt;0,0.00025*C61,0),0))</f>
        <v>0</v>
      </c>
      <c r="L62" s="89">
        <v>46</v>
      </c>
      <c r="M62" s="186" t="e">
        <f t="shared" si="6"/>
        <v>#DIV/0!</v>
      </c>
      <c r="N62" s="171" t="e">
        <f t="shared" si="7"/>
        <v>#DIV/0!</v>
      </c>
      <c r="O62" s="171" t="e">
        <f t="shared" si="0"/>
        <v>#DIV/0!</v>
      </c>
      <c r="P62" s="171" t="e">
        <f t="shared" si="8"/>
        <v>#DIV/0!</v>
      </c>
      <c r="Q62" s="171" t="e">
        <f t="shared" si="9"/>
        <v>#DIV/0!</v>
      </c>
      <c r="R62" s="186">
        <f>IF('prijem_zahranicie - viac-dom'!$I$121=TRUE,IF($C$11&gt;0,0.00025*N61,0),IF('prijem_zahranicie - viac-dom'!$I$122=TRUE,IF('prijem_zahranicie - viac-dom'!$F$122&gt;0,0.00025*N61*-1,0),0))</f>
        <v>0</v>
      </c>
    </row>
    <row r="63" spans="1:18" x14ac:dyDescent="0.2">
      <c r="A63" s="89">
        <v>47</v>
      </c>
      <c r="B63" s="186" t="e">
        <f t="shared" si="1"/>
        <v>#NUM!</v>
      </c>
      <c r="C63" s="171" t="e">
        <f t="shared" si="2"/>
        <v>#NUM!</v>
      </c>
      <c r="D63" s="171" t="e">
        <f t="shared" si="3"/>
        <v>#NUM!</v>
      </c>
      <c r="E63" s="171" t="e">
        <f t="shared" si="4"/>
        <v>#NUM!</v>
      </c>
      <c r="F63" s="171" t="e">
        <f t="shared" si="5"/>
        <v>#NUM!</v>
      </c>
      <c r="G63" s="186">
        <f>IF('prijem_zahranicie - viac-dom'!$I$121=TRUE,IF($C$11&gt;0,0.00025*C62,0),IF('prijem_zahranicie - viac-dom'!$I$122=TRUE,IF('prijem_zahranicie - viac-dom'!$F$122&gt;0,0.00025*C62,0),0))</f>
        <v>0</v>
      </c>
      <c r="L63" s="89">
        <v>47</v>
      </c>
      <c r="M63" s="186" t="e">
        <f t="shared" si="6"/>
        <v>#DIV/0!</v>
      </c>
      <c r="N63" s="171" t="e">
        <f t="shared" si="7"/>
        <v>#DIV/0!</v>
      </c>
      <c r="O63" s="171" t="e">
        <f t="shared" si="0"/>
        <v>#DIV/0!</v>
      </c>
      <c r="P63" s="171" t="e">
        <f t="shared" si="8"/>
        <v>#DIV/0!</v>
      </c>
      <c r="Q63" s="171" t="e">
        <f t="shared" si="9"/>
        <v>#DIV/0!</v>
      </c>
      <c r="R63" s="186">
        <f>IF('prijem_zahranicie - viac-dom'!$I$121=TRUE,IF($C$11&gt;0,0.00025*N62,0),IF('prijem_zahranicie - viac-dom'!$I$122=TRUE,IF('prijem_zahranicie - viac-dom'!$F$122&gt;0,0.00025*N62*-1,0),0))</f>
        <v>0</v>
      </c>
    </row>
    <row r="64" spans="1:18" x14ac:dyDescent="0.2">
      <c r="A64" s="89">
        <v>48</v>
      </c>
      <c r="B64" s="186" t="e">
        <f t="shared" si="1"/>
        <v>#NUM!</v>
      </c>
      <c r="C64" s="171" t="e">
        <f t="shared" si="2"/>
        <v>#NUM!</v>
      </c>
      <c r="D64" s="171" t="e">
        <f t="shared" si="3"/>
        <v>#NUM!</v>
      </c>
      <c r="E64" s="171" t="e">
        <f t="shared" si="4"/>
        <v>#NUM!</v>
      </c>
      <c r="F64" s="171" t="e">
        <f t="shared" si="5"/>
        <v>#NUM!</v>
      </c>
      <c r="G64" s="186">
        <f>IF('prijem_zahranicie - viac-dom'!$I$121=TRUE,IF($C$11&gt;0,0.00025*C63,0),IF('prijem_zahranicie - viac-dom'!$I$122=TRUE,IF('prijem_zahranicie - viac-dom'!$F$122&gt;0,0.00025*C63,0),0))</f>
        <v>0</v>
      </c>
      <c r="L64" s="89">
        <v>48</v>
      </c>
      <c r="M64" s="186" t="e">
        <f t="shared" si="6"/>
        <v>#DIV/0!</v>
      </c>
      <c r="N64" s="171" t="e">
        <f t="shared" si="7"/>
        <v>#DIV/0!</v>
      </c>
      <c r="O64" s="171" t="e">
        <f t="shared" si="0"/>
        <v>#DIV/0!</v>
      </c>
      <c r="P64" s="171" t="e">
        <f t="shared" si="8"/>
        <v>#DIV/0!</v>
      </c>
      <c r="Q64" s="171" t="e">
        <f t="shared" si="9"/>
        <v>#DIV/0!</v>
      </c>
      <c r="R64" s="186">
        <f>IF('prijem_zahranicie - viac-dom'!$I$121=TRUE,IF($C$11&gt;0,0.00025*N63,0),IF('prijem_zahranicie - viac-dom'!$I$122=TRUE,IF('prijem_zahranicie - viac-dom'!$F$122&gt;0,0.00025*N63*-1,0),0))</f>
        <v>0</v>
      </c>
    </row>
    <row r="65" spans="1:18" x14ac:dyDescent="0.2">
      <c r="A65" s="89">
        <v>49</v>
      </c>
      <c r="B65" s="186" t="e">
        <f t="shared" si="1"/>
        <v>#NUM!</v>
      </c>
      <c r="C65" s="171" t="e">
        <f t="shared" si="2"/>
        <v>#NUM!</v>
      </c>
      <c r="D65" s="171" t="e">
        <f t="shared" si="3"/>
        <v>#NUM!</v>
      </c>
      <c r="E65" s="171" t="e">
        <f t="shared" si="4"/>
        <v>#NUM!</v>
      </c>
      <c r="F65" s="171" t="e">
        <f t="shared" si="5"/>
        <v>#NUM!</v>
      </c>
      <c r="G65" s="186">
        <f>IF('prijem_zahranicie - viac-dom'!$I$121=TRUE,IF($C$11&gt;0,0.00025*C64,0),IF('prijem_zahranicie - viac-dom'!$I$122=TRUE,IF('prijem_zahranicie - viac-dom'!$F$122&gt;0,0.00025*C64,0),0))</f>
        <v>0</v>
      </c>
      <c r="L65" s="89">
        <v>49</v>
      </c>
      <c r="M65" s="186" t="e">
        <f t="shared" si="6"/>
        <v>#DIV/0!</v>
      </c>
      <c r="N65" s="171" t="e">
        <f t="shared" si="7"/>
        <v>#DIV/0!</v>
      </c>
      <c r="O65" s="171" t="e">
        <f t="shared" si="0"/>
        <v>#DIV/0!</v>
      </c>
      <c r="P65" s="171" t="e">
        <f t="shared" si="8"/>
        <v>#DIV/0!</v>
      </c>
      <c r="Q65" s="171" t="e">
        <f t="shared" si="9"/>
        <v>#DIV/0!</v>
      </c>
      <c r="R65" s="186">
        <f>IF('prijem_zahranicie - viac-dom'!$I$121=TRUE,IF($C$11&gt;0,0.00025*N64,0),IF('prijem_zahranicie - viac-dom'!$I$122=TRUE,IF('prijem_zahranicie - viac-dom'!$F$122&gt;0,0.00025*N64*-1,0),0))</f>
        <v>0</v>
      </c>
    </row>
    <row r="66" spans="1:18" x14ac:dyDescent="0.2">
      <c r="A66" s="89">
        <v>50</v>
      </c>
      <c r="B66" s="186" t="e">
        <f t="shared" si="1"/>
        <v>#NUM!</v>
      </c>
      <c r="C66" s="171" t="e">
        <f t="shared" si="2"/>
        <v>#NUM!</v>
      </c>
      <c r="D66" s="171" t="e">
        <f t="shared" si="3"/>
        <v>#NUM!</v>
      </c>
      <c r="E66" s="171" t="e">
        <f t="shared" si="4"/>
        <v>#NUM!</v>
      </c>
      <c r="F66" s="171" t="e">
        <f t="shared" si="5"/>
        <v>#NUM!</v>
      </c>
      <c r="G66" s="186">
        <f>IF('prijem_zahranicie - viac-dom'!$I$121=TRUE,IF($C$11&gt;0,0.00025*C65,0),IF('prijem_zahranicie - viac-dom'!$I$122=TRUE,IF('prijem_zahranicie - viac-dom'!$F$122&gt;0,0.00025*C65,0),0))</f>
        <v>0</v>
      </c>
      <c r="L66" s="89">
        <v>50</v>
      </c>
      <c r="M66" s="186" t="e">
        <f t="shared" si="6"/>
        <v>#DIV/0!</v>
      </c>
      <c r="N66" s="171" t="e">
        <f t="shared" si="7"/>
        <v>#DIV/0!</v>
      </c>
      <c r="O66" s="171" t="e">
        <f t="shared" si="0"/>
        <v>#DIV/0!</v>
      </c>
      <c r="P66" s="171" t="e">
        <f t="shared" si="8"/>
        <v>#DIV/0!</v>
      </c>
      <c r="Q66" s="171" t="e">
        <f t="shared" si="9"/>
        <v>#DIV/0!</v>
      </c>
      <c r="R66" s="186">
        <f>IF('prijem_zahranicie - viac-dom'!$I$121=TRUE,IF($C$11&gt;0,0.00025*N65,0),IF('prijem_zahranicie - viac-dom'!$I$122=TRUE,IF('prijem_zahranicie - viac-dom'!$F$122&gt;0,0.00025*N65*-1,0),0))</f>
        <v>0</v>
      </c>
    </row>
    <row r="67" spans="1:18" x14ac:dyDescent="0.2">
      <c r="A67" s="89">
        <v>51</v>
      </c>
      <c r="B67" s="186" t="e">
        <f t="shared" si="1"/>
        <v>#NUM!</v>
      </c>
      <c r="C67" s="171" t="e">
        <f t="shared" si="2"/>
        <v>#NUM!</v>
      </c>
      <c r="D67" s="171" t="e">
        <f t="shared" si="3"/>
        <v>#NUM!</v>
      </c>
      <c r="E67" s="171" t="e">
        <f t="shared" si="4"/>
        <v>#NUM!</v>
      </c>
      <c r="F67" s="171" t="e">
        <f t="shared" si="5"/>
        <v>#NUM!</v>
      </c>
      <c r="G67" s="186">
        <f>IF('prijem_zahranicie - viac-dom'!$I$121=TRUE,IF($C$11&gt;0,0.00025*C66,0),IF('prijem_zahranicie - viac-dom'!$I$122=TRUE,IF('prijem_zahranicie - viac-dom'!$F$122&gt;0,0.00025*C66,0),0))</f>
        <v>0</v>
      </c>
      <c r="L67" s="89">
        <v>51</v>
      </c>
      <c r="M67" s="186" t="e">
        <f t="shared" si="6"/>
        <v>#DIV/0!</v>
      </c>
      <c r="N67" s="171" t="e">
        <f t="shared" si="7"/>
        <v>#DIV/0!</v>
      </c>
      <c r="O67" s="171" t="e">
        <f t="shared" si="0"/>
        <v>#DIV/0!</v>
      </c>
      <c r="P67" s="171" t="e">
        <f t="shared" si="8"/>
        <v>#DIV/0!</v>
      </c>
      <c r="Q67" s="171" t="e">
        <f t="shared" si="9"/>
        <v>#DIV/0!</v>
      </c>
      <c r="R67" s="186">
        <f>IF('prijem_zahranicie - viac-dom'!$I$121=TRUE,IF($C$11&gt;0,0.00025*N66,0),IF('prijem_zahranicie - viac-dom'!$I$122=TRUE,IF('prijem_zahranicie - viac-dom'!$F$122&gt;0,0.00025*N66*-1,0),0))</f>
        <v>0</v>
      </c>
    </row>
    <row r="68" spans="1:18" x14ac:dyDescent="0.2">
      <c r="A68" s="89">
        <v>52</v>
      </c>
      <c r="B68" s="186" t="e">
        <f t="shared" si="1"/>
        <v>#NUM!</v>
      </c>
      <c r="C68" s="171" t="e">
        <f t="shared" si="2"/>
        <v>#NUM!</v>
      </c>
      <c r="D68" s="171" t="e">
        <f t="shared" si="3"/>
        <v>#NUM!</v>
      </c>
      <c r="E68" s="171" t="e">
        <f t="shared" si="4"/>
        <v>#NUM!</v>
      </c>
      <c r="F68" s="171" t="e">
        <f t="shared" si="5"/>
        <v>#NUM!</v>
      </c>
      <c r="G68" s="186">
        <f>IF('prijem_zahranicie - viac-dom'!$I$121=TRUE,IF($C$11&gt;0,0.00025*C67,0),IF('prijem_zahranicie - viac-dom'!$I$122=TRUE,IF('prijem_zahranicie - viac-dom'!$F$122&gt;0,0.00025*C67,0),0))</f>
        <v>0</v>
      </c>
      <c r="L68" s="89">
        <v>52</v>
      </c>
      <c r="M68" s="186" t="e">
        <f t="shared" si="6"/>
        <v>#DIV/0!</v>
      </c>
      <c r="N68" s="171" t="e">
        <f t="shared" si="7"/>
        <v>#DIV/0!</v>
      </c>
      <c r="O68" s="171" t="e">
        <f t="shared" si="0"/>
        <v>#DIV/0!</v>
      </c>
      <c r="P68" s="171" t="e">
        <f t="shared" si="8"/>
        <v>#DIV/0!</v>
      </c>
      <c r="Q68" s="171" t="e">
        <f t="shared" si="9"/>
        <v>#DIV/0!</v>
      </c>
      <c r="R68" s="186">
        <f>IF('prijem_zahranicie - viac-dom'!$I$121=TRUE,IF($C$11&gt;0,0.00025*N67,0),IF('prijem_zahranicie - viac-dom'!$I$122=TRUE,IF('prijem_zahranicie - viac-dom'!$F$122&gt;0,0.00025*N67*-1,0),0))</f>
        <v>0</v>
      </c>
    </row>
    <row r="69" spans="1:18" x14ac:dyDescent="0.2">
      <c r="A69" s="89">
        <v>53</v>
      </c>
      <c r="B69" s="186" t="e">
        <f t="shared" si="1"/>
        <v>#NUM!</v>
      </c>
      <c r="C69" s="171" t="e">
        <f t="shared" si="2"/>
        <v>#NUM!</v>
      </c>
      <c r="D69" s="171" t="e">
        <f t="shared" si="3"/>
        <v>#NUM!</v>
      </c>
      <c r="E69" s="171" t="e">
        <f t="shared" si="4"/>
        <v>#NUM!</v>
      </c>
      <c r="F69" s="171" t="e">
        <f t="shared" si="5"/>
        <v>#NUM!</v>
      </c>
      <c r="G69" s="186">
        <f>IF('prijem_zahranicie - viac-dom'!$I$121=TRUE,IF($C$11&gt;0,0.00025*C68,0),IF('prijem_zahranicie - viac-dom'!$I$122=TRUE,IF('prijem_zahranicie - viac-dom'!$F$122&gt;0,0.00025*C68,0),0))</f>
        <v>0</v>
      </c>
      <c r="L69" s="89">
        <v>53</v>
      </c>
      <c r="M69" s="186" t="e">
        <f t="shared" si="6"/>
        <v>#DIV/0!</v>
      </c>
      <c r="N69" s="171" t="e">
        <f t="shared" si="7"/>
        <v>#DIV/0!</v>
      </c>
      <c r="O69" s="171" t="e">
        <f t="shared" si="0"/>
        <v>#DIV/0!</v>
      </c>
      <c r="P69" s="171" t="e">
        <f t="shared" si="8"/>
        <v>#DIV/0!</v>
      </c>
      <c r="Q69" s="171" t="e">
        <f t="shared" si="9"/>
        <v>#DIV/0!</v>
      </c>
      <c r="R69" s="186">
        <f>IF('prijem_zahranicie - viac-dom'!$I$121=TRUE,IF($C$11&gt;0,0.00025*N68,0),IF('prijem_zahranicie - viac-dom'!$I$122=TRUE,IF('prijem_zahranicie - viac-dom'!$F$122&gt;0,0.00025*N68*-1,0),0))</f>
        <v>0</v>
      </c>
    </row>
    <row r="70" spans="1:18" x14ac:dyDescent="0.2">
      <c r="A70" s="89">
        <v>54</v>
      </c>
      <c r="B70" s="186" t="e">
        <f t="shared" si="1"/>
        <v>#NUM!</v>
      </c>
      <c r="C70" s="171" t="e">
        <f t="shared" si="2"/>
        <v>#NUM!</v>
      </c>
      <c r="D70" s="171" t="e">
        <f t="shared" si="3"/>
        <v>#NUM!</v>
      </c>
      <c r="E70" s="171" t="e">
        <f t="shared" si="4"/>
        <v>#NUM!</v>
      </c>
      <c r="F70" s="171" t="e">
        <f t="shared" si="5"/>
        <v>#NUM!</v>
      </c>
      <c r="G70" s="186">
        <f>IF('prijem_zahranicie - viac-dom'!$I$121=TRUE,IF($C$11&gt;0,0.00025*C69,0),IF('prijem_zahranicie - viac-dom'!$I$122=TRUE,IF('prijem_zahranicie - viac-dom'!$F$122&gt;0,0.00025*C69,0),0))</f>
        <v>0</v>
      </c>
      <c r="L70" s="89">
        <v>54</v>
      </c>
      <c r="M70" s="186" t="e">
        <f t="shared" si="6"/>
        <v>#DIV/0!</v>
      </c>
      <c r="N70" s="171" t="e">
        <f t="shared" si="7"/>
        <v>#DIV/0!</v>
      </c>
      <c r="O70" s="171" t="e">
        <f t="shared" si="0"/>
        <v>#DIV/0!</v>
      </c>
      <c r="P70" s="171" t="e">
        <f t="shared" si="8"/>
        <v>#DIV/0!</v>
      </c>
      <c r="Q70" s="171" t="e">
        <f t="shared" si="9"/>
        <v>#DIV/0!</v>
      </c>
      <c r="R70" s="186">
        <f>IF('prijem_zahranicie - viac-dom'!$I$121=TRUE,IF($C$11&gt;0,0.00025*N69,0),IF('prijem_zahranicie - viac-dom'!$I$122=TRUE,IF('prijem_zahranicie - viac-dom'!$F$122&gt;0,0.00025*N69*-1,0),0))</f>
        <v>0</v>
      </c>
    </row>
    <row r="71" spans="1:18" x14ac:dyDescent="0.2">
      <c r="A71" s="89">
        <v>55</v>
      </c>
      <c r="B71" s="186" t="e">
        <f t="shared" si="1"/>
        <v>#NUM!</v>
      </c>
      <c r="C71" s="171" t="e">
        <f t="shared" si="2"/>
        <v>#NUM!</v>
      </c>
      <c r="D71" s="171" t="e">
        <f t="shared" si="3"/>
        <v>#NUM!</v>
      </c>
      <c r="E71" s="171" t="e">
        <f t="shared" si="4"/>
        <v>#NUM!</v>
      </c>
      <c r="F71" s="171" t="e">
        <f t="shared" si="5"/>
        <v>#NUM!</v>
      </c>
      <c r="G71" s="186">
        <f>IF('prijem_zahranicie - viac-dom'!$I$121=TRUE,IF($C$11&gt;0,0.00025*C70,0),IF('prijem_zahranicie - viac-dom'!$I$122=TRUE,IF('prijem_zahranicie - viac-dom'!$F$122&gt;0,0.00025*C70,0),0))</f>
        <v>0</v>
      </c>
      <c r="L71" s="89">
        <v>55</v>
      </c>
      <c r="M71" s="186" t="e">
        <f t="shared" si="6"/>
        <v>#DIV/0!</v>
      </c>
      <c r="N71" s="171" t="e">
        <f t="shared" si="7"/>
        <v>#DIV/0!</v>
      </c>
      <c r="O71" s="171" t="e">
        <f t="shared" si="0"/>
        <v>#DIV/0!</v>
      </c>
      <c r="P71" s="171" t="e">
        <f t="shared" si="8"/>
        <v>#DIV/0!</v>
      </c>
      <c r="Q71" s="171" t="e">
        <f t="shared" si="9"/>
        <v>#DIV/0!</v>
      </c>
      <c r="R71" s="186">
        <f>IF('prijem_zahranicie - viac-dom'!$I$121=TRUE,IF($C$11&gt;0,0.00025*N70,0),IF('prijem_zahranicie - viac-dom'!$I$122=TRUE,IF('prijem_zahranicie - viac-dom'!$F$122&gt;0,0.00025*N70*-1,0),0))</f>
        <v>0</v>
      </c>
    </row>
    <row r="72" spans="1:18" x14ac:dyDescent="0.2">
      <c r="A72" s="89">
        <v>56</v>
      </c>
      <c r="B72" s="186" t="e">
        <f t="shared" si="1"/>
        <v>#NUM!</v>
      </c>
      <c r="C72" s="171" t="e">
        <f t="shared" si="2"/>
        <v>#NUM!</v>
      </c>
      <c r="D72" s="171" t="e">
        <f t="shared" si="3"/>
        <v>#NUM!</v>
      </c>
      <c r="E72" s="171" t="e">
        <f t="shared" si="4"/>
        <v>#NUM!</v>
      </c>
      <c r="F72" s="171" t="e">
        <f t="shared" si="5"/>
        <v>#NUM!</v>
      </c>
      <c r="G72" s="186">
        <f>IF('prijem_zahranicie - viac-dom'!$I$121=TRUE,IF($C$11&gt;0,0.00025*C71,0),IF('prijem_zahranicie - viac-dom'!$I$122=TRUE,IF('prijem_zahranicie - viac-dom'!$F$122&gt;0,0.00025*C71,0),0))</f>
        <v>0</v>
      </c>
      <c r="L72" s="89">
        <v>56</v>
      </c>
      <c r="M72" s="186" t="e">
        <f t="shared" si="6"/>
        <v>#DIV/0!</v>
      </c>
      <c r="N72" s="171" t="e">
        <f t="shared" si="7"/>
        <v>#DIV/0!</v>
      </c>
      <c r="O72" s="171" t="e">
        <f t="shared" si="0"/>
        <v>#DIV/0!</v>
      </c>
      <c r="P72" s="171" t="e">
        <f t="shared" si="8"/>
        <v>#DIV/0!</v>
      </c>
      <c r="Q72" s="171" t="e">
        <f t="shared" si="9"/>
        <v>#DIV/0!</v>
      </c>
      <c r="R72" s="186">
        <f>IF('prijem_zahranicie - viac-dom'!$I$121=TRUE,IF($C$11&gt;0,0.00025*N71,0),IF('prijem_zahranicie - viac-dom'!$I$122=TRUE,IF('prijem_zahranicie - viac-dom'!$F$122&gt;0,0.00025*N71*-1,0),0))</f>
        <v>0</v>
      </c>
    </row>
    <row r="73" spans="1:18" x14ac:dyDescent="0.2">
      <c r="A73" s="89">
        <v>57</v>
      </c>
      <c r="B73" s="186" t="e">
        <f t="shared" si="1"/>
        <v>#NUM!</v>
      </c>
      <c r="C73" s="171" t="e">
        <f t="shared" si="2"/>
        <v>#NUM!</v>
      </c>
      <c r="D73" s="171" t="e">
        <f t="shared" si="3"/>
        <v>#NUM!</v>
      </c>
      <c r="E73" s="171" t="e">
        <f t="shared" si="4"/>
        <v>#NUM!</v>
      </c>
      <c r="F73" s="171" t="e">
        <f t="shared" si="5"/>
        <v>#NUM!</v>
      </c>
      <c r="G73" s="186">
        <f>IF('prijem_zahranicie - viac-dom'!$I$121=TRUE,IF($C$11&gt;0,0.00025*C72,0),IF('prijem_zahranicie - viac-dom'!$I$122=TRUE,IF('prijem_zahranicie - viac-dom'!$F$122&gt;0,0.00025*C72,0),0))</f>
        <v>0</v>
      </c>
      <c r="L73" s="89">
        <v>57</v>
      </c>
      <c r="M73" s="186" t="e">
        <f t="shared" si="6"/>
        <v>#DIV/0!</v>
      </c>
      <c r="N73" s="171" t="e">
        <f t="shared" si="7"/>
        <v>#DIV/0!</v>
      </c>
      <c r="O73" s="171" t="e">
        <f t="shared" si="0"/>
        <v>#DIV/0!</v>
      </c>
      <c r="P73" s="171" t="e">
        <f t="shared" si="8"/>
        <v>#DIV/0!</v>
      </c>
      <c r="Q73" s="171" t="e">
        <f t="shared" si="9"/>
        <v>#DIV/0!</v>
      </c>
      <c r="R73" s="186">
        <f>IF('prijem_zahranicie - viac-dom'!$I$121=TRUE,IF($C$11&gt;0,0.00025*N72,0),IF('prijem_zahranicie - viac-dom'!$I$122=TRUE,IF('prijem_zahranicie - viac-dom'!$F$122&gt;0,0.00025*N72*-1,0),0))</f>
        <v>0</v>
      </c>
    </row>
    <row r="74" spans="1:18" x14ac:dyDescent="0.2">
      <c r="A74" s="89">
        <v>58</v>
      </c>
      <c r="B74" s="186" t="e">
        <f t="shared" si="1"/>
        <v>#NUM!</v>
      </c>
      <c r="C74" s="171" t="e">
        <f t="shared" si="2"/>
        <v>#NUM!</v>
      </c>
      <c r="D74" s="171" t="e">
        <f t="shared" si="3"/>
        <v>#NUM!</v>
      </c>
      <c r="E74" s="171" t="e">
        <f t="shared" si="4"/>
        <v>#NUM!</v>
      </c>
      <c r="F74" s="171" t="e">
        <f t="shared" si="5"/>
        <v>#NUM!</v>
      </c>
      <c r="G74" s="186">
        <f>IF('prijem_zahranicie - viac-dom'!$I$121=TRUE,IF($C$11&gt;0,0.00025*C73,0),IF('prijem_zahranicie - viac-dom'!$I$122=TRUE,IF('prijem_zahranicie - viac-dom'!$F$122&gt;0,0.00025*C73,0),0))</f>
        <v>0</v>
      </c>
      <c r="L74" s="89">
        <v>58</v>
      </c>
      <c r="M74" s="186" t="e">
        <f t="shared" si="6"/>
        <v>#DIV/0!</v>
      </c>
      <c r="N74" s="171" t="e">
        <f t="shared" si="7"/>
        <v>#DIV/0!</v>
      </c>
      <c r="O74" s="171" t="e">
        <f t="shared" si="0"/>
        <v>#DIV/0!</v>
      </c>
      <c r="P74" s="171" t="e">
        <f t="shared" si="8"/>
        <v>#DIV/0!</v>
      </c>
      <c r="Q74" s="171" t="e">
        <f t="shared" si="9"/>
        <v>#DIV/0!</v>
      </c>
      <c r="R74" s="186">
        <f>IF('prijem_zahranicie - viac-dom'!$I$121=TRUE,IF($C$11&gt;0,0.00025*N73,0),IF('prijem_zahranicie - viac-dom'!$I$122=TRUE,IF('prijem_zahranicie - viac-dom'!$F$122&gt;0,0.00025*N73*-1,0),0))</f>
        <v>0</v>
      </c>
    </row>
    <row r="75" spans="1:18" x14ac:dyDescent="0.2">
      <c r="A75" s="89">
        <v>59</v>
      </c>
      <c r="B75" s="186" t="e">
        <f t="shared" si="1"/>
        <v>#NUM!</v>
      </c>
      <c r="C75" s="171" t="e">
        <f t="shared" si="2"/>
        <v>#NUM!</v>
      </c>
      <c r="D75" s="171" t="e">
        <f t="shared" si="3"/>
        <v>#NUM!</v>
      </c>
      <c r="E75" s="171" t="e">
        <f t="shared" si="4"/>
        <v>#NUM!</v>
      </c>
      <c r="F75" s="171" t="e">
        <f t="shared" si="5"/>
        <v>#NUM!</v>
      </c>
      <c r="G75" s="186">
        <f>IF('prijem_zahranicie - viac-dom'!$I$121=TRUE,IF($C$11&gt;0,0.00025*C74,0),IF('prijem_zahranicie - viac-dom'!$I$122=TRUE,IF('prijem_zahranicie - viac-dom'!$F$122&gt;0,0.00025*C74,0),0))</f>
        <v>0</v>
      </c>
      <c r="L75" s="89">
        <v>59</v>
      </c>
      <c r="M75" s="186" t="e">
        <f t="shared" si="6"/>
        <v>#DIV/0!</v>
      </c>
      <c r="N75" s="171" t="e">
        <f t="shared" si="7"/>
        <v>#DIV/0!</v>
      </c>
      <c r="O75" s="171" t="e">
        <f t="shared" si="0"/>
        <v>#DIV/0!</v>
      </c>
      <c r="P75" s="171" t="e">
        <f t="shared" si="8"/>
        <v>#DIV/0!</v>
      </c>
      <c r="Q75" s="171" t="e">
        <f t="shared" si="9"/>
        <v>#DIV/0!</v>
      </c>
      <c r="R75" s="186">
        <f>IF('prijem_zahranicie - viac-dom'!$I$121=TRUE,IF($C$11&gt;0,0.00025*N74,0),IF('prijem_zahranicie - viac-dom'!$I$122=TRUE,IF('prijem_zahranicie - viac-dom'!$F$122&gt;0,0.00025*N74*-1,0),0))</f>
        <v>0</v>
      </c>
    </row>
    <row r="76" spans="1:18" x14ac:dyDescent="0.2">
      <c r="A76" s="89">
        <v>60</v>
      </c>
      <c r="B76" s="186" t="e">
        <f t="shared" si="1"/>
        <v>#NUM!</v>
      </c>
      <c r="C76" s="171" t="e">
        <f t="shared" si="2"/>
        <v>#NUM!</v>
      </c>
      <c r="D76" s="171" t="e">
        <f t="shared" si="3"/>
        <v>#NUM!</v>
      </c>
      <c r="E76" s="171" t="e">
        <f t="shared" si="4"/>
        <v>#NUM!</v>
      </c>
      <c r="F76" s="171" t="e">
        <f t="shared" si="5"/>
        <v>#NUM!</v>
      </c>
      <c r="G76" s="186">
        <f>IF('prijem_zahranicie - viac-dom'!$I$121=TRUE,IF($C$11&gt;0,0.00025*C75,0),IF('prijem_zahranicie - viac-dom'!$I$122=TRUE,IF('prijem_zahranicie - viac-dom'!$F$122&gt;0,0.00025*C75,0),0))</f>
        <v>0</v>
      </c>
      <c r="L76" s="89">
        <v>60</v>
      </c>
      <c r="M76" s="186" t="e">
        <f t="shared" si="6"/>
        <v>#DIV/0!</v>
      </c>
      <c r="N76" s="171" t="e">
        <f t="shared" si="7"/>
        <v>#DIV/0!</v>
      </c>
      <c r="O76" s="171" t="e">
        <f t="shared" si="0"/>
        <v>#DIV/0!</v>
      </c>
      <c r="P76" s="171" t="e">
        <f t="shared" si="8"/>
        <v>#DIV/0!</v>
      </c>
      <c r="Q76" s="171" t="e">
        <f t="shared" si="9"/>
        <v>#DIV/0!</v>
      </c>
      <c r="R76" s="186">
        <f>IF('prijem_zahranicie - viac-dom'!$I$121=TRUE,IF($C$11&gt;0,0.00025*N75,0),IF('prijem_zahranicie - viac-dom'!$I$122=TRUE,IF('prijem_zahranicie - viac-dom'!$F$122&gt;0,0.00025*N75*-1,0),0))</f>
        <v>0</v>
      </c>
    </row>
    <row r="77" spans="1:18" x14ac:dyDescent="0.2">
      <c r="A77" s="89">
        <v>61</v>
      </c>
      <c r="B77" s="186" t="e">
        <f t="shared" si="1"/>
        <v>#NUM!</v>
      </c>
      <c r="C77" s="171" t="e">
        <f t="shared" si="2"/>
        <v>#NUM!</v>
      </c>
      <c r="D77" s="171" t="e">
        <f t="shared" si="3"/>
        <v>#NUM!</v>
      </c>
      <c r="E77" s="171" t="e">
        <f t="shared" si="4"/>
        <v>#NUM!</v>
      </c>
      <c r="F77" s="171" t="e">
        <f t="shared" si="5"/>
        <v>#NUM!</v>
      </c>
      <c r="G77" s="186">
        <f>IF('prijem_zahranicie - viac-dom'!$I$121=TRUE,IF($C$11&gt;0,0.00025*C76,0),IF('prijem_zahranicie - viac-dom'!$I$122=TRUE,IF('prijem_zahranicie - viac-dom'!$F$122&gt;0,0.00025*C76,0),0))</f>
        <v>0</v>
      </c>
      <c r="L77" s="89">
        <v>61</v>
      </c>
      <c r="M77" s="186" t="e">
        <f t="shared" si="6"/>
        <v>#DIV/0!</v>
      </c>
      <c r="N77" s="171" t="e">
        <f t="shared" si="7"/>
        <v>#DIV/0!</v>
      </c>
      <c r="O77" s="171" t="e">
        <f t="shared" si="0"/>
        <v>#DIV/0!</v>
      </c>
      <c r="P77" s="171" t="e">
        <f t="shared" si="8"/>
        <v>#DIV/0!</v>
      </c>
      <c r="Q77" s="171" t="e">
        <f t="shared" si="9"/>
        <v>#DIV/0!</v>
      </c>
      <c r="R77" s="186">
        <f>IF('prijem_zahranicie - viac-dom'!$I$121=TRUE,IF($C$11&gt;0,0.00025*N76,0),IF('prijem_zahranicie - viac-dom'!$I$122=TRUE,IF('prijem_zahranicie - viac-dom'!$F$122&gt;0,0.00025*N76*-1,0),0))</f>
        <v>0</v>
      </c>
    </row>
    <row r="78" spans="1:18" x14ac:dyDescent="0.2">
      <c r="A78" s="89">
        <v>62</v>
      </c>
      <c r="B78" s="186" t="e">
        <f t="shared" si="1"/>
        <v>#NUM!</v>
      </c>
      <c r="C78" s="171" t="e">
        <f t="shared" si="2"/>
        <v>#NUM!</v>
      </c>
      <c r="D78" s="171" t="e">
        <f t="shared" si="3"/>
        <v>#NUM!</v>
      </c>
      <c r="E78" s="171" t="e">
        <f t="shared" si="4"/>
        <v>#NUM!</v>
      </c>
      <c r="F78" s="171" t="e">
        <f t="shared" si="5"/>
        <v>#NUM!</v>
      </c>
      <c r="G78" s="186">
        <f>IF('prijem_zahranicie - viac-dom'!$I$121=TRUE,IF($C$11&gt;0,0.00025*C77,0),IF('prijem_zahranicie - viac-dom'!$I$122=TRUE,IF('prijem_zahranicie - viac-dom'!$F$122&gt;0,0.00025*C77,0),0))</f>
        <v>0</v>
      </c>
      <c r="L78" s="89">
        <v>62</v>
      </c>
      <c r="M78" s="186" t="e">
        <f t="shared" si="6"/>
        <v>#DIV/0!</v>
      </c>
      <c r="N78" s="171" t="e">
        <f t="shared" si="7"/>
        <v>#DIV/0!</v>
      </c>
      <c r="O78" s="171" t="e">
        <f t="shared" si="0"/>
        <v>#DIV/0!</v>
      </c>
      <c r="P78" s="171" t="e">
        <f t="shared" si="8"/>
        <v>#DIV/0!</v>
      </c>
      <c r="Q78" s="171" t="e">
        <f t="shared" si="9"/>
        <v>#DIV/0!</v>
      </c>
      <c r="R78" s="186">
        <f>IF('prijem_zahranicie - viac-dom'!$I$121=TRUE,IF($C$11&gt;0,0.00025*N77,0),IF('prijem_zahranicie - viac-dom'!$I$122=TRUE,IF('prijem_zahranicie - viac-dom'!$F$122&gt;0,0.00025*N77*-1,0),0))</f>
        <v>0</v>
      </c>
    </row>
    <row r="79" spans="1:18" x14ac:dyDescent="0.2">
      <c r="A79" s="89">
        <v>63</v>
      </c>
      <c r="B79" s="186" t="e">
        <f t="shared" si="1"/>
        <v>#NUM!</v>
      </c>
      <c r="C79" s="171" t="e">
        <f t="shared" si="2"/>
        <v>#NUM!</v>
      </c>
      <c r="D79" s="171" t="e">
        <f t="shared" si="3"/>
        <v>#NUM!</v>
      </c>
      <c r="E79" s="171" t="e">
        <f t="shared" si="4"/>
        <v>#NUM!</v>
      </c>
      <c r="F79" s="171" t="e">
        <f t="shared" si="5"/>
        <v>#NUM!</v>
      </c>
      <c r="G79" s="186">
        <f>IF('prijem_zahranicie - viac-dom'!$I$121=TRUE,IF($C$11&gt;0,0.00025*C78,0),IF('prijem_zahranicie - viac-dom'!$I$122=TRUE,IF('prijem_zahranicie - viac-dom'!$F$122&gt;0,0.00025*C78,0),0))</f>
        <v>0</v>
      </c>
      <c r="L79" s="89">
        <v>63</v>
      </c>
      <c r="M79" s="186" t="e">
        <f t="shared" si="6"/>
        <v>#DIV/0!</v>
      </c>
      <c r="N79" s="171" t="e">
        <f t="shared" si="7"/>
        <v>#DIV/0!</v>
      </c>
      <c r="O79" s="171" t="e">
        <f t="shared" si="0"/>
        <v>#DIV/0!</v>
      </c>
      <c r="P79" s="171" t="e">
        <f t="shared" si="8"/>
        <v>#DIV/0!</v>
      </c>
      <c r="Q79" s="171" t="e">
        <f t="shared" si="9"/>
        <v>#DIV/0!</v>
      </c>
      <c r="R79" s="186">
        <f>IF('prijem_zahranicie - viac-dom'!$I$121=TRUE,IF($C$11&gt;0,0.00025*N78,0),IF('prijem_zahranicie - viac-dom'!$I$122=TRUE,IF('prijem_zahranicie - viac-dom'!$F$122&gt;0,0.00025*N78*-1,0),0))</f>
        <v>0</v>
      </c>
    </row>
    <row r="80" spans="1:18" x14ac:dyDescent="0.2">
      <c r="A80" s="89">
        <v>64</v>
      </c>
      <c r="B80" s="186" t="e">
        <f t="shared" si="1"/>
        <v>#NUM!</v>
      </c>
      <c r="C80" s="171" t="e">
        <f t="shared" si="2"/>
        <v>#NUM!</v>
      </c>
      <c r="D80" s="171" t="e">
        <f t="shared" si="3"/>
        <v>#NUM!</v>
      </c>
      <c r="E80" s="171" t="e">
        <f t="shared" si="4"/>
        <v>#NUM!</v>
      </c>
      <c r="F80" s="171" t="e">
        <f t="shared" si="5"/>
        <v>#NUM!</v>
      </c>
      <c r="G80" s="186">
        <f>IF('prijem_zahranicie - viac-dom'!$I$121=TRUE,IF($C$11&gt;0,0.00025*C79,0),IF('prijem_zahranicie - viac-dom'!$I$122=TRUE,IF('prijem_zahranicie - viac-dom'!$F$122&gt;0,0.00025*C79,0),0))</f>
        <v>0</v>
      </c>
      <c r="L80" s="89">
        <v>64</v>
      </c>
      <c r="M80" s="186" t="e">
        <f t="shared" si="6"/>
        <v>#DIV/0!</v>
      </c>
      <c r="N80" s="171" t="e">
        <f t="shared" si="7"/>
        <v>#DIV/0!</v>
      </c>
      <c r="O80" s="171" t="e">
        <f t="shared" si="0"/>
        <v>#DIV/0!</v>
      </c>
      <c r="P80" s="171" t="e">
        <f t="shared" si="8"/>
        <v>#DIV/0!</v>
      </c>
      <c r="Q80" s="171" t="e">
        <f t="shared" si="9"/>
        <v>#DIV/0!</v>
      </c>
      <c r="R80" s="186">
        <f>IF('prijem_zahranicie - viac-dom'!$I$121=TRUE,IF($C$11&gt;0,0.00025*N79,0),IF('prijem_zahranicie - viac-dom'!$I$122=TRUE,IF('prijem_zahranicie - viac-dom'!$F$122&gt;0,0.00025*N79*-1,0),0))</f>
        <v>0</v>
      </c>
    </row>
    <row r="81" spans="1:18" x14ac:dyDescent="0.2">
      <c r="A81" s="89">
        <v>65</v>
      </c>
      <c r="B81" s="186" t="e">
        <f t="shared" si="1"/>
        <v>#NUM!</v>
      </c>
      <c r="C81" s="171" t="e">
        <f t="shared" si="2"/>
        <v>#NUM!</v>
      </c>
      <c r="D81" s="171" t="e">
        <f t="shared" si="3"/>
        <v>#NUM!</v>
      </c>
      <c r="E81" s="171" t="e">
        <f t="shared" si="4"/>
        <v>#NUM!</v>
      </c>
      <c r="F81" s="171" t="e">
        <f t="shared" si="5"/>
        <v>#NUM!</v>
      </c>
      <c r="G81" s="186">
        <f>IF('prijem_zahranicie - viac-dom'!$I$121=TRUE,IF($C$11&gt;0,0.00025*C80,0),IF('prijem_zahranicie - viac-dom'!$I$122=TRUE,IF('prijem_zahranicie - viac-dom'!$F$122&gt;0,0.00025*C80,0),0))</f>
        <v>0</v>
      </c>
      <c r="L81" s="89">
        <v>65</v>
      </c>
      <c r="M81" s="186" t="e">
        <f t="shared" si="6"/>
        <v>#DIV/0!</v>
      </c>
      <c r="N81" s="171" t="e">
        <f t="shared" si="7"/>
        <v>#DIV/0!</v>
      </c>
      <c r="O81" s="171" t="e">
        <f t="shared" ref="O81:O144" si="10">$N$16/$N$5</f>
        <v>#DIV/0!</v>
      </c>
      <c r="P81" s="171" t="e">
        <f t="shared" si="8"/>
        <v>#DIV/0!</v>
      </c>
      <c r="Q81" s="171" t="e">
        <f t="shared" si="9"/>
        <v>#DIV/0!</v>
      </c>
      <c r="R81" s="186">
        <f>IF('prijem_zahranicie - viac-dom'!$I$121=TRUE,IF($C$11&gt;0,0.00025*N80,0),IF('prijem_zahranicie - viac-dom'!$I$122=TRUE,IF('prijem_zahranicie - viac-dom'!$F$122&gt;0,0.00025*N80*-1,0),0))</f>
        <v>0</v>
      </c>
    </row>
    <row r="82" spans="1:18" x14ac:dyDescent="0.2">
      <c r="A82" s="89">
        <v>66</v>
      </c>
      <c r="B82" s="186" t="e">
        <f t="shared" ref="B82:B145" si="11">IF(C81&gt;0.00001,F82-G82,0)</f>
        <v>#NUM!</v>
      </c>
      <c r="C82" s="171" t="e">
        <f t="shared" ref="C82:C145" si="12">MAX(C81-D82,0)</f>
        <v>#NUM!</v>
      </c>
      <c r="D82" s="171" t="e">
        <f t="shared" ref="D82:D145" si="13">(F82-E82)*-1</f>
        <v>#NUM!</v>
      </c>
      <c r="E82" s="171" t="e">
        <f t="shared" ref="E82:E145" si="14">IPMT($C$4/12,1,$C$5,C81)</f>
        <v>#NUM!</v>
      </c>
      <c r="F82" s="171" t="e">
        <f t="shared" ref="F82:F145" si="15">PMT($C$4/12,$C$5,$C$3)</f>
        <v>#NUM!</v>
      </c>
      <c r="G82" s="186">
        <f>IF('prijem_zahranicie - viac-dom'!$I$121=TRUE,IF($C$11&gt;0,0.00025*C81,0),IF('prijem_zahranicie - viac-dom'!$I$122=TRUE,IF('prijem_zahranicie - viac-dom'!$F$122&gt;0,0.00025*C81,0),0))</f>
        <v>0</v>
      </c>
      <c r="L82" s="89">
        <v>66</v>
      </c>
      <c r="M82" s="186" t="e">
        <f t="shared" ref="M82:M145" si="16">IF(N81&gt;0.00001,Q82-R82,0)*-1</f>
        <v>#DIV/0!</v>
      </c>
      <c r="N82" s="171" t="e">
        <f t="shared" ref="N82:N145" si="17">MAX(N81-O82,0)</f>
        <v>#DIV/0!</v>
      </c>
      <c r="O82" s="171" t="e">
        <f t="shared" si="10"/>
        <v>#DIV/0!</v>
      </c>
      <c r="P82" s="171" t="e">
        <f t="shared" ref="P82:P145" si="18">N81*$N$4/12</f>
        <v>#DIV/0!</v>
      </c>
      <c r="Q82" s="171" t="e">
        <f t="shared" ref="Q82:Q145" si="19">P82+O82</f>
        <v>#DIV/0!</v>
      </c>
      <c r="R82" s="186">
        <f>IF('prijem_zahranicie - viac-dom'!$I$121=TRUE,IF($C$11&gt;0,0.00025*N81,0),IF('prijem_zahranicie - viac-dom'!$I$122=TRUE,IF('prijem_zahranicie - viac-dom'!$F$122&gt;0,0.00025*N81*-1,0),0))</f>
        <v>0</v>
      </c>
    </row>
    <row r="83" spans="1:18" x14ac:dyDescent="0.2">
      <c r="A83" s="89">
        <v>67</v>
      </c>
      <c r="B83" s="186" t="e">
        <f t="shared" si="11"/>
        <v>#NUM!</v>
      </c>
      <c r="C83" s="171" t="e">
        <f t="shared" si="12"/>
        <v>#NUM!</v>
      </c>
      <c r="D83" s="171" t="e">
        <f t="shared" si="13"/>
        <v>#NUM!</v>
      </c>
      <c r="E83" s="171" t="e">
        <f t="shared" si="14"/>
        <v>#NUM!</v>
      </c>
      <c r="F83" s="171" t="e">
        <f t="shared" si="15"/>
        <v>#NUM!</v>
      </c>
      <c r="G83" s="186">
        <f>IF('prijem_zahranicie - viac-dom'!$I$121=TRUE,IF($C$11&gt;0,0.00025*C82,0),IF('prijem_zahranicie - viac-dom'!$I$122=TRUE,IF('prijem_zahranicie - viac-dom'!$F$122&gt;0,0.00025*C82,0),0))</f>
        <v>0</v>
      </c>
      <c r="L83" s="89">
        <v>67</v>
      </c>
      <c r="M83" s="186" t="e">
        <f t="shared" si="16"/>
        <v>#DIV/0!</v>
      </c>
      <c r="N83" s="171" t="e">
        <f t="shared" si="17"/>
        <v>#DIV/0!</v>
      </c>
      <c r="O83" s="171" t="e">
        <f t="shared" si="10"/>
        <v>#DIV/0!</v>
      </c>
      <c r="P83" s="171" t="e">
        <f t="shared" si="18"/>
        <v>#DIV/0!</v>
      </c>
      <c r="Q83" s="171" t="e">
        <f t="shared" si="19"/>
        <v>#DIV/0!</v>
      </c>
      <c r="R83" s="186">
        <f>IF('prijem_zahranicie - viac-dom'!$I$121=TRUE,IF($C$11&gt;0,0.00025*N82,0),IF('prijem_zahranicie - viac-dom'!$I$122=TRUE,IF('prijem_zahranicie - viac-dom'!$F$122&gt;0,0.00025*N82*-1,0),0))</f>
        <v>0</v>
      </c>
    </row>
    <row r="84" spans="1:18" x14ac:dyDescent="0.2">
      <c r="A84" s="89">
        <v>68</v>
      </c>
      <c r="B84" s="186" t="e">
        <f t="shared" si="11"/>
        <v>#NUM!</v>
      </c>
      <c r="C84" s="171" t="e">
        <f t="shared" si="12"/>
        <v>#NUM!</v>
      </c>
      <c r="D84" s="171" t="e">
        <f t="shared" si="13"/>
        <v>#NUM!</v>
      </c>
      <c r="E84" s="171" t="e">
        <f t="shared" si="14"/>
        <v>#NUM!</v>
      </c>
      <c r="F84" s="171" t="e">
        <f t="shared" si="15"/>
        <v>#NUM!</v>
      </c>
      <c r="G84" s="186">
        <f>IF('prijem_zahranicie - viac-dom'!$I$121=TRUE,IF($C$11&gt;0,0.00025*C83,0),IF('prijem_zahranicie - viac-dom'!$I$122=TRUE,IF('prijem_zahranicie - viac-dom'!$F$122&gt;0,0.00025*C83,0),0))</f>
        <v>0</v>
      </c>
      <c r="L84" s="89">
        <v>68</v>
      </c>
      <c r="M84" s="186" t="e">
        <f t="shared" si="16"/>
        <v>#DIV/0!</v>
      </c>
      <c r="N84" s="171" t="e">
        <f t="shared" si="17"/>
        <v>#DIV/0!</v>
      </c>
      <c r="O84" s="171" t="e">
        <f t="shared" si="10"/>
        <v>#DIV/0!</v>
      </c>
      <c r="P84" s="171" t="e">
        <f t="shared" si="18"/>
        <v>#DIV/0!</v>
      </c>
      <c r="Q84" s="171" t="e">
        <f t="shared" si="19"/>
        <v>#DIV/0!</v>
      </c>
      <c r="R84" s="186">
        <f>IF('prijem_zahranicie - viac-dom'!$I$121=TRUE,IF($C$11&gt;0,0.00025*N83,0),IF('prijem_zahranicie - viac-dom'!$I$122=TRUE,IF('prijem_zahranicie - viac-dom'!$F$122&gt;0,0.00025*N83*-1,0),0))</f>
        <v>0</v>
      </c>
    </row>
    <row r="85" spans="1:18" x14ac:dyDescent="0.2">
      <c r="A85" s="89">
        <v>69</v>
      </c>
      <c r="B85" s="186" t="e">
        <f t="shared" si="11"/>
        <v>#NUM!</v>
      </c>
      <c r="C85" s="171" t="e">
        <f t="shared" si="12"/>
        <v>#NUM!</v>
      </c>
      <c r="D85" s="171" t="e">
        <f t="shared" si="13"/>
        <v>#NUM!</v>
      </c>
      <c r="E85" s="171" t="e">
        <f t="shared" si="14"/>
        <v>#NUM!</v>
      </c>
      <c r="F85" s="171" t="e">
        <f t="shared" si="15"/>
        <v>#NUM!</v>
      </c>
      <c r="G85" s="186">
        <f>IF('prijem_zahranicie - viac-dom'!$I$121=TRUE,IF($C$11&gt;0,0.00025*C84,0),IF('prijem_zahranicie - viac-dom'!$I$122=TRUE,IF('prijem_zahranicie - viac-dom'!$F$122&gt;0,0.00025*C84,0),0))</f>
        <v>0</v>
      </c>
      <c r="L85" s="89">
        <v>69</v>
      </c>
      <c r="M85" s="186" t="e">
        <f t="shared" si="16"/>
        <v>#DIV/0!</v>
      </c>
      <c r="N85" s="171" t="e">
        <f t="shared" si="17"/>
        <v>#DIV/0!</v>
      </c>
      <c r="O85" s="171" t="e">
        <f t="shared" si="10"/>
        <v>#DIV/0!</v>
      </c>
      <c r="P85" s="171" t="e">
        <f t="shared" si="18"/>
        <v>#DIV/0!</v>
      </c>
      <c r="Q85" s="171" t="e">
        <f t="shared" si="19"/>
        <v>#DIV/0!</v>
      </c>
      <c r="R85" s="186">
        <f>IF('prijem_zahranicie - viac-dom'!$I$121=TRUE,IF($C$11&gt;0,0.00025*N84,0),IF('prijem_zahranicie - viac-dom'!$I$122=TRUE,IF('prijem_zahranicie - viac-dom'!$F$122&gt;0,0.00025*N84*-1,0),0))</f>
        <v>0</v>
      </c>
    </row>
    <row r="86" spans="1:18" x14ac:dyDescent="0.2">
      <c r="A86" s="89">
        <v>70</v>
      </c>
      <c r="B86" s="186" t="e">
        <f t="shared" si="11"/>
        <v>#NUM!</v>
      </c>
      <c r="C86" s="171" t="e">
        <f t="shared" si="12"/>
        <v>#NUM!</v>
      </c>
      <c r="D86" s="171" t="e">
        <f t="shared" si="13"/>
        <v>#NUM!</v>
      </c>
      <c r="E86" s="171" t="e">
        <f t="shared" si="14"/>
        <v>#NUM!</v>
      </c>
      <c r="F86" s="171" t="e">
        <f t="shared" si="15"/>
        <v>#NUM!</v>
      </c>
      <c r="G86" s="186">
        <f>IF('prijem_zahranicie - viac-dom'!$I$121=TRUE,IF($C$11&gt;0,0.00025*C85,0),IF('prijem_zahranicie - viac-dom'!$I$122=TRUE,IF('prijem_zahranicie - viac-dom'!$F$122&gt;0,0.00025*C85,0),0))</f>
        <v>0</v>
      </c>
      <c r="L86" s="89">
        <v>70</v>
      </c>
      <c r="M86" s="186" t="e">
        <f t="shared" si="16"/>
        <v>#DIV/0!</v>
      </c>
      <c r="N86" s="171" t="e">
        <f t="shared" si="17"/>
        <v>#DIV/0!</v>
      </c>
      <c r="O86" s="171" t="e">
        <f t="shared" si="10"/>
        <v>#DIV/0!</v>
      </c>
      <c r="P86" s="171" t="e">
        <f t="shared" si="18"/>
        <v>#DIV/0!</v>
      </c>
      <c r="Q86" s="171" t="e">
        <f t="shared" si="19"/>
        <v>#DIV/0!</v>
      </c>
      <c r="R86" s="186">
        <f>IF('prijem_zahranicie - viac-dom'!$I$121=TRUE,IF($C$11&gt;0,0.00025*N85,0),IF('prijem_zahranicie - viac-dom'!$I$122=TRUE,IF('prijem_zahranicie - viac-dom'!$F$122&gt;0,0.00025*N85*-1,0),0))</f>
        <v>0</v>
      </c>
    </row>
    <row r="87" spans="1:18" x14ac:dyDescent="0.2">
      <c r="A87" s="89">
        <v>71</v>
      </c>
      <c r="B87" s="186" t="e">
        <f t="shared" si="11"/>
        <v>#NUM!</v>
      </c>
      <c r="C87" s="171" t="e">
        <f t="shared" si="12"/>
        <v>#NUM!</v>
      </c>
      <c r="D87" s="171" t="e">
        <f t="shared" si="13"/>
        <v>#NUM!</v>
      </c>
      <c r="E87" s="171" t="e">
        <f t="shared" si="14"/>
        <v>#NUM!</v>
      </c>
      <c r="F87" s="171" t="e">
        <f t="shared" si="15"/>
        <v>#NUM!</v>
      </c>
      <c r="G87" s="186">
        <f>IF('prijem_zahranicie - viac-dom'!$I$121=TRUE,IF($C$11&gt;0,0.00025*C86,0),IF('prijem_zahranicie - viac-dom'!$I$122=TRUE,IF('prijem_zahranicie - viac-dom'!$F$122&gt;0,0.00025*C86,0),0))</f>
        <v>0</v>
      </c>
      <c r="L87" s="89">
        <v>71</v>
      </c>
      <c r="M87" s="186" t="e">
        <f t="shared" si="16"/>
        <v>#DIV/0!</v>
      </c>
      <c r="N87" s="171" t="e">
        <f t="shared" si="17"/>
        <v>#DIV/0!</v>
      </c>
      <c r="O87" s="171" t="e">
        <f t="shared" si="10"/>
        <v>#DIV/0!</v>
      </c>
      <c r="P87" s="171" t="e">
        <f t="shared" si="18"/>
        <v>#DIV/0!</v>
      </c>
      <c r="Q87" s="171" t="e">
        <f t="shared" si="19"/>
        <v>#DIV/0!</v>
      </c>
      <c r="R87" s="186">
        <f>IF('prijem_zahranicie - viac-dom'!$I$121=TRUE,IF($C$11&gt;0,0.00025*N86,0),IF('prijem_zahranicie - viac-dom'!$I$122=TRUE,IF('prijem_zahranicie - viac-dom'!$F$122&gt;0,0.00025*N86*-1,0),0))</f>
        <v>0</v>
      </c>
    </row>
    <row r="88" spans="1:18" x14ac:dyDescent="0.2">
      <c r="A88" s="89">
        <v>72</v>
      </c>
      <c r="B88" s="186" t="e">
        <f t="shared" si="11"/>
        <v>#NUM!</v>
      </c>
      <c r="C88" s="171" t="e">
        <f t="shared" si="12"/>
        <v>#NUM!</v>
      </c>
      <c r="D88" s="171" t="e">
        <f t="shared" si="13"/>
        <v>#NUM!</v>
      </c>
      <c r="E88" s="171" t="e">
        <f t="shared" si="14"/>
        <v>#NUM!</v>
      </c>
      <c r="F88" s="171" t="e">
        <f t="shared" si="15"/>
        <v>#NUM!</v>
      </c>
      <c r="G88" s="186">
        <f>IF('prijem_zahranicie - viac-dom'!$I$121=TRUE,IF($C$11&gt;0,0.00025*C87,0),IF('prijem_zahranicie - viac-dom'!$I$122=TRUE,IF('prijem_zahranicie - viac-dom'!$F$122&gt;0,0.00025*C87,0),0))</f>
        <v>0</v>
      </c>
      <c r="L88" s="89">
        <v>72</v>
      </c>
      <c r="M88" s="186" t="e">
        <f t="shared" si="16"/>
        <v>#DIV/0!</v>
      </c>
      <c r="N88" s="171" t="e">
        <f t="shared" si="17"/>
        <v>#DIV/0!</v>
      </c>
      <c r="O88" s="171" t="e">
        <f t="shared" si="10"/>
        <v>#DIV/0!</v>
      </c>
      <c r="P88" s="171" t="e">
        <f t="shared" si="18"/>
        <v>#DIV/0!</v>
      </c>
      <c r="Q88" s="171" t="e">
        <f t="shared" si="19"/>
        <v>#DIV/0!</v>
      </c>
      <c r="R88" s="186">
        <f>IF('prijem_zahranicie - viac-dom'!$I$121=TRUE,IF($C$11&gt;0,0.00025*N87,0),IF('prijem_zahranicie - viac-dom'!$I$122=TRUE,IF('prijem_zahranicie - viac-dom'!$F$122&gt;0,0.00025*N87*-1,0),0))</f>
        <v>0</v>
      </c>
    </row>
    <row r="89" spans="1:18" x14ac:dyDescent="0.2">
      <c r="A89" s="89">
        <v>73</v>
      </c>
      <c r="B89" s="186" t="e">
        <f t="shared" si="11"/>
        <v>#NUM!</v>
      </c>
      <c r="C89" s="171" t="e">
        <f t="shared" si="12"/>
        <v>#NUM!</v>
      </c>
      <c r="D89" s="171" t="e">
        <f t="shared" si="13"/>
        <v>#NUM!</v>
      </c>
      <c r="E89" s="171" t="e">
        <f t="shared" si="14"/>
        <v>#NUM!</v>
      </c>
      <c r="F89" s="171" t="e">
        <f t="shared" si="15"/>
        <v>#NUM!</v>
      </c>
      <c r="G89" s="186">
        <f>IF('prijem_zahranicie - viac-dom'!$I$121=TRUE,IF($C$11&gt;0,0.00025*C88,0),IF('prijem_zahranicie - viac-dom'!$I$122=TRUE,IF('prijem_zahranicie - viac-dom'!$F$122&gt;0,0.00025*C88,0),0))</f>
        <v>0</v>
      </c>
      <c r="L89" s="89">
        <v>73</v>
      </c>
      <c r="M89" s="186" t="e">
        <f t="shared" si="16"/>
        <v>#DIV/0!</v>
      </c>
      <c r="N89" s="171" t="e">
        <f t="shared" si="17"/>
        <v>#DIV/0!</v>
      </c>
      <c r="O89" s="171" t="e">
        <f t="shared" si="10"/>
        <v>#DIV/0!</v>
      </c>
      <c r="P89" s="171" t="e">
        <f t="shared" si="18"/>
        <v>#DIV/0!</v>
      </c>
      <c r="Q89" s="171" t="e">
        <f t="shared" si="19"/>
        <v>#DIV/0!</v>
      </c>
      <c r="R89" s="186">
        <f>IF('prijem_zahranicie - viac-dom'!$I$121=TRUE,IF($C$11&gt;0,0.00025*N88,0),IF('prijem_zahranicie - viac-dom'!$I$122=TRUE,IF('prijem_zahranicie - viac-dom'!$F$122&gt;0,0.00025*N88*-1,0),0))</f>
        <v>0</v>
      </c>
    </row>
    <row r="90" spans="1:18" x14ac:dyDescent="0.2">
      <c r="A90" s="89">
        <v>74</v>
      </c>
      <c r="B90" s="186" t="e">
        <f t="shared" si="11"/>
        <v>#NUM!</v>
      </c>
      <c r="C90" s="171" t="e">
        <f t="shared" si="12"/>
        <v>#NUM!</v>
      </c>
      <c r="D90" s="171" t="e">
        <f t="shared" si="13"/>
        <v>#NUM!</v>
      </c>
      <c r="E90" s="171" t="e">
        <f t="shared" si="14"/>
        <v>#NUM!</v>
      </c>
      <c r="F90" s="171" t="e">
        <f t="shared" si="15"/>
        <v>#NUM!</v>
      </c>
      <c r="G90" s="186">
        <f>IF('prijem_zahranicie - viac-dom'!$I$121=TRUE,IF($C$11&gt;0,0.00025*C89,0),IF('prijem_zahranicie - viac-dom'!$I$122=TRUE,IF('prijem_zahranicie - viac-dom'!$F$122&gt;0,0.00025*C89,0),0))</f>
        <v>0</v>
      </c>
      <c r="L90" s="89">
        <v>74</v>
      </c>
      <c r="M90" s="186" t="e">
        <f t="shared" si="16"/>
        <v>#DIV/0!</v>
      </c>
      <c r="N90" s="171" t="e">
        <f t="shared" si="17"/>
        <v>#DIV/0!</v>
      </c>
      <c r="O90" s="171" t="e">
        <f t="shared" si="10"/>
        <v>#DIV/0!</v>
      </c>
      <c r="P90" s="171" t="e">
        <f t="shared" si="18"/>
        <v>#DIV/0!</v>
      </c>
      <c r="Q90" s="171" t="e">
        <f t="shared" si="19"/>
        <v>#DIV/0!</v>
      </c>
      <c r="R90" s="186">
        <f>IF('prijem_zahranicie - viac-dom'!$I$121=TRUE,IF($C$11&gt;0,0.00025*N89,0),IF('prijem_zahranicie - viac-dom'!$I$122=TRUE,IF('prijem_zahranicie - viac-dom'!$F$122&gt;0,0.00025*N89*-1,0),0))</f>
        <v>0</v>
      </c>
    </row>
    <row r="91" spans="1:18" x14ac:dyDescent="0.2">
      <c r="A91" s="89">
        <v>75</v>
      </c>
      <c r="B91" s="186" t="e">
        <f t="shared" si="11"/>
        <v>#NUM!</v>
      </c>
      <c r="C91" s="171" t="e">
        <f t="shared" si="12"/>
        <v>#NUM!</v>
      </c>
      <c r="D91" s="171" t="e">
        <f t="shared" si="13"/>
        <v>#NUM!</v>
      </c>
      <c r="E91" s="171" t="e">
        <f t="shared" si="14"/>
        <v>#NUM!</v>
      </c>
      <c r="F91" s="171" t="e">
        <f t="shared" si="15"/>
        <v>#NUM!</v>
      </c>
      <c r="G91" s="186">
        <f>IF('prijem_zahranicie - viac-dom'!$I$121=TRUE,IF($C$11&gt;0,0.00025*C90,0),IF('prijem_zahranicie - viac-dom'!$I$122=TRUE,IF('prijem_zahranicie - viac-dom'!$F$122&gt;0,0.00025*C90,0),0))</f>
        <v>0</v>
      </c>
      <c r="L91" s="89">
        <v>75</v>
      </c>
      <c r="M91" s="186" t="e">
        <f t="shared" si="16"/>
        <v>#DIV/0!</v>
      </c>
      <c r="N91" s="171" t="e">
        <f t="shared" si="17"/>
        <v>#DIV/0!</v>
      </c>
      <c r="O91" s="171" t="e">
        <f t="shared" si="10"/>
        <v>#DIV/0!</v>
      </c>
      <c r="P91" s="171" t="e">
        <f t="shared" si="18"/>
        <v>#DIV/0!</v>
      </c>
      <c r="Q91" s="171" t="e">
        <f t="shared" si="19"/>
        <v>#DIV/0!</v>
      </c>
      <c r="R91" s="186">
        <f>IF('prijem_zahranicie - viac-dom'!$I$121=TRUE,IF($C$11&gt;0,0.00025*N90,0),IF('prijem_zahranicie - viac-dom'!$I$122=TRUE,IF('prijem_zahranicie - viac-dom'!$F$122&gt;0,0.00025*N90*-1,0),0))</f>
        <v>0</v>
      </c>
    </row>
    <row r="92" spans="1:18" x14ac:dyDescent="0.2">
      <c r="A92" s="89">
        <v>76</v>
      </c>
      <c r="B92" s="186" t="e">
        <f t="shared" si="11"/>
        <v>#NUM!</v>
      </c>
      <c r="C92" s="171" t="e">
        <f t="shared" si="12"/>
        <v>#NUM!</v>
      </c>
      <c r="D92" s="171" t="e">
        <f t="shared" si="13"/>
        <v>#NUM!</v>
      </c>
      <c r="E92" s="171" t="e">
        <f t="shared" si="14"/>
        <v>#NUM!</v>
      </c>
      <c r="F92" s="171" t="e">
        <f t="shared" si="15"/>
        <v>#NUM!</v>
      </c>
      <c r="G92" s="186">
        <f>IF('prijem_zahranicie - viac-dom'!$I$121=TRUE,IF($C$11&gt;0,0.00025*C91,0),IF('prijem_zahranicie - viac-dom'!$I$122=TRUE,IF('prijem_zahranicie - viac-dom'!$F$122&gt;0,0.00025*C91,0),0))</f>
        <v>0</v>
      </c>
      <c r="L92" s="89">
        <v>76</v>
      </c>
      <c r="M92" s="186" t="e">
        <f t="shared" si="16"/>
        <v>#DIV/0!</v>
      </c>
      <c r="N92" s="171" t="e">
        <f t="shared" si="17"/>
        <v>#DIV/0!</v>
      </c>
      <c r="O92" s="171" t="e">
        <f t="shared" si="10"/>
        <v>#DIV/0!</v>
      </c>
      <c r="P92" s="171" t="e">
        <f t="shared" si="18"/>
        <v>#DIV/0!</v>
      </c>
      <c r="Q92" s="171" t="e">
        <f t="shared" si="19"/>
        <v>#DIV/0!</v>
      </c>
      <c r="R92" s="186">
        <f>IF('prijem_zahranicie - viac-dom'!$I$121=TRUE,IF($C$11&gt;0,0.00025*N91,0),IF('prijem_zahranicie - viac-dom'!$I$122=TRUE,IF('prijem_zahranicie - viac-dom'!$F$122&gt;0,0.00025*N91*-1,0),0))</f>
        <v>0</v>
      </c>
    </row>
    <row r="93" spans="1:18" x14ac:dyDescent="0.2">
      <c r="A93" s="89">
        <v>77</v>
      </c>
      <c r="B93" s="186" t="e">
        <f t="shared" si="11"/>
        <v>#NUM!</v>
      </c>
      <c r="C93" s="171" t="e">
        <f t="shared" si="12"/>
        <v>#NUM!</v>
      </c>
      <c r="D93" s="171" t="e">
        <f t="shared" si="13"/>
        <v>#NUM!</v>
      </c>
      <c r="E93" s="171" t="e">
        <f t="shared" si="14"/>
        <v>#NUM!</v>
      </c>
      <c r="F93" s="171" t="e">
        <f t="shared" si="15"/>
        <v>#NUM!</v>
      </c>
      <c r="G93" s="186">
        <f>IF('prijem_zahranicie - viac-dom'!$I$121=TRUE,IF($C$11&gt;0,0.00025*C92,0),IF('prijem_zahranicie - viac-dom'!$I$122=TRUE,IF('prijem_zahranicie - viac-dom'!$F$122&gt;0,0.00025*C92,0),0))</f>
        <v>0</v>
      </c>
      <c r="L93" s="89">
        <v>77</v>
      </c>
      <c r="M93" s="186" t="e">
        <f t="shared" si="16"/>
        <v>#DIV/0!</v>
      </c>
      <c r="N93" s="171" t="e">
        <f t="shared" si="17"/>
        <v>#DIV/0!</v>
      </c>
      <c r="O93" s="171" t="e">
        <f t="shared" si="10"/>
        <v>#DIV/0!</v>
      </c>
      <c r="P93" s="171" t="e">
        <f t="shared" si="18"/>
        <v>#DIV/0!</v>
      </c>
      <c r="Q93" s="171" t="e">
        <f t="shared" si="19"/>
        <v>#DIV/0!</v>
      </c>
      <c r="R93" s="186">
        <f>IF('prijem_zahranicie - viac-dom'!$I$121=TRUE,IF($C$11&gt;0,0.00025*N92,0),IF('prijem_zahranicie - viac-dom'!$I$122=TRUE,IF('prijem_zahranicie - viac-dom'!$F$122&gt;0,0.00025*N92*-1,0),0))</f>
        <v>0</v>
      </c>
    </row>
    <row r="94" spans="1:18" x14ac:dyDescent="0.2">
      <c r="A94" s="89">
        <v>78</v>
      </c>
      <c r="B94" s="186" t="e">
        <f t="shared" si="11"/>
        <v>#NUM!</v>
      </c>
      <c r="C94" s="171" t="e">
        <f t="shared" si="12"/>
        <v>#NUM!</v>
      </c>
      <c r="D94" s="171" t="e">
        <f t="shared" si="13"/>
        <v>#NUM!</v>
      </c>
      <c r="E94" s="171" t="e">
        <f t="shared" si="14"/>
        <v>#NUM!</v>
      </c>
      <c r="F94" s="171" t="e">
        <f t="shared" si="15"/>
        <v>#NUM!</v>
      </c>
      <c r="G94" s="186">
        <f>IF('prijem_zahranicie - viac-dom'!$I$121=TRUE,IF($C$11&gt;0,0.00025*C93,0),IF('prijem_zahranicie - viac-dom'!$I$122=TRUE,IF('prijem_zahranicie - viac-dom'!$F$122&gt;0,0.00025*C93,0),0))</f>
        <v>0</v>
      </c>
      <c r="L94" s="89">
        <v>78</v>
      </c>
      <c r="M94" s="186" t="e">
        <f t="shared" si="16"/>
        <v>#DIV/0!</v>
      </c>
      <c r="N94" s="171" t="e">
        <f t="shared" si="17"/>
        <v>#DIV/0!</v>
      </c>
      <c r="O94" s="171" t="e">
        <f t="shared" si="10"/>
        <v>#DIV/0!</v>
      </c>
      <c r="P94" s="171" t="e">
        <f t="shared" si="18"/>
        <v>#DIV/0!</v>
      </c>
      <c r="Q94" s="171" t="e">
        <f t="shared" si="19"/>
        <v>#DIV/0!</v>
      </c>
      <c r="R94" s="186">
        <f>IF('prijem_zahranicie - viac-dom'!$I$121=TRUE,IF($C$11&gt;0,0.00025*N93,0),IF('prijem_zahranicie - viac-dom'!$I$122=TRUE,IF('prijem_zahranicie - viac-dom'!$F$122&gt;0,0.00025*N93*-1,0),0))</f>
        <v>0</v>
      </c>
    </row>
    <row r="95" spans="1:18" x14ac:dyDescent="0.2">
      <c r="A95" s="89">
        <v>79</v>
      </c>
      <c r="B95" s="186" t="e">
        <f t="shared" si="11"/>
        <v>#NUM!</v>
      </c>
      <c r="C95" s="171" t="e">
        <f t="shared" si="12"/>
        <v>#NUM!</v>
      </c>
      <c r="D95" s="171" t="e">
        <f t="shared" si="13"/>
        <v>#NUM!</v>
      </c>
      <c r="E95" s="171" t="e">
        <f t="shared" si="14"/>
        <v>#NUM!</v>
      </c>
      <c r="F95" s="171" t="e">
        <f t="shared" si="15"/>
        <v>#NUM!</v>
      </c>
      <c r="G95" s="186">
        <f>IF('prijem_zahranicie - viac-dom'!$I$121=TRUE,IF($C$11&gt;0,0.00025*C94,0),IF('prijem_zahranicie - viac-dom'!$I$122=TRUE,IF('prijem_zahranicie - viac-dom'!$F$122&gt;0,0.00025*C94,0),0))</f>
        <v>0</v>
      </c>
      <c r="L95" s="89">
        <v>79</v>
      </c>
      <c r="M95" s="186" t="e">
        <f t="shared" si="16"/>
        <v>#DIV/0!</v>
      </c>
      <c r="N95" s="171" t="e">
        <f t="shared" si="17"/>
        <v>#DIV/0!</v>
      </c>
      <c r="O95" s="171" t="e">
        <f t="shared" si="10"/>
        <v>#DIV/0!</v>
      </c>
      <c r="P95" s="171" t="e">
        <f t="shared" si="18"/>
        <v>#DIV/0!</v>
      </c>
      <c r="Q95" s="171" t="e">
        <f t="shared" si="19"/>
        <v>#DIV/0!</v>
      </c>
      <c r="R95" s="186">
        <f>IF('prijem_zahranicie - viac-dom'!$I$121=TRUE,IF($C$11&gt;0,0.00025*N94,0),IF('prijem_zahranicie - viac-dom'!$I$122=TRUE,IF('prijem_zahranicie - viac-dom'!$F$122&gt;0,0.00025*N94*-1,0),0))</f>
        <v>0</v>
      </c>
    </row>
    <row r="96" spans="1:18" x14ac:dyDescent="0.2">
      <c r="A96" s="89">
        <v>80</v>
      </c>
      <c r="B96" s="186" t="e">
        <f t="shared" si="11"/>
        <v>#NUM!</v>
      </c>
      <c r="C96" s="171" t="e">
        <f t="shared" si="12"/>
        <v>#NUM!</v>
      </c>
      <c r="D96" s="171" t="e">
        <f t="shared" si="13"/>
        <v>#NUM!</v>
      </c>
      <c r="E96" s="171" t="e">
        <f t="shared" si="14"/>
        <v>#NUM!</v>
      </c>
      <c r="F96" s="171" t="e">
        <f t="shared" si="15"/>
        <v>#NUM!</v>
      </c>
      <c r="G96" s="186">
        <f>IF('prijem_zahranicie - viac-dom'!$I$121=TRUE,IF($C$11&gt;0,0.00025*C95,0),IF('prijem_zahranicie - viac-dom'!$I$122=TRUE,IF('prijem_zahranicie - viac-dom'!$F$122&gt;0,0.00025*C95,0),0))</f>
        <v>0</v>
      </c>
      <c r="L96" s="89">
        <v>80</v>
      </c>
      <c r="M96" s="186" t="e">
        <f t="shared" si="16"/>
        <v>#DIV/0!</v>
      </c>
      <c r="N96" s="171" t="e">
        <f t="shared" si="17"/>
        <v>#DIV/0!</v>
      </c>
      <c r="O96" s="171" t="e">
        <f t="shared" si="10"/>
        <v>#DIV/0!</v>
      </c>
      <c r="P96" s="171" t="e">
        <f t="shared" si="18"/>
        <v>#DIV/0!</v>
      </c>
      <c r="Q96" s="171" t="e">
        <f t="shared" si="19"/>
        <v>#DIV/0!</v>
      </c>
      <c r="R96" s="186">
        <f>IF('prijem_zahranicie - viac-dom'!$I$121=TRUE,IF($C$11&gt;0,0.00025*N95,0),IF('prijem_zahranicie - viac-dom'!$I$122=TRUE,IF('prijem_zahranicie - viac-dom'!$F$122&gt;0,0.00025*N95*-1,0),0))</f>
        <v>0</v>
      </c>
    </row>
    <row r="97" spans="1:18" x14ac:dyDescent="0.2">
      <c r="A97" s="89">
        <v>81</v>
      </c>
      <c r="B97" s="186" t="e">
        <f t="shared" si="11"/>
        <v>#NUM!</v>
      </c>
      <c r="C97" s="171" t="e">
        <f t="shared" si="12"/>
        <v>#NUM!</v>
      </c>
      <c r="D97" s="171" t="e">
        <f t="shared" si="13"/>
        <v>#NUM!</v>
      </c>
      <c r="E97" s="171" t="e">
        <f t="shared" si="14"/>
        <v>#NUM!</v>
      </c>
      <c r="F97" s="171" t="e">
        <f t="shared" si="15"/>
        <v>#NUM!</v>
      </c>
      <c r="G97" s="186">
        <f>IF('prijem_zahranicie - viac-dom'!$I$121=TRUE,IF($C$11&gt;0,0.00025*C96,0),IF('prijem_zahranicie - viac-dom'!$I$122=TRUE,IF('prijem_zahranicie - viac-dom'!$F$122&gt;0,0.00025*C96,0),0))</f>
        <v>0</v>
      </c>
      <c r="L97" s="89">
        <v>81</v>
      </c>
      <c r="M97" s="186" t="e">
        <f t="shared" si="16"/>
        <v>#DIV/0!</v>
      </c>
      <c r="N97" s="171" t="e">
        <f t="shared" si="17"/>
        <v>#DIV/0!</v>
      </c>
      <c r="O97" s="171" t="e">
        <f t="shared" si="10"/>
        <v>#DIV/0!</v>
      </c>
      <c r="P97" s="171" t="e">
        <f t="shared" si="18"/>
        <v>#DIV/0!</v>
      </c>
      <c r="Q97" s="171" t="e">
        <f t="shared" si="19"/>
        <v>#DIV/0!</v>
      </c>
      <c r="R97" s="186">
        <f>IF('prijem_zahranicie - viac-dom'!$I$121=TRUE,IF($C$11&gt;0,0.00025*N96,0),IF('prijem_zahranicie - viac-dom'!$I$122=TRUE,IF('prijem_zahranicie - viac-dom'!$F$122&gt;0,0.00025*N96*-1,0),0))</f>
        <v>0</v>
      </c>
    </row>
    <row r="98" spans="1:18" x14ac:dyDescent="0.2">
      <c r="A98" s="89">
        <v>82</v>
      </c>
      <c r="B98" s="186" t="e">
        <f t="shared" si="11"/>
        <v>#NUM!</v>
      </c>
      <c r="C98" s="171" t="e">
        <f t="shared" si="12"/>
        <v>#NUM!</v>
      </c>
      <c r="D98" s="171" t="e">
        <f t="shared" si="13"/>
        <v>#NUM!</v>
      </c>
      <c r="E98" s="171" t="e">
        <f t="shared" si="14"/>
        <v>#NUM!</v>
      </c>
      <c r="F98" s="171" t="e">
        <f t="shared" si="15"/>
        <v>#NUM!</v>
      </c>
      <c r="G98" s="186">
        <f>IF('prijem_zahranicie - viac-dom'!$I$121=TRUE,IF($C$11&gt;0,0.00025*C97,0),IF('prijem_zahranicie - viac-dom'!$I$122=TRUE,IF('prijem_zahranicie - viac-dom'!$F$122&gt;0,0.00025*C97,0),0))</f>
        <v>0</v>
      </c>
      <c r="L98" s="89">
        <v>82</v>
      </c>
      <c r="M98" s="186" t="e">
        <f t="shared" si="16"/>
        <v>#DIV/0!</v>
      </c>
      <c r="N98" s="171" t="e">
        <f t="shared" si="17"/>
        <v>#DIV/0!</v>
      </c>
      <c r="O98" s="171" t="e">
        <f t="shared" si="10"/>
        <v>#DIV/0!</v>
      </c>
      <c r="P98" s="171" t="e">
        <f t="shared" si="18"/>
        <v>#DIV/0!</v>
      </c>
      <c r="Q98" s="171" t="e">
        <f t="shared" si="19"/>
        <v>#DIV/0!</v>
      </c>
      <c r="R98" s="186">
        <f>IF('prijem_zahranicie - viac-dom'!$I$121=TRUE,IF($C$11&gt;0,0.00025*N97,0),IF('prijem_zahranicie - viac-dom'!$I$122=TRUE,IF('prijem_zahranicie - viac-dom'!$F$122&gt;0,0.00025*N97*-1,0),0))</f>
        <v>0</v>
      </c>
    </row>
    <row r="99" spans="1:18" x14ac:dyDescent="0.2">
      <c r="A99" s="89">
        <v>83</v>
      </c>
      <c r="B99" s="186" t="e">
        <f t="shared" si="11"/>
        <v>#NUM!</v>
      </c>
      <c r="C99" s="171" t="e">
        <f t="shared" si="12"/>
        <v>#NUM!</v>
      </c>
      <c r="D99" s="171" t="e">
        <f t="shared" si="13"/>
        <v>#NUM!</v>
      </c>
      <c r="E99" s="171" t="e">
        <f t="shared" si="14"/>
        <v>#NUM!</v>
      </c>
      <c r="F99" s="171" t="e">
        <f t="shared" si="15"/>
        <v>#NUM!</v>
      </c>
      <c r="G99" s="186">
        <f>IF('prijem_zahranicie - viac-dom'!$I$121=TRUE,IF($C$11&gt;0,0.00025*C98,0),IF('prijem_zahranicie - viac-dom'!$I$122=TRUE,IF('prijem_zahranicie - viac-dom'!$F$122&gt;0,0.00025*C98,0),0))</f>
        <v>0</v>
      </c>
      <c r="L99" s="89">
        <v>83</v>
      </c>
      <c r="M99" s="186" t="e">
        <f t="shared" si="16"/>
        <v>#DIV/0!</v>
      </c>
      <c r="N99" s="171" t="e">
        <f t="shared" si="17"/>
        <v>#DIV/0!</v>
      </c>
      <c r="O99" s="171" t="e">
        <f t="shared" si="10"/>
        <v>#DIV/0!</v>
      </c>
      <c r="P99" s="171" t="e">
        <f t="shared" si="18"/>
        <v>#DIV/0!</v>
      </c>
      <c r="Q99" s="171" t="e">
        <f t="shared" si="19"/>
        <v>#DIV/0!</v>
      </c>
      <c r="R99" s="186">
        <f>IF('prijem_zahranicie - viac-dom'!$I$121=TRUE,IF($C$11&gt;0,0.00025*N98,0),IF('prijem_zahranicie - viac-dom'!$I$122=TRUE,IF('prijem_zahranicie - viac-dom'!$F$122&gt;0,0.00025*N98*-1,0),0))</f>
        <v>0</v>
      </c>
    </row>
    <row r="100" spans="1:18" x14ac:dyDescent="0.2">
      <c r="A100" s="89">
        <v>84</v>
      </c>
      <c r="B100" s="186" t="e">
        <f t="shared" si="11"/>
        <v>#NUM!</v>
      </c>
      <c r="C100" s="171" t="e">
        <f t="shared" si="12"/>
        <v>#NUM!</v>
      </c>
      <c r="D100" s="171" t="e">
        <f t="shared" si="13"/>
        <v>#NUM!</v>
      </c>
      <c r="E100" s="171" t="e">
        <f t="shared" si="14"/>
        <v>#NUM!</v>
      </c>
      <c r="F100" s="171" t="e">
        <f t="shared" si="15"/>
        <v>#NUM!</v>
      </c>
      <c r="G100" s="186">
        <f>IF('prijem_zahranicie - viac-dom'!$I$121=TRUE,IF($C$11&gt;0,0.00025*C99,0),IF('prijem_zahranicie - viac-dom'!$I$122=TRUE,IF('prijem_zahranicie - viac-dom'!$F$122&gt;0,0.00025*C99,0),0))</f>
        <v>0</v>
      </c>
      <c r="L100" s="89">
        <v>84</v>
      </c>
      <c r="M100" s="186" t="e">
        <f t="shared" si="16"/>
        <v>#DIV/0!</v>
      </c>
      <c r="N100" s="171" t="e">
        <f t="shared" si="17"/>
        <v>#DIV/0!</v>
      </c>
      <c r="O100" s="171" t="e">
        <f t="shared" si="10"/>
        <v>#DIV/0!</v>
      </c>
      <c r="P100" s="171" t="e">
        <f t="shared" si="18"/>
        <v>#DIV/0!</v>
      </c>
      <c r="Q100" s="171" t="e">
        <f t="shared" si="19"/>
        <v>#DIV/0!</v>
      </c>
      <c r="R100" s="186">
        <f>IF('prijem_zahranicie - viac-dom'!$I$121=TRUE,IF($C$11&gt;0,0.00025*N99,0),IF('prijem_zahranicie - viac-dom'!$I$122=TRUE,IF('prijem_zahranicie - viac-dom'!$F$122&gt;0,0.00025*N99*-1,0),0))</f>
        <v>0</v>
      </c>
    </row>
    <row r="101" spans="1:18" x14ac:dyDescent="0.2">
      <c r="A101" s="89">
        <v>85</v>
      </c>
      <c r="B101" s="186" t="e">
        <f t="shared" si="11"/>
        <v>#NUM!</v>
      </c>
      <c r="C101" s="171" t="e">
        <f t="shared" si="12"/>
        <v>#NUM!</v>
      </c>
      <c r="D101" s="171" t="e">
        <f t="shared" si="13"/>
        <v>#NUM!</v>
      </c>
      <c r="E101" s="171" t="e">
        <f t="shared" si="14"/>
        <v>#NUM!</v>
      </c>
      <c r="F101" s="171" t="e">
        <f t="shared" si="15"/>
        <v>#NUM!</v>
      </c>
      <c r="G101" s="186">
        <f>IF('prijem_zahranicie - viac-dom'!$I$121=TRUE,IF($C$11&gt;0,0.00025*C100,0),IF('prijem_zahranicie - viac-dom'!$I$122=TRUE,IF('prijem_zahranicie - viac-dom'!$F$122&gt;0,0.00025*C100,0),0))</f>
        <v>0</v>
      </c>
      <c r="L101" s="89">
        <v>85</v>
      </c>
      <c r="M101" s="186" t="e">
        <f t="shared" si="16"/>
        <v>#DIV/0!</v>
      </c>
      <c r="N101" s="171" t="e">
        <f t="shared" si="17"/>
        <v>#DIV/0!</v>
      </c>
      <c r="O101" s="171" t="e">
        <f t="shared" si="10"/>
        <v>#DIV/0!</v>
      </c>
      <c r="P101" s="171" t="e">
        <f t="shared" si="18"/>
        <v>#DIV/0!</v>
      </c>
      <c r="Q101" s="171" t="e">
        <f t="shared" si="19"/>
        <v>#DIV/0!</v>
      </c>
      <c r="R101" s="186">
        <f>IF('prijem_zahranicie - viac-dom'!$I$121=TRUE,IF($C$11&gt;0,0.00025*N100,0),IF('prijem_zahranicie - viac-dom'!$I$122=TRUE,IF('prijem_zahranicie - viac-dom'!$F$122&gt;0,0.00025*N100*-1,0),0))</f>
        <v>0</v>
      </c>
    </row>
    <row r="102" spans="1:18" x14ac:dyDescent="0.2">
      <c r="A102" s="89">
        <v>86</v>
      </c>
      <c r="B102" s="186" t="e">
        <f t="shared" si="11"/>
        <v>#NUM!</v>
      </c>
      <c r="C102" s="171" t="e">
        <f t="shared" si="12"/>
        <v>#NUM!</v>
      </c>
      <c r="D102" s="171" t="e">
        <f t="shared" si="13"/>
        <v>#NUM!</v>
      </c>
      <c r="E102" s="171" t="e">
        <f t="shared" si="14"/>
        <v>#NUM!</v>
      </c>
      <c r="F102" s="171" t="e">
        <f t="shared" si="15"/>
        <v>#NUM!</v>
      </c>
      <c r="G102" s="186">
        <f>IF('prijem_zahranicie - viac-dom'!$I$121=TRUE,IF($C$11&gt;0,0.00025*C101,0),IF('prijem_zahranicie - viac-dom'!$I$122=TRUE,IF('prijem_zahranicie - viac-dom'!$F$122&gt;0,0.00025*C101,0),0))</f>
        <v>0</v>
      </c>
      <c r="L102" s="89">
        <v>86</v>
      </c>
      <c r="M102" s="186" t="e">
        <f t="shared" si="16"/>
        <v>#DIV/0!</v>
      </c>
      <c r="N102" s="171" t="e">
        <f t="shared" si="17"/>
        <v>#DIV/0!</v>
      </c>
      <c r="O102" s="171" t="e">
        <f t="shared" si="10"/>
        <v>#DIV/0!</v>
      </c>
      <c r="P102" s="171" t="e">
        <f t="shared" si="18"/>
        <v>#DIV/0!</v>
      </c>
      <c r="Q102" s="171" t="e">
        <f t="shared" si="19"/>
        <v>#DIV/0!</v>
      </c>
      <c r="R102" s="186">
        <f>IF('prijem_zahranicie - viac-dom'!$I$121=TRUE,IF($C$11&gt;0,0.00025*N101,0),IF('prijem_zahranicie - viac-dom'!$I$122=TRUE,IF('prijem_zahranicie - viac-dom'!$F$122&gt;0,0.00025*N101*-1,0),0))</f>
        <v>0</v>
      </c>
    </row>
    <row r="103" spans="1:18" x14ac:dyDescent="0.2">
      <c r="A103" s="89">
        <v>87</v>
      </c>
      <c r="B103" s="186" t="e">
        <f t="shared" si="11"/>
        <v>#NUM!</v>
      </c>
      <c r="C103" s="171" t="e">
        <f t="shared" si="12"/>
        <v>#NUM!</v>
      </c>
      <c r="D103" s="171" t="e">
        <f t="shared" si="13"/>
        <v>#NUM!</v>
      </c>
      <c r="E103" s="171" t="e">
        <f t="shared" si="14"/>
        <v>#NUM!</v>
      </c>
      <c r="F103" s="171" t="e">
        <f t="shared" si="15"/>
        <v>#NUM!</v>
      </c>
      <c r="G103" s="186">
        <f>IF('prijem_zahranicie - viac-dom'!$I$121=TRUE,IF($C$11&gt;0,0.00025*C102,0),IF('prijem_zahranicie - viac-dom'!$I$122=TRUE,IF('prijem_zahranicie - viac-dom'!$F$122&gt;0,0.00025*C102,0),0))</f>
        <v>0</v>
      </c>
      <c r="L103" s="89">
        <v>87</v>
      </c>
      <c r="M103" s="186" t="e">
        <f t="shared" si="16"/>
        <v>#DIV/0!</v>
      </c>
      <c r="N103" s="171" t="e">
        <f t="shared" si="17"/>
        <v>#DIV/0!</v>
      </c>
      <c r="O103" s="171" t="e">
        <f t="shared" si="10"/>
        <v>#DIV/0!</v>
      </c>
      <c r="P103" s="171" t="e">
        <f t="shared" si="18"/>
        <v>#DIV/0!</v>
      </c>
      <c r="Q103" s="171" t="e">
        <f t="shared" si="19"/>
        <v>#DIV/0!</v>
      </c>
      <c r="R103" s="186">
        <f>IF('prijem_zahranicie - viac-dom'!$I$121=TRUE,IF($C$11&gt;0,0.00025*N102,0),IF('prijem_zahranicie - viac-dom'!$I$122=TRUE,IF('prijem_zahranicie - viac-dom'!$F$122&gt;0,0.00025*N102*-1,0),0))</f>
        <v>0</v>
      </c>
    </row>
    <row r="104" spans="1:18" x14ac:dyDescent="0.2">
      <c r="A104" s="89">
        <v>88</v>
      </c>
      <c r="B104" s="186" t="e">
        <f t="shared" si="11"/>
        <v>#NUM!</v>
      </c>
      <c r="C104" s="171" t="e">
        <f t="shared" si="12"/>
        <v>#NUM!</v>
      </c>
      <c r="D104" s="171" t="e">
        <f t="shared" si="13"/>
        <v>#NUM!</v>
      </c>
      <c r="E104" s="171" t="e">
        <f t="shared" si="14"/>
        <v>#NUM!</v>
      </c>
      <c r="F104" s="171" t="e">
        <f t="shared" si="15"/>
        <v>#NUM!</v>
      </c>
      <c r="G104" s="186">
        <f>IF('prijem_zahranicie - viac-dom'!$I$121=TRUE,IF($C$11&gt;0,0.00025*C103,0),IF('prijem_zahranicie - viac-dom'!$I$122=TRUE,IF('prijem_zahranicie - viac-dom'!$F$122&gt;0,0.00025*C103,0),0))</f>
        <v>0</v>
      </c>
      <c r="L104" s="89">
        <v>88</v>
      </c>
      <c r="M104" s="186" t="e">
        <f t="shared" si="16"/>
        <v>#DIV/0!</v>
      </c>
      <c r="N104" s="171" t="e">
        <f t="shared" si="17"/>
        <v>#DIV/0!</v>
      </c>
      <c r="O104" s="171" t="e">
        <f t="shared" si="10"/>
        <v>#DIV/0!</v>
      </c>
      <c r="P104" s="171" t="e">
        <f t="shared" si="18"/>
        <v>#DIV/0!</v>
      </c>
      <c r="Q104" s="171" t="e">
        <f t="shared" si="19"/>
        <v>#DIV/0!</v>
      </c>
      <c r="R104" s="186">
        <f>IF('prijem_zahranicie - viac-dom'!$I$121=TRUE,IF($C$11&gt;0,0.00025*N103,0),IF('prijem_zahranicie - viac-dom'!$I$122=TRUE,IF('prijem_zahranicie - viac-dom'!$F$122&gt;0,0.00025*N103*-1,0),0))</f>
        <v>0</v>
      </c>
    </row>
    <row r="105" spans="1:18" x14ac:dyDescent="0.2">
      <c r="A105" s="89">
        <v>89</v>
      </c>
      <c r="B105" s="186" t="e">
        <f t="shared" si="11"/>
        <v>#NUM!</v>
      </c>
      <c r="C105" s="171" t="e">
        <f t="shared" si="12"/>
        <v>#NUM!</v>
      </c>
      <c r="D105" s="171" t="e">
        <f t="shared" si="13"/>
        <v>#NUM!</v>
      </c>
      <c r="E105" s="171" t="e">
        <f t="shared" si="14"/>
        <v>#NUM!</v>
      </c>
      <c r="F105" s="171" t="e">
        <f t="shared" si="15"/>
        <v>#NUM!</v>
      </c>
      <c r="G105" s="186">
        <f>IF('prijem_zahranicie - viac-dom'!$I$121=TRUE,IF($C$11&gt;0,0.00025*C104,0),IF('prijem_zahranicie - viac-dom'!$I$122=TRUE,IF('prijem_zahranicie - viac-dom'!$F$122&gt;0,0.00025*C104,0),0))</f>
        <v>0</v>
      </c>
      <c r="L105" s="89">
        <v>89</v>
      </c>
      <c r="M105" s="186" t="e">
        <f t="shared" si="16"/>
        <v>#DIV/0!</v>
      </c>
      <c r="N105" s="171" t="e">
        <f t="shared" si="17"/>
        <v>#DIV/0!</v>
      </c>
      <c r="O105" s="171" t="e">
        <f t="shared" si="10"/>
        <v>#DIV/0!</v>
      </c>
      <c r="P105" s="171" t="e">
        <f t="shared" si="18"/>
        <v>#DIV/0!</v>
      </c>
      <c r="Q105" s="171" t="e">
        <f t="shared" si="19"/>
        <v>#DIV/0!</v>
      </c>
      <c r="R105" s="186">
        <f>IF('prijem_zahranicie - viac-dom'!$I$121=TRUE,IF($C$11&gt;0,0.00025*N104,0),IF('prijem_zahranicie - viac-dom'!$I$122=TRUE,IF('prijem_zahranicie - viac-dom'!$F$122&gt;0,0.00025*N104*-1,0),0))</f>
        <v>0</v>
      </c>
    </row>
    <row r="106" spans="1:18" x14ac:dyDescent="0.2">
      <c r="A106" s="89">
        <v>90</v>
      </c>
      <c r="B106" s="186" t="e">
        <f t="shared" si="11"/>
        <v>#NUM!</v>
      </c>
      <c r="C106" s="171" t="e">
        <f t="shared" si="12"/>
        <v>#NUM!</v>
      </c>
      <c r="D106" s="171" t="e">
        <f t="shared" si="13"/>
        <v>#NUM!</v>
      </c>
      <c r="E106" s="171" t="e">
        <f t="shared" si="14"/>
        <v>#NUM!</v>
      </c>
      <c r="F106" s="171" t="e">
        <f t="shared" si="15"/>
        <v>#NUM!</v>
      </c>
      <c r="G106" s="186">
        <f>IF('prijem_zahranicie - viac-dom'!$I$121=TRUE,IF($C$11&gt;0,0.00025*C105,0),IF('prijem_zahranicie - viac-dom'!$I$122=TRUE,IF('prijem_zahranicie - viac-dom'!$F$122&gt;0,0.00025*C105,0),0))</f>
        <v>0</v>
      </c>
      <c r="L106" s="89">
        <v>90</v>
      </c>
      <c r="M106" s="186" t="e">
        <f t="shared" si="16"/>
        <v>#DIV/0!</v>
      </c>
      <c r="N106" s="171" t="e">
        <f t="shared" si="17"/>
        <v>#DIV/0!</v>
      </c>
      <c r="O106" s="171" t="e">
        <f t="shared" si="10"/>
        <v>#DIV/0!</v>
      </c>
      <c r="P106" s="171" t="e">
        <f t="shared" si="18"/>
        <v>#DIV/0!</v>
      </c>
      <c r="Q106" s="171" t="e">
        <f t="shared" si="19"/>
        <v>#DIV/0!</v>
      </c>
      <c r="R106" s="186">
        <f>IF('prijem_zahranicie - viac-dom'!$I$121=TRUE,IF($C$11&gt;0,0.00025*N105,0),IF('prijem_zahranicie - viac-dom'!$I$122=TRUE,IF('prijem_zahranicie - viac-dom'!$F$122&gt;0,0.00025*N105*-1,0),0))</f>
        <v>0</v>
      </c>
    </row>
    <row r="107" spans="1:18" x14ac:dyDescent="0.2">
      <c r="A107" s="89">
        <v>91</v>
      </c>
      <c r="B107" s="186" t="e">
        <f t="shared" si="11"/>
        <v>#NUM!</v>
      </c>
      <c r="C107" s="171" t="e">
        <f t="shared" si="12"/>
        <v>#NUM!</v>
      </c>
      <c r="D107" s="171" t="e">
        <f t="shared" si="13"/>
        <v>#NUM!</v>
      </c>
      <c r="E107" s="171" t="e">
        <f t="shared" si="14"/>
        <v>#NUM!</v>
      </c>
      <c r="F107" s="171" t="e">
        <f t="shared" si="15"/>
        <v>#NUM!</v>
      </c>
      <c r="G107" s="186">
        <f>IF('prijem_zahranicie - viac-dom'!$I$121=TRUE,IF($C$11&gt;0,0.00025*C106,0),IF('prijem_zahranicie - viac-dom'!$I$122=TRUE,IF('prijem_zahranicie - viac-dom'!$F$122&gt;0,0.00025*C106,0),0))</f>
        <v>0</v>
      </c>
      <c r="L107" s="89">
        <v>91</v>
      </c>
      <c r="M107" s="186" t="e">
        <f t="shared" si="16"/>
        <v>#DIV/0!</v>
      </c>
      <c r="N107" s="171" t="e">
        <f t="shared" si="17"/>
        <v>#DIV/0!</v>
      </c>
      <c r="O107" s="171" t="e">
        <f t="shared" si="10"/>
        <v>#DIV/0!</v>
      </c>
      <c r="P107" s="171" t="e">
        <f t="shared" si="18"/>
        <v>#DIV/0!</v>
      </c>
      <c r="Q107" s="171" t="e">
        <f t="shared" si="19"/>
        <v>#DIV/0!</v>
      </c>
      <c r="R107" s="186">
        <f>IF('prijem_zahranicie - viac-dom'!$I$121=TRUE,IF($C$11&gt;0,0.00025*N106,0),IF('prijem_zahranicie - viac-dom'!$I$122=TRUE,IF('prijem_zahranicie - viac-dom'!$F$122&gt;0,0.00025*N106*-1,0),0))</f>
        <v>0</v>
      </c>
    </row>
    <row r="108" spans="1:18" x14ac:dyDescent="0.2">
      <c r="A108" s="89">
        <v>92</v>
      </c>
      <c r="B108" s="186" t="e">
        <f t="shared" si="11"/>
        <v>#NUM!</v>
      </c>
      <c r="C108" s="171" t="e">
        <f t="shared" si="12"/>
        <v>#NUM!</v>
      </c>
      <c r="D108" s="171" t="e">
        <f t="shared" si="13"/>
        <v>#NUM!</v>
      </c>
      <c r="E108" s="171" t="e">
        <f t="shared" si="14"/>
        <v>#NUM!</v>
      </c>
      <c r="F108" s="171" t="e">
        <f t="shared" si="15"/>
        <v>#NUM!</v>
      </c>
      <c r="G108" s="186">
        <f>IF('prijem_zahranicie - viac-dom'!$I$121=TRUE,IF($C$11&gt;0,0.00025*C107,0),IF('prijem_zahranicie - viac-dom'!$I$122=TRUE,IF('prijem_zahranicie - viac-dom'!$F$122&gt;0,0.00025*C107,0),0))</f>
        <v>0</v>
      </c>
      <c r="L108" s="89">
        <v>92</v>
      </c>
      <c r="M108" s="186" t="e">
        <f t="shared" si="16"/>
        <v>#DIV/0!</v>
      </c>
      <c r="N108" s="171" t="e">
        <f t="shared" si="17"/>
        <v>#DIV/0!</v>
      </c>
      <c r="O108" s="171" t="e">
        <f t="shared" si="10"/>
        <v>#DIV/0!</v>
      </c>
      <c r="P108" s="171" t="e">
        <f t="shared" si="18"/>
        <v>#DIV/0!</v>
      </c>
      <c r="Q108" s="171" t="e">
        <f t="shared" si="19"/>
        <v>#DIV/0!</v>
      </c>
      <c r="R108" s="186">
        <f>IF('prijem_zahranicie - viac-dom'!$I$121=TRUE,IF($C$11&gt;0,0.00025*N107,0),IF('prijem_zahranicie - viac-dom'!$I$122=TRUE,IF('prijem_zahranicie - viac-dom'!$F$122&gt;0,0.00025*N107*-1,0),0))</f>
        <v>0</v>
      </c>
    </row>
    <row r="109" spans="1:18" x14ac:dyDescent="0.2">
      <c r="A109" s="89">
        <v>93</v>
      </c>
      <c r="B109" s="186" t="e">
        <f t="shared" si="11"/>
        <v>#NUM!</v>
      </c>
      <c r="C109" s="171" t="e">
        <f t="shared" si="12"/>
        <v>#NUM!</v>
      </c>
      <c r="D109" s="171" t="e">
        <f t="shared" si="13"/>
        <v>#NUM!</v>
      </c>
      <c r="E109" s="171" t="e">
        <f t="shared" si="14"/>
        <v>#NUM!</v>
      </c>
      <c r="F109" s="171" t="e">
        <f t="shared" si="15"/>
        <v>#NUM!</v>
      </c>
      <c r="G109" s="186">
        <f>IF('prijem_zahranicie - viac-dom'!$I$121=TRUE,IF($C$11&gt;0,0.00025*C108,0),IF('prijem_zahranicie - viac-dom'!$I$122=TRUE,IF('prijem_zahranicie - viac-dom'!$F$122&gt;0,0.00025*C108,0),0))</f>
        <v>0</v>
      </c>
      <c r="L109" s="89">
        <v>93</v>
      </c>
      <c r="M109" s="186" t="e">
        <f t="shared" si="16"/>
        <v>#DIV/0!</v>
      </c>
      <c r="N109" s="171" t="e">
        <f t="shared" si="17"/>
        <v>#DIV/0!</v>
      </c>
      <c r="O109" s="171" t="e">
        <f t="shared" si="10"/>
        <v>#DIV/0!</v>
      </c>
      <c r="P109" s="171" t="e">
        <f t="shared" si="18"/>
        <v>#DIV/0!</v>
      </c>
      <c r="Q109" s="171" t="e">
        <f t="shared" si="19"/>
        <v>#DIV/0!</v>
      </c>
      <c r="R109" s="186">
        <f>IF('prijem_zahranicie - viac-dom'!$I$121=TRUE,IF($C$11&gt;0,0.00025*N108,0),IF('prijem_zahranicie - viac-dom'!$I$122=TRUE,IF('prijem_zahranicie - viac-dom'!$F$122&gt;0,0.00025*N108*-1,0),0))</f>
        <v>0</v>
      </c>
    </row>
    <row r="110" spans="1:18" x14ac:dyDescent="0.2">
      <c r="A110" s="89">
        <v>94</v>
      </c>
      <c r="B110" s="186" t="e">
        <f t="shared" si="11"/>
        <v>#NUM!</v>
      </c>
      <c r="C110" s="171" t="e">
        <f t="shared" si="12"/>
        <v>#NUM!</v>
      </c>
      <c r="D110" s="171" t="e">
        <f t="shared" si="13"/>
        <v>#NUM!</v>
      </c>
      <c r="E110" s="171" t="e">
        <f t="shared" si="14"/>
        <v>#NUM!</v>
      </c>
      <c r="F110" s="171" t="e">
        <f t="shared" si="15"/>
        <v>#NUM!</v>
      </c>
      <c r="G110" s="186">
        <f>IF('prijem_zahranicie - viac-dom'!$I$121=TRUE,IF($C$11&gt;0,0.00025*C109,0),IF('prijem_zahranicie - viac-dom'!$I$122=TRUE,IF('prijem_zahranicie - viac-dom'!$F$122&gt;0,0.00025*C109,0),0))</f>
        <v>0</v>
      </c>
      <c r="L110" s="89">
        <v>94</v>
      </c>
      <c r="M110" s="186" t="e">
        <f t="shared" si="16"/>
        <v>#DIV/0!</v>
      </c>
      <c r="N110" s="171" t="e">
        <f t="shared" si="17"/>
        <v>#DIV/0!</v>
      </c>
      <c r="O110" s="171" t="e">
        <f t="shared" si="10"/>
        <v>#DIV/0!</v>
      </c>
      <c r="P110" s="171" t="e">
        <f t="shared" si="18"/>
        <v>#DIV/0!</v>
      </c>
      <c r="Q110" s="171" t="e">
        <f t="shared" si="19"/>
        <v>#DIV/0!</v>
      </c>
      <c r="R110" s="186">
        <f>IF('prijem_zahranicie - viac-dom'!$I$121=TRUE,IF($C$11&gt;0,0.00025*N109,0),IF('prijem_zahranicie - viac-dom'!$I$122=TRUE,IF('prijem_zahranicie - viac-dom'!$F$122&gt;0,0.00025*N109*-1,0),0))</f>
        <v>0</v>
      </c>
    </row>
    <row r="111" spans="1:18" x14ac:dyDescent="0.2">
      <c r="A111" s="89">
        <v>95</v>
      </c>
      <c r="B111" s="186" t="e">
        <f t="shared" si="11"/>
        <v>#NUM!</v>
      </c>
      <c r="C111" s="171" t="e">
        <f t="shared" si="12"/>
        <v>#NUM!</v>
      </c>
      <c r="D111" s="171" t="e">
        <f t="shared" si="13"/>
        <v>#NUM!</v>
      </c>
      <c r="E111" s="171" t="e">
        <f t="shared" si="14"/>
        <v>#NUM!</v>
      </c>
      <c r="F111" s="171" t="e">
        <f t="shared" si="15"/>
        <v>#NUM!</v>
      </c>
      <c r="G111" s="186">
        <f>IF('prijem_zahranicie - viac-dom'!$I$121=TRUE,IF($C$11&gt;0,0.00025*C110,0),IF('prijem_zahranicie - viac-dom'!$I$122=TRUE,IF('prijem_zahranicie - viac-dom'!$F$122&gt;0,0.00025*C110,0),0))</f>
        <v>0</v>
      </c>
      <c r="L111" s="89">
        <v>95</v>
      </c>
      <c r="M111" s="186" t="e">
        <f t="shared" si="16"/>
        <v>#DIV/0!</v>
      </c>
      <c r="N111" s="171" t="e">
        <f t="shared" si="17"/>
        <v>#DIV/0!</v>
      </c>
      <c r="O111" s="171" t="e">
        <f t="shared" si="10"/>
        <v>#DIV/0!</v>
      </c>
      <c r="P111" s="171" t="e">
        <f t="shared" si="18"/>
        <v>#DIV/0!</v>
      </c>
      <c r="Q111" s="171" t="e">
        <f t="shared" si="19"/>
        <v>#DIV/0!</v>
      </c>
      <c r="R111" s="186">
        <f>IF('prijem_zahranicie - viac-dom'!$I$121=TRUE,IF($C$11&gt;0,0.00025*N110,0),IF('prijem_zahranicie - viac-dom'!$I$122=TRUE,IF('prijem_zahranicie - viac-dom'!$F$122&gt;0,0.00025*N110*-1,0),0))</f>
        <v>0</v>
      </c>
    </row>
    <row r="112" spans="1:18" x14ac:dyDescent="0.2">
      <c r="A112" s="89">
        <v>96</v>
      </c>
      <c r="B112" s="186" t="e">
        <f t="shared" si="11"/>
        <v>#NUM!</v>
      </c>
      <c r="C112" s="171" t="e">
        <f t="shared" si="12"/>
        <v>#NUM!</v>
      </c>
      <c r="D112" s="171" t="e">
        <f t="shared" si="13"/>
        <v>#NUM!</v>
      </c>
      <c r="E112" s="171" t="e">
        <f t="shared" si="14"/>
        <v>#NUM!</v>
      </c>
      <c r="F112" s="171" t="e">
        <f t="shared" si="15"/>
        <v>#NUM!</v>
      </c>
      <c r="G112" s="186">
        <f>IF('prijem_zahranicie - viac-dom'!$I$121=TRUE,IF($C$11&gt;0,0.00025*C111,0),IF('prijem_zahranicie - viac-dom'!$I$122=TRUE,IF('prijem_zahranicie - viac-dom'!$F$122&gt;0,0.00025*C111,0),0))</f>
        <v>0</v>
      </c>
      <c r="L112" s="89">
        <v>96</v>
      </c>
      <c r="M112" s="186" t="e">
        <f t="shared" si="16"/>
        <v>#DIV/0!</v>
      </c>
      <c r="N112" s="171" t="e">
        <f t="shared" si="17"/>
        <v>#DIV/0!</v>
      </c>
      <c r="O112" s="171" t="e">
        <f t="shared" si="10"/>
        <v>#DIV/0!</v>
      </c>
      <c r="P112" s="171" t="e">
        <f t="shared" si="18"/>
        <v>#DIV/0!</v>
      </c>
      <c r="Q112" s="171" t="e">
        <f t="shared" si="19"/>
        <v>#DIV/0!</v>
      </c>
      <c r="R112" s="186">
        <f>IF('prijem_zahranicie - viac-dom'!$I$121=TRUE,IF($C$11&gt;0,0.00025*N111,0),IF('prijem_zahranicie - viac-dom'!$I$122=TRUE,IF('prijem_zahranicie - viac-dom'!$F$122&gt;0,0.00025*N111*-1,0),0))</f>
        <v>0</v>
      </c>
    </row>
    <row r="113" spans="1:18" x14ac:dyDescent="0.2">
      <c r="A113" s="89">
        <v>97</v>
      </c>
      <c r="B113" s="186" t="e">
        <f t="shared" si="11"/>
        <v>#NUM!</v>
      </c>
      <c r="C113" s="171" t="e">
        <f t="shared" si="12"/>
        <v>#NUM!</v>
      </c>
      <c r="D113" s="171" t="e">
        <f t="shared" si="13"/>
        <v>#NUM!</v>
      </c>
      <c r="E113" s="171" t="e">
        <f t="shared" si="14"/>
        <v>#NUM!</v>
      </c>
      <c r="F113" s="171" t="e">
        <f t="shared" si="15"/>
        <v>#NUM!</v>
      </c>
      <c r="G113" s="186">
        <f>IF('prijem_zahranicie - viac-dom'!$I$121=TRUE,IF($C$11&gt;0,0.00025*C112,0),IF('prijem_zahranicie - viac-dom'!$I$122=TRUE,IF('prijem_zahranicie - viac-dom'!$F$122&gt;0,0.00025*C112,0),0))</f>
        <v>0</v>
      </c>
      <c r="L113" s="89">
        <v>97</v>
      </c>
      <c r="M113" s="186" t="e">
        <f t="shared" si="16"/>
        <v>#DIV/0!</v>
      </c>
      <c r="N113" s="171" t="e">
        <f t="shared" si="17"/>
        <v>#DIV/0!</v>
      </c>
      <c r="O113" s="171" t="e">
        <f t="shared" si="10"/>
        <v>#DIV/0!</v>
      </c>
      <c r="P113" s="171" t="e">
        <f t="shared" si="18"/>
        <v>#DIV/0!</v>
      </c>
      <c r="Q113" s="171" t="e">
        <f t="shared" si="19"/>
        <v>#DIV/0!</v>
      </c>
      <c r="R113" s="186">
        <f>IF('prijem_zahranicie - viac-dom'!$I$121=TRUE,IF($C$11&gt;0,0.00025*N112,0),IF('prijem_zahranicie - viac-dom'!$I$122=TRUE,IF('prijem_zahranicie - viac-dom'!$F$122&gt;0,0.00025*N112*-1,0),0))</f>
        <v>0</v>
      </c>
    </row>
    <row r="114" spans="1:18" x14ac:dyDescent="0.2">
      <c r="A114" s="89">
        <v>98</v>
      </c>
      <c r="B114" s="186" t="e">
        <f t="shared" si="11"/>
        <v>#NUM!</v>
      </c>
      <c r="C114" s="171" t="e">
        <f t="shared" si="12"/>
        <v>#NUM!</v>
      </c>
      <c r="D114" s="171" t="e">
        <f t="shared" si="13"/>
        <v>#NUM!</v>
      </c>
      <c r="E114" s="171" t="e">
        <f t="shared" si="14"/>
        <v>#NUM!</v>
      </c>
      <c r="F114" s="171" t="e">
        <f t="shared" si="15"/>
        <v>#NUM!</v>
      </c>
      <c r="G114" s="186">
        <f>IF('prijem_zahranicie - viac-dom'!$I$121=TRUE,IF($C$11&gt;0,0.00025*C113,0),IF('prijem_zahranicie - viac-dom'!$I$122=TRUE,IF('prijem_zahranicie - viac-dom'!$F$122&gt;0,0.00025*C113,0),0))</f>
        <v>0</v>
      </c>
      <c r="L114" s="89">
        <v>98</v>
      </c>
      <c r="M114" s="186" t="e">
        <f t="shared" si="16"/>
        <v>#DIV/0!</v>
      </c>
      <c r="N114" s="171" t="e">
        <f t="shared" si="17"/>
        <v>#DIV/0!</v>
      </c>
      <c r="O114" s="171" t="e">
        <f t="shared" si="10"/>
        <v>#DIV/0!</v>
      </c>
      <c r="P114" s="171" t="e">
        <f t="shared" si="18"/>
        <v>#DIV/0!</v>
      </c>
      <c r="Q114" s="171" t="e">
        <f t="shared" si="19"/>
        <v>#DIV/0!</v>
      </c>
      <c r="R114" s="186">
        <f>IF('prijem_zahranicie - viac-dom'!$I$121=TRUE,IF($C$11&gt;0,0.00025*N113,0),IF('prijem_zahranicie - viac-dom'!$I$122=TRUE,IF('prijem_zahranicie - viac-dom'!$F$122&gt;0,0.00025*N113*-1,0),0))</f>
        <v>0</v>
      </c>
    </row>
    <row r="115" spans="1:18" x14ac:dyDescent="0.2">
      <c r="A115" s="89">
        <v>99</v>
      </c>
      <c r="B115" s="186" t="e">
        <f t="shared" si="11"/>
        <v>#NUM!</v>
      </c>
      <c r="C115" s="171" t="e">
        <f t="shared" si="12"/>
        <v>#NUM!</v>
      </c>
      <c r="D115" s="171" t="e">
        <f t="shared" si="13"/>
        <v>#NUM!</v>
      </c>
      <c r="E115" s="171" t="e">
        <f t="shared" si="14"/>
        <v>#NUM!</v>
      </c>
      <c r="F115" s="171" t="e">
        <f t="shared" si="15"/>
        <v>#NUM!</v>
      </c>
      <c r="G115" s="186">
        <f>IF('prijem_zahranicie - viac-dom'!$I$121=TRUE,IF($C$11&gt;0,0.00025*C114,0),IF('prijem_zahranicie - viac-dom'!$I$122=TRUE,IF('prijem_zahranicie - viac-dom'!$F$122&gt;0,0.00025*C114,0),0))</f>
        <v>0</v>
      </c>
      <c r="L115" s="89">
        <v>99</v>
      </c>
      <c r="M115" s="186" t="e">
        <f t="shared" si="16"/>
        <v>#DIV/0!</v>
      </c>
      <c r="N115" s="171" t="e">
        <f t="shared" si="17"/>
        <v>#DIV/0!</v>
      </c>
      <c r="O115" s="171" t="e">
        <f t="shared" si="10"/>
        <v>#DIV/0!</v>
      </c>
      <c r="P115" s="171" t="e">
        <f t="shared" si="18"/>
        <v>#DIV/0!</v>
      </c>
      <c r="Q115" s="171" t="e">
        <f t="shared" si="19"/>
        <v>#DIV/0!</v>
      </c>
      <c r="R115" s="186">
        <f>IF('prijem_zahranicie - viac-dom'!$I$121=TRUE,IF($C$11&gt;0,0.00025*N114,0),IF('prijem_zahranicie - viac-dom'!$I$122=TRUE,IF('prijem_zahranicie - viac-dom'!$F$122&gt;0,0.00025*N114*-1,0),0))</f>
        <v>0</v>
      </c>
    </row>
    <row r="116" spans="1:18" x14ac:dyDescent="0.2">
      <c r="A116" s="89">
        <v>100</v>
      </c>
      <c r="B116" s="186" t="e">
        <f t="shared" si="11"/>
        <v>#NUM!</v>
      </c>
      <c r="C116" s="171" t="e">
        <f t="shared" si="12"/>
        <v>#NUM!</v>
      </c>
      <c r="D116" s="171" t="e">
        <f t="shared" si="13"/>
        <v>#NUM!</v>
      </c>
      <c r="E116" s="171" t="e">
        <f t="shared" si="14"/>
        <v>#NUM!</v>
      </c>
      <c r="F116" s="171" t="e">
        <f t="shared" si="15"/>
        <v>#NUM!</v>
      </c>
      <c r="G116" s="186">
        <f>IF('prijem_zahranicie - viac-dom'!$I$121=TRUE,IF($C$11&gt;0,0.00025*C115,0),IF('prijem_zahranicie - viac-dom'!$I$122=TRUE,IF('prijem_zahranicie - viac-dom'!$F$122&gt;0,0.00025*C115,0),0))</f>
        <v>0</v>
      </c>
      <c r="L116" s="89">
        <v>100</v>
      </c>
      <c r="M116" s="186" t="e">
        <f t="shared" si="16"/>
        <v>#DIV/0!</v>
      </c>
      <c r="N116" s="171" t="e">
        <f t="shared" si="17"/>
        <v>#DIV/0!</v>
      </c>
      <c r="O116" s="171" t="e">
        <f t="shared" si="10"/>
        <v>#DIV/0!</v>
      </c>
      <c r="P116" s="171" t="e">
        <f t="shared" si="18"/>
        <v>#DIV/0!</v>
      </c>
      <c r="Q116" s="171" t="e">
        <f t="shared" si="19"/>
        <v>#DIV/0!</v>
      </c>
      <c r="R116" s="186">
        <f>IF('prijem_zahranicie - viac-dom'!$I$121=TRUE,IF($C$11&gt;0,0.00025*N115,0),IF('prijem_zahranicie - viac-dom'!$I$122=TRUE,IF('prijem_zahranicie - viac-dom'!$F$122&gt;0,0.00025*N115*-1,0),0))</f>
        <v>0</v>
      </c>
    </row>
    <row r="117" spans="1:18" x14ac:dyDescent="0.2">
      <c r="A117" s="89">
        <v>101</v>
      </c>
      <c r="B117" s="186" t="e">
        <f t="shared" si="11"/>
        <v>#NUM!</v>
      </c>
      <c r="C117" s="171" t="e">
        <f t="shared" si="12"/>
        <v>#NUM!</v>
      </c>
      <c r="D117" s="171" t="e">
        <f t="shared" si="13"/>
        <v>#NUM!</v>
      </c>
      <c r="E117" s="171" t="e">
        <f t="shared" si="14"/>
        <v>#NUM!</v>
      </c>
      <c r="F117" s="171" t="e">
        <f t="shared" si="15"/>
        <v>#NUM!</v>
      </c>
      <c r="G117" s="186">
        <f>IF('prijem_zahranicie - viac-dom'!$I$121=TRUE,IF($C$11&gt;0,0.00025*C116,0),IF('prijem_zahranicie - viac-dom'!$I$122=TRUE,IF('prijem_zahranicie - viac-dom'!$F$122&gt;0,0.00025*C116,0),0))</f>
        <v>0</v>
      </c>
      <c r="L117" s="89">
        <v>101</v>
      </c>
      <c r="M117" s="186" t="e">
        <f t="shared" si="16"/>
        <v>#DIV/0!</v>
      </c>
      <c r="N117" s="171" t="e">
        <f t="shared" si="17"/>
        <v>#DIV/0!</v>
      </c>
      <c r="O117" s="171" t="e">
        <f t="shared" si="10"/>
        <v>#DIV/0!</v>
      </c>
      <c r="P117" s="171" t="e">
        <f t="shared" si="18"/>
        <v>#DIV/0!</v>
      </c>
      <c r="Q117" s="171" t="e">
        <f t="shared" si="19"/>
        <v>#DIV/0!</v>
      </c>
      <c r="R117" s="186">
        <f>IF('prijem_zahranicie - viac-dom'!$I$121=TRUE,IF($C$11&gt;0,0.00025*N116,0),IF('prijem_zahranicie - viac-dom'!$I$122=TRUE,IF('prijem_zahranicie - viac-dom'!$F$122&gt;0,0.00025*N116*-1,0),0))</f>
        <v>0</v>
      </c>
    </row>
    <row r="118" spans="1:18" x14ac:dyDescent="0.2">
      <c r="A118" s="89">
        <v>102</v>
      </c>
      <c r="B118" s="186" t="e">
        <f t="shared" si="11"/>
        <v>#NUM!</v>
      </c>
      <c r="C118" s="171" t="e">
        <f t="shared" si="12"/>
        <v>#NUM!</v>
      </c>
      <c r="D118" s="171" t="e">
        <f t="shared" si="13"/>
        <v>#NUM!</v>
      </c>
      <c r="E118" s="171" t="e">
        <f t="shared" si="14"/>
        <v>#NUM!</v>
      </c>
      <c r="F118" s="171" t="e">
        <f t="shared" si="15"/>
        <v>#NUM!</v>
      </c>
      <c r="G118" s="186">
        <f>IF('prijem_zahranicie - viac-dom'!$I$121=TRUE,IF($C$11&gt;0,0.00025*C117,0),IF('prijem_zahranicie - viac-dom'!$I$122=TRUE,IF('prijem_zahranicie - viac-dom'!$F$122&gt;0,0.00025*C117,0),0))</f>
        <v>0</v>
      </c>
      <c r="L118" s="89">
        <v>102</v>
      </c>
      <c r="M118" s="186" t="e">
        <f t="shared" si="16"/>
        <v>#DIV/0!</v>
      </c>
      <c r="N118" s="171" t="e">
        <f t="shared" si="17"/>
        <v>#DIV/0!</v>
      </c>
      <c r="O118" s="171" t="e">
        <f t="shared" si="10"/>
        <v>#DIV/0!</v>
      </c>
      <c r="P118" s="171" t="e">
        <f t="shared" si="18"/>
        <v>#DIV/0!</v>
      </c>
      <c r="Q118" s="171" t="e">
        <f t="shared" si="19"/>
        <v>#DIV/0!</v>
      </c>
      <c r="R118" s="186">
        <f>IF('prijem_zahranicie - viac-dom'!$I$121=TRUE,IF($C$11&gt;0,0.00025*N117,0),IF('prijem_zahranicie - viac-dom'!$I$122=TRUE,IF('prijem_zahranicie - viac-dom'!$F$122&gt;0,0.00025*N117*-1,0),0))</f>
        <v>0</v>
      </c>
    </row>
    <row r="119" spans="1:18" x14ac:dyDescent="0.2">
      <c r="A119" s="89">
        <v>103</v>
      </c>
      <c r="B119" s="186" t="e">
        <f t="shared" si="11"/>
        <v>#NUM!</v>
      </c>
      <c r="C119" s="171" t="e">
        <f t="shared" si="12"/>
        <v>#NUM!</v>
      </c>
      <c r="D119" s="171" t="e">
        <f t="shared" si="13"/>
        <v>#NUM!</v>
      </c>
      <c r="E119" s="171" t="e">
        <f t="shared" si="14"/>
        <v>#NUM!</v>
      </c>
      <c r="F119" s="171" t="e">
        <f t="shared" si="15"/>
        <v>#NUM!</v>
      </c>
      <c r="G119" s="186">
        <f>IF('prijem_zahranicie - viac-dom'!$I$121=TRUE,IF($C$11&gt;0,0.00025*C118,0),IF('prijem_zahranicie - viac-dom'!$I$122=TRUE,IF('prijem_zahranicie - viac-dom'!$F$122&gt;0,0.00025*C118,0),0))</f>
        <v>0</v>
      </c>
      <c r="L119" s="89">
        <v>103</v>
      </c>
      <c r="M119" s="186" t="e">
        <f t="shared" si="16"/>
        <v>#DIV/0!</v>
      </c>
      <c r="N119" s="171" t="e">
        <f t="shared" si="17"/>
        <v>#DIV/0!</v>
      </c>
      <c r="O119" s="171" t="e">
        <f t="shared" si="10"/>
        <v>#DIV/0!</v>
      </c>
      <c r="P119" s="171" t="e">
        <f t="shared" si="18"/>
        <v>#DIV/0!</v>
      </c>
      <c r="Q119" s="171" t="e">
        <f t="shared" si="19"/>
        <v>#DIV/0!</v>
      </c>
      <c r="R119" s="186">
        <f>IF('prijem_zahranicie - viac-dom'!$I$121=TRUE,IF($C$11&gt;0,0.00025*N118,0),IF('prijem_zahranicie - viac-dom'!$I$122=TRUE,IF('prijem_zahranicie - viac-dom'!$F$122&gt;0,0.00025*N118*-1,0),0))</f>
        <v>0</v>
      </c>
    </row>
    <row r="120" spans="1:18" x14ac:dyDescent="0.2">
      <c r="A120" s="89">
        <v>104</v>
      </c>
      <c r="B120" s="186" t="e">
        <f t="shared" si="11"/>
        <v>#NUM!</v>
      </c>
      <c r="C120" s="171" t="e">
        <f t="shared" si="12"/>
        <v>#NUM!</v>
      </c>
      <c r="D120" s="171" t="e">
        <f t="shared" si="13"/>
        <v>#NUM!</v>
      </c>
      <c r="E120" s="171" t="e">
        <f t="shared" si="14"/>
        <v>#NUM!</v>
      </c>
      <c r="F120" s="171" t="e">
        <f t="shared" si="15"/>
        <v>#NUM!</v>
      </c>
      <c r="G120" s="186">
        <f>IF('prijem_zahranicie - viac-dom'!$I$121=TRUE,IF($C$11&gt;0,0.00025*C119,0),IF('prijem_zahranicie - viac-dom'!$I$122=TRUE,IF('prijem_zahranicie - viac-dom'!$F$122&gt;0,0.00025*C119,0),0))</f>
        <v>0</v>
      </c>
      <c r="L120" s="89">
        <v>104</v>
      </c>
      <c r="M120" s="186" t="e">
        <f t="shared" si="16"/>
        <v>#DIV/0!</v>
      </c>
      <c r="N120" s="171" t="e">
        <f t="shared" si="17"/>
        <v>#DIV/0!</v>
      </c>
      <c r="O120" s="171" t="e">
        <f t="shared" si="10"/>
        <v>#DIV/0!</v>
      </c>
      <c r="P120" s="171" t="e">
        <f t="shared" si="18"/>
        <v>#DIV/0!</v>
      </c>
      <c r="Q120" s="171" t="e">
        <f t="shared" si="19"/>
        <v>#DIV/0!</v>
      </c>
      <c r="R120" s="186">
        <f>IF('prijem_zahranicie - viac-dom'!$I$121=TRUE,IF($C$11&gt;0,0.00025*N119,0),IF('prijem_zahranicie - viac-dom'!$I$122=TRUE,IF('prijem_zahranicie - viac-dom'!$F$122&gt;0,0.00025*N119*-1,0),0))</f>
        <v>0</v>
      </c>
    </row>
    <row r="121" spans="1:18" x14ac:dyDescent="0.2">
      <c r="A121" s="89">
        <v>105</v>
      </c>
      <c r="B121" s="186" t="e">
        <f t="shared" si="11"/>
        <v>#NUM!</v>
      </c>
      <c r="C121" s="171" t="e">
        <f t="shared" si="12"/>
        <v>#NUM!</v>
      </c>
      <c r="D121" s="171" t="e">
        <f t="shared" si="13"/>
        <v>#NUM!</v>
      </c>
      <c r="E121" s="171" t="e">
        <f t="shared" si="14"/>
        <v>#NUM!</v>
      </c>
      <c r="F121" s="171" t="e">
        <f t="shared" si="15"/>
        <v>#NUM!</v>
      </c>
      <c r="G121" s="186">
        <f>IF('prijem_zahranicie - viac-dom'!$I$121=TRUE,IF($C$11&gt;0,0.00025*C120,0),IF('prijem_zahranicie - viac-dom'!$I$122=TRUE,IF('prijem_zahranicie - viac-dom'!$F$122&gt;0,0.00025*C120,0),0))</f>
        <v>0</v>
      </c>
      <c r="L121" s="89">
        <v>105</v>
      </c>
      <c r="M121" s="186" t="e">
        <f t="shared" si="16"/>
        <v>#DIV/0!</v>
      </c>
      <c r="N121" s="171" t="e">
        <f t="shared" si="17"/>
        <v>#DIV/0!</v>
      </c>
      <c r="O121" s="171" t="e">
        <f t="shared" si="10"/>
        <v>#DIV/0!</v>
      </c>
      <c r="P121" s="171" t="e">
        <f t="shared" si="18"/>
        <v>#DIV/0!</v>
      </c>
      <c r="Q121" s="171" t="e">
        <f t="shared" si="19"/>
        <v>#DIV/0!</v>
      </c>
      <c r="R121" s="186">
        <f>IF('prijem_zahranicie - viac-dom'!$I$121=TRUE,IF($C$11&gt;0,0.00025*N120,0),IF('prijem_zahranicie - viac-dom'!$I$122=TRUE,IF('prijem_zahranicie - viac-dom'!$F$122&gt;0,0.00025*N120*-1,0),0))</f>
        <v>0</v>
      </c>
    </row>
    <row r="122" spans="1:18" x14ac:dyDescent="0.2">
      <c r="A122" s="89">
        <v>106</v>
      </c>
      <c r="B122" s="186" t="e">
        <f t="shared" si="11"/>
        <v>#NUM!</v>
      </c>
      <c r="C122" s="171" t="e">
        <f t="shared" si="12"/>
        <v>#NUM!</v>
      </c>
      <c r="D122" s="171" t="e">
        <f t="shared" si="13"/>
        <v>#NUM!</v>
      </c>
      <c r="E122" s="171" t="e">
        <f t="shared" si="14"/>
        <v>#NUM!</v>
      </c>
      <c r="F122" s="171" t="e">
        <f t="shared" si="15"/>
        <v>#NUM!</v>
      </c>
      <c r="G122" s="186">
        <f>IF('prijem_zahranicie - viac-dom'!$I$121=TRUE,IF($C$11&gt;0,0.00025*C121,0),IF('prijem_zahranicie - viac-dom'!$I$122=TRUE,IF('prijem_zahranicie - viac-dom'!$F$122&gt;0,0.00025*C121,0),0))</f>
        <v>0</v>
      </c>
      <c r="L122" s="89">
        <v>106</v>
      </c>
      <c r="M122" s="186" t="e">
        <f t="shared" si="16"/>
        <v>#DIV/0!</v>
      </c>
      <c r="N122" s="171" t="e">
        <f t="shared" si="17"/>
        <v>#DIV/0!</v>
      </c>
      <c r="O122" s="171" t="e">
        <f t="shared" si="10"/>
        <v>#DIV/0!</v>
      </c>
      <c r="P122" s="171" t="e">
        <f t="shared" si="18"/>
        <v>#DIV/0!</v>
      </c>
      <c r="Q122" s="171" t="e">
        <f t="shared" si="19"/>
        <v>#DIV/0!</v>
      </c>
      <c r="R122" s="186">
        <f>IF('prijem_zahranicie - viac-dom'!$I$121=TRUE,IF($C$11&gt;0,0.00025*N121,0),IF('prijem_zahranicie - viac-dom'!$I$122=TRUE,IF('prijem_zahranicie - viac-dom'!$F$122&gt;0,0.00025*N121*-1,0),0))</f>
        <v>0</v>
      </c>
    </row>
    <row r="123" spans="1:18" x14ac:dyDescent="0.2">
      <c r="A123" s="89">
        <v>107</v>
      </c>
      <c r="B123" s="186" t="e">
        <f t="shared" si="11"/>
        <v>#NUM!</v>
      </c>
      <c r="C123" s="171" t="e">
        <f t="shared" si="12"/>
        <v>#NUM!</v>
      </c>
      <c r="D123" s="171" t="e">
        <f t="shared" si="13"/>
        <v>#NUM!</v>
      </c>
      <c r="E123" s="171" t="e">
        <f t="shared" si="14"/>
        <v>#NUM!</v>
      </c>
      <c r="F123" s="171" t="e">
        <f t="shared" si="15"/>
        <v>#NUM!</v>
      </c>
      <c r="G123" s="186">
        <f>IF('prijem_zahranicie - viac-dom'!$I$121=TRUE,IF($C$11&gt;0,0.00025*C122,0),IF('prijem_zahranicie - viac-dom'!$I$122=TRUE,IF('prijem_zahranicie - viac-dom'!$F$122&gt;0,0.00025*C122,0),0))</f>
        <v>0</v>
      </c>
      <c r="L123" s="89">
        <v>107</v>
      </c>
      <c r="M123" s="186" t="e">
        <f t="shared" si="16"/>
        <v>#DIV/0!</v>
      </c>
      <c r="N123" s="171" t="e">
        <f t="shared" si="17"/>
        <v>#DIV/0!</v>
      </c>
      <c r="O123" s="171" t="e">
        <f t="shared" si="10"/>
        <v>#DIV/0!</v>
      </c>
      <c r="P123" s="171" t="e">
        <f t="shared" si="18"/>
        <v>#DIV/0!</v>
      </c>
      <c r="Q123" s="171" t="e">
        <f t="shared" si="19"/>
        <v>#DIV/0!</v>
      </c>
      <c r="R123" s="186">
        <f>IF('prijem_zahranicie - viac-dom'!$I$121=TRUE,IF($C$11&gt;0,0.00025*N122,0),IF('prijem_zahranicie - viac-dom'!$I$122=TRUE,IF('prijem_zahranicie - viac-dom'!$F$122&gt;0,0.00025*N122*-1,0),0))</f>
        <v>0</v>
      </c>
    </row>
    <row r="124" spans="1:18" x14ac:dyDescent="0.2">
      <c r="A124" s="89">
        <v>108</v>
      </c>
      <c r="B124" s="186" t="e">
        <f t="shared" si="11"/>
        <v>#NUM!</v>
      </c>
      <c r="C124" s="171" t="e">
        <f t="shared" si="12"/>
        <v>#NUM!</v>
      </c>
      <c r="D124" s="171" t="e">
        <f t="shared" si="13"/>
        <v>#NUM!</v>
      </c>
      <c r="E124" s="171" t="e">
        <f t="shared" si="14"/>
        <v>#NUM!</v>
      </c>
      <c r="F124" s="171" t="e">
        <f t="shared" si="15"/>
        <v>#NUM!</v>
      </c>
      <c r="G124" s="186">
        <f>IF('prijem_zahranicie - viac-dom'!$I$121=TRUE,IF($C$11&gt;0,0.00025*C123,0),IF('prijem_zahranicie - viac-dom'!$I$122=TRUE,IF('prijem_zahranicie - viac-dom'!$F$122&gt;0,0.00025*C123,0),0))</f>
        <v>0</v>
      </c>
      <c r="L124" s="89">
        <v>108</v>
      </c>
      <c r="M124" s="186" t="e">
        <f t="shared" si="16"/>
        <v>#DIV/0!</v>
      </c>
      <c r="N124" s="171" t="e">
        <f t="shared" si="17"/>
        <v>#DIV/0!</v>
      </c>
      <c r="O124" s="171" t="e">
        <f t="shared" si="10"/>
        <v>#DIV/0!</v>
      </c>
      <c r="P124" s="171" t="e">
        <f t="shared" si="18"/>
        <v>#DIV/0!</v>
      </c>
      <c r="Q124" s="171" t="e">
        <f t="shared" si="19"/>
        <v>#DIV/0!</v>
      </c>
      <c r="R124" s="186">
        <f>IF('prijem_zahranicie - viac-dom'!$I$121=TRUE,IF($C$11&gt;0,0.00025*N123,0),IF('prijem_zahranicie - viac-dom'!$I$122=TRUE,IF('prijem_zahranicie - viac-dom'!$F$122&gt;0,0.00025*N123*-1,0),0))</f>
        <v>0</v>
      </c>
    </row>
    <row r="125" spans="1:18" x14ac:dyDescent="0.2">
      <c r="A125" s="89">
        <v>109</v>
      </c>
      <c r="B125" s="186" t="e">
        <f t="shared" si="11"/>
        <v>#NUM!</v>
      </c>
      <c r="C125" s="171" t="e">
        <f t="shared" si="12"/>
        <v>#NUM!</v>
      </c>
      <c r="D125" s="171" t="e">
        <f t="shared" si="13"/>
        <v>#NUM!</v>
      </c>
      <c r="E125" s="171" t="e">
        <f t="shared" si="14"/>
        <v>#NUM!</v>
      </c>
      <c r="F125" s="171" t="e">
        <f t="shared" si="15"/>
        <v>#NUM!</v>
      </c>
      <c r="G125" s="186">
        <f>IF('prijem_zahranicie - viac-dom'!$I$121=TRUE,IF($C$11&gt;0,0.00025*C124,0),IF('prijem_zahranicie - viac-dom'!$I$122=TRUE,IF('prijem_zahranicie - viac-dom'!$F$122&gt;0,0.00025*C124,0),0))</f>
        <v>0</v>
      </c>
      <c r="L125" s="89">
        <v>109</v>
      </c>
      <c r="M125" s="186" t="e">
        <f t="shared" si="16"/>
        <v>#DIV/0!</v>
      </c>
      <c r="N125" s="171" t="e">
        <f t="shared" si="17"/>
        <v>#DIV/0!</v>
      </c>
      <c r="O125" s="171" t="e">
        <f t="shared" si="10"/>
        <v>#DIV/0!</v>
      </c>
      <c r="P125" s="171" t="e">
        <f t="shared" si="18"/>
        <v>#DIV/0!</v>
      </c>
      <c r="Q125" s="171" t="e">
        <f t="shared" si="19"/>
        <v>#DIV/0!</v>
      </c>
      <c r="R125" s="186">
        <f>IF('prijem_zahranicie - viac-dom'!$I$121=TRUE,IF($C$11&gt;0,0.00025*N124,0),IF('prijem_zahranicie - viac-dom'!$I$122=TRUE,IF('prijem_zahranicie - viac-dom'!$F$122&gt;0,0.00025*N124*-1,0),0))</f>
        <v>0</v>
      </c>
    </row>
    <row r="126" spans="1:18" x14ac:dyDescent="0.2">
      <c r="A126" s="89">
        <v>110</v>
      </c>
      <c r="B126" s="186" t="e">
        <f t="shared" si="11"/>
        <v>#NUM!</v>
      </c>
      <c r="C126" s="171" t="e">
        <f t="shared" si="12"/>
        <v>#NUM!</v>
      </c>
      <c r="D126" s="171" t="e">
        <f t="shared" si="13"/>
        <v>#NUM!</v>
      </c>
      <c r="E126" s="171" t="e">
        <f t="shared" si="14"/>
        <v>#NUM!</v>
      </c>
      <c r="F126" s="171" t="e">
        <f t="shared" si="15"/>
        <v>#NUM!</v>
      </c>
      <c r="G126" s="186">
        <f>IF('prijem_zahranicie - viac-dom'!$I$121=TRUE,IF($C$11&gt;0,0.00025*C125,0),IF('prijem_zahranicie - viac-dom'!$I$122=TRUE,IF('prijem_zahranicie - viac-dom'!$F$122&gt;0,0.00025*C125,0),0))</f>
        <v>0</v>
      </c>
      <c r="L126" s="89">
        <v>110</v>
      </c>
      <c r="M126" s="186" t="e">
        <f t="shared" si="16"/>
        <v>#DIV/0!</v>
      </c>
      <c r="N126" s="171" t="e">
        <f t="shared" si="17"/>
        <v>#DIV/0!</v>
      </c>
      <c r="O126" s="171" t="e">
        <f t="shared" si="10"/>
        <v>#DIV/0!</v>
      </c>
      <c r="P126" s="171" t="e">
        <f t="shared" si="18"/>
        <v>#DIV/0!</v>
      </c>
      <c r="Q126" s="171" t="e">
        <f t="shared" si="19"/>
        <v>#DIV/0!</v>
      </c>
      <c r="R126" s="186">
        <f>IF('prijem_zahranicie - viac-dom'!$I$121=TRUE,IF($C$11&gt;0,0.00025*N125,0),IF('prijem_zahranicie - viac-dom'!$I$122=TRUE,IF('prijem_zahranicie - viac-dom'!$F$122&gt;0,0.00025*N125*-1,0),0))</f>
        <v>0</v>
      </c>
    </row>
    <row r="127" spans="1:18" x14ac:dyDescent="0.2">
      <c r="A127" s="89">
        <v>111</v>
      </c>
      <c r="B127" s="186" t="e">
        <f t="shared" si="11"/>
        <v>#NUM!</v>
      </c>
      <c r="C127" s="171" t="e">
        <f t="shared" si="12"/>
        <v>#NUM!</v>
      </c>
      <c r="D127" s="171" t="e">
        <f t="shared" si="13"/>
        <v>#NUM!</v>
      </c>
      <c r="E127" s="171" t="e">
        <f t="shared" si="14"/>
        <v>#NUM!</v>
      </c>
      <c r="F127" s="171" t="e">
        <f t="shared" si="15"/>
        <v>#NUM!</v>
      </c>
      <c r="G127" s="186">
        <f>IF('prijem_zahranicie - viac-dom'!$I$121=TRUE,IF($C$11&gt;0,0.00025*C126,0),IF('prijem_zahranicie - viac-dom'!$I$122=TRUE,IF('prijem_zahranicie - viac-dom'!$F$122&gt;0,0.00025*C126,0),0))</f>
        <v>0</v>
      </c>
      <c r="L127" s="89">
        <v>111</v>
      </c>
      <c r="M127" s="186" t="e">
        <f t="shared" si="16"/>
        <v>#DIV/0!</v>
      </c>
      <c r="N127" s="171" t="e">
        <f t="shared" si="17"/>
        <v>#DIV/0!</v>
      </c>
      <c r="O127" s="171" t="e">
        <f t="shared" si="10"/>
        <v>#DIV/0!</v>
      </c>
      <c r="P127" s="171" t="e">
        <f t="shared" si="18"/>
        <v>#DIV/0!</v>
      </c>
      <c r="Q127" s="171" t="e">
        <f t="shared" si="19"/>
        <v>#DIV/0!</v>
      </c>
      <c r="R127" s="186">
        <f>IF('prijem_zahranicie - viac-dom'!$I$121=TRUE,IF($C$11&gt;0,0.00025*N126,0),IF('prijem_zahranicie - viac-dom'!$I$122=TRUE,IF('prijem_zahranicie - viac-dom'!$F$122&gt;0,0.00025*N126*-1,0),0))</f>
        <v>0</v>
      </c>
    </row>
    <row r="128" spans="1:18" x14ac:dyDescent="0.2">
      <c r="A128" s="89">
        <v>112</v>
      </c>
      <c r="B128" s="186" t="e">
        <f t="shared" si="11"/>
        <v>#NUM!</v>
      </c>
      <c r="C128" s="171" t="e">
        <f t="shared" si="12"/>
        <v>#NUM!</v>
      </c>
      <c r="D128" s="171" t="e">
        <f t="shared" si="13"/>
        <v>#NUM!</v>
      </c>
      <c r="E128" s="171" t="e">
        <f t="shared" si="14"/>
        <v>#NUM!</v>
      </c>
      <c r="F128" s="171" t="e">
        <f t="shared" si="15"/>
        <v>#NUM!</v>
      </c>
      <c r="G128" s="186">
        <f>IF('prijem_zahranicie - viac-dom'!$I$121=TRUE,IF($C$11&gt;0,0.00025*C127,0),IF('prijem_zahranicie - viac-dom'!$I$122=TRUE,IF('prijem_zahranicie - viac-dom'!$F$122&gt;0,0.00025*C127,0),0))</f>
        <v>0</v>
      </c>
      <c r="L128" s="89">
        <v>112</v>
      </c>
      <c r="M128" s="186" t="e">
        <f t="shared" si="16"/>
        <v>#DIV/0!</v>
      </c>
      <c r="N128" s="171" t="e">
        <f t="shared" si="17"/>
        <v>#DIV/0!</v>
      </c>
      <c r="O128" s="171" t="e">
        <f t="shared" si="10"/>
        <v>#DIV/0!</v>
      </c>
      <c r="P128" s="171" t="e">
        <f t="shared" si="18"/>
        <v>#DIV/0!</v>
      </c>
      <c r="Q128" s="171" t="e">
        <f t="shared" si="19"/>
        <v>#DIV/0!</v>
      </c>
      <c r="R128" s="186">
        <f>IF('prijem_zahranicie - viac-dom'!$I$121=TRUE,IF($C$11&gt;0,0.00025*N127,0),IF('prijem_zahranicie - viac-dom'!$I$122=TRUE,IF('prijem_zahranicie - viac-dom'!$F$122&gt;0,0.00025*N127*-1,0),0))</f>
        <v>0</v>
      </c>
    </row>
    <row r="129" spans="1:18" x14ac:dyDescent="0.2">
      <c r="A129" s="89">
        <v>113</v>
      </c>
      <c r="B129" s="186" t="e">
        <f t="shared" si="11"/>
        <v>#NUM!</v>
      </c>
      <c r="C129" s="171" t="e">
        <f t="shared" si="12"/>
        <v>#NUM!</v>
      </c>
      <c r="D129" s="171" t="e">
        <f t="shared" si="13"/>
        <v>#NUM!</v>
      </c>
      <c r="E129" s="171" t="e">
        <f t="shared" si="14"/>
        <v>#NUM!</v>
      </c>
      <c r="F129" s="171" t="e">
        <f t="shared" si="15"/>
        <v>#NUM!</v>
      </c>
      <c r="G129" s="186">
        <f>IF('prijem_zahranicie - viac-dom'!$I$121=TRUE,IF($C$11&gt;0,0.00025*C128,0),IF('prijem_zahranicie - viac-dom'!$I$122=TRUE,IF('prijem_zahranicie - viac-dom'!$F$122&gt;0,0.00025*C128,0),0))</f>
        <v>0</v>
      </c>
      <c r="L129" s="89">
        <v>113</v>
      </c>
      <c r="M129" s="186" t="e">
        <f t="shared" si="16"/>
        <v>#DIV/0!</v>
      </c>
      <c r="N129" s="171" t="e">
        <f t="shared" si="17"/>
        <v>#DIV/0!</v>
      </c>
      <c r="O129" s="171" t="e">
        <f t="shared" si="10"/>
        <v>#DIV/0!</v>
      </c>
      <c r="P129" s="171" t="e">
        <f t="shared" si="18"/>
        <v>#DIV/0!</v>
      </c>
      <c r="Q129" s="171" t="e">
        <f t="shared" si="19"/>
        <v>#DIV/0!</v>
      </c>
      <c r="R129" s="186">
        <f>IF('prijem_zahranicie - viac-dom'!$I$121=TRUE,IF($C$11&gt;0,0.00025*N128,0),IF('prijem_zahranicie - viac-dom'!$I$122=TRUE,IF('prijem_zahranicie - viac-dom'!$F$122&gt;0,0.00025*N128*-1,0),0))</f>
        <v>0</v>
      </c>
    </row>
    <row r="130" spans="1:18" x14ac:dyDescent="0.2">
      <c r="A130" s="89">
        <v>114</v>
      </c>
      <c r="B130" s="186" t="e">
        <f t="shared" si="11"/>
        <v>#NUM!</v>
      </c>
      <c r="C130" s="171" t="e">
        <f t="shared" si="12"/>
        <v>#NUM!</v>
      </c>
      <c r="D130" s="171" t="e">
        <f t="shared" si="13"/>
        <v>#NUM!</v>
      </c>
      <c r="E130" s="171" t="e">
        <f t="shared" si="14"/>
        <v>#NUM!</v>
      </c>
      <c r="F130" s="171" t="e">
        <f t="shared" si="15"/>
        <v>#NUM!</v>
      </c>
      <c r="G130" s="186">
        <f>IF('prijem_zahranicie - viac-dom'!$I$121=TRUE,IF($C$11&gt;0,0.00025*C129,0),IF('prijem_zahranicie - viac-dom'!$I$122=TRUE,IF('prijem_zahranicie - viac-dom'!$F$122&gt;0,0.00025*C129,0),0))</f>
        <v>0</v>
      </c>
      <c r="L130" s="89">
        <v>114</v>
      </c>
      <c r="M130" s="186" t="e">
        <f t="shared" si="16"/>
        <v>#DIV/0!</v>
      </c>
      <c r="N130" s="171" t="e">
        <f t="shared" si="17"/>
        <v>#DIV/0!</v>
      </c>
      <c r="O130" s="171" t="e">
        <f t="shared" si="10"/>
        <v>#DIV/0!</v>
      </c>
      <c r="P130" s="171" t="e">
        <f t="shared" si="18"/>
        <v>#DIV/0!</v>
      </c>
      <c r="Q130" s="171" t="e">
        <f t="shared" si="19"/>
        <v>#DIV/0!</v>
      </c>
      <c r="R130" s="186">
        <f>IF('prijem_zahranicie - viac-dom'!$I$121=TRUE,IF($C$11&gt;0,0.00025*N129,0),IF('prijem_zahranicie - viac-dom'!$I$122=TRUE,IF('prijem_zahranicie - viac-dom'!$F$122&gt;0,0.00025*N129*-1,0),0))</f>
        <v>0</v>
      </c>
    </row>
    <row r="131" spans="1:18" x14ac:dyDescent="0.2">
      <c r="A131" s="89">
        <v>115</v>
      </c>
      <c r="B131" s="186" t="e">
        <f t="shared" si="11"/>
        <v>#NUM!</v>
      </c>
      <c r="C131" s="171" t="e">
        <f t="shared" si="12"/>
        <v>#NUM!</v>
      </c>
      <c r="D131" s="171" t="e">
        <f t="shared" si="13"/>
        <v>#NUM!</v>
      </c>
      <c r="E131" s="171" t="e">
        <f t="shared" si="14"/>
        <v>#NUM!</v>
      </c>
      <c r="F131" s="171" t="e">
        <f t="shared" si="15"/>
        <v>#NUM!</v>
      </c>
      <c r="G131" s="186">
        <f>IF('prijem_zahranicie - viac-dom'!$I$121=TRUE,IF($C$11&gt;0,0.00025*C130,0),IF('prijem_zahranicie - viac-dom'!$I$122=TRUE,IF('prijem_zahranicie - viac-dom'!$F$122&gt;0,0.00025*C130,0),0))</f>
        <v>0</v>
      </c>
      <c r="L131" s="89">
        <v>115</v>
      </c>
      <c r="M131" s="186" t="e">
        <f t="shared" si="16"/>
        <v>#DIV/0!</v>
      </c>
      <c r="N131" s="171" t="e">
        <f t="shared" si="17"/>
        <v>#DIV/0!</v>
      </c>
      <c r="O131" s="171" t="e">
        <f t="shared" si="10"/>
        <v>#DIV/0!</v>
      </c>
      <c r="P131" s="171" t="e">
        <f t="shared" si="18"/>
        <v>#DIV/0!</v>
      </c>
      <c r="Q131" s="171" t="e">
        <f t="shared" si="19"/>
        <v>#DIV/0!</v>
      </c>
      <c r="R131" s="186">
        <f>IF('prijem_zahranicie - viac-dom'!$I$121=TRUE,IF($C$11&gt;0,0.00025*N130,0),IF('prijem_zahranicie - viac-dom'!$I$122=TRUE,IF('prijem_zahranicie - viac-dom'!$F$122&gt;0,0.00025*N130*-1,0),0))</f>
        <v>0</v>
      </c>
    </row>
    <row r="132" spans="1:18" x14ac:dyDescent="0.2">
      <c r="A132" s="89">
        <v>116</v>
      </c>
      <c r="B132" s="186" t="e">
        <f t="shared" si="11"/>
        <v>#NUM!</v>
      </c>
      <c r="C132" s="171" t="e">
        <f t="shared" si="12"/>
        <v>#NUM!</v>
      </c>
      <c r="D132" s="171" t="e">
        <f t="shared" si="13"/>
        <v>#NUM!</v>
      </c>
      <c r="E132" s="171" t="e">
        <f t="shared" si="14"/>
        <v>#NUM!</v>
      </c>
      <c r="F132" s="171" t="e">
        <f t="shared" si="15"/>
        <v>#NUM!</v>
      </c>
      <c r="G132" s="186">
        <f>IF('prijem_zahranicie - viac-dom'!$I$121=TRUE,IF($C$11&gt;0,0.00025*C131,0),IF('prijem_zahranicie - viac-dom'!$I$122=TRUE,IF('prijem_zahranicie - viac-dom'!$F$122&gt;0,0.00025*C131,0),0))</f>
        <v>0</v>
      </c>
      <c r="L132" s="89">
        <v>116</v>
      </c>
      <c r="M132" s="186" t="e">
        <f t="shared" si="16"/>
        <v>#DIV/0!</v>
      </c>
      <c r="N132" s="171" t="e">
        <f t="shared" si="17"/>
        <v>#DIV/0!</v>
      </c>
      <c r="O132" s="171" t="e">
        <f t="shared" si="10"/>
        <v>#DIV/0!</v>
      </c>
      <c r="P132" s="171" t="e">
        <f t="shared" si="18"/>
        <v>#DIV/0!</v>
      </c>
      <c r="Q132" s="171" t="e">
        <f t="shared" si="19"/>
        <v>#DIV/0!</v>
      </c>
      <c r="R132" s="186">
        <f>IF('prijem_zahranicie - viac-dom'!$I$121=TRUE,IF($C$11&gt;0,0.00025*N131,0),IF('prijem_zahranicie - viac-dom'!$I$122=TRUE,IF('prijem_zahranicie - viac-dom'!$F$122&gt;0,0.00025*N131*-1,0),0))</f>
        <v>0</v>
      </c>
    </row>
    <row r="133" spans="1:18" x14ac:dyDescent="0.2">
      <c r="A133" s="89">
        <v>117</v>
      </c>
      <c r="B133" s="186" t="e">
        <f t="shared" si="11"/>
        <v>#NUM!</v>
      </c>
      <c r="C133" s="171" t="e">
        <f t="shared" si="12"/>
        <v>#NUM!</v>
      </c>
      <c r="D133" s="171" t="e">
        <f t="shared" si="13"/>
        <v>#NUM!</v>
      </c>
      <c r="E133" s="171" t="e">
        <f t="shared" si="14"/>
        <v>#NUM!</v>
      </c>
      <c r="F133" s="171" t="e">
        <f t="shared" si="15"/>
        <v>#NUM!</v>
      </c>
      <c r="G133" s="186">
        <f>IF('prijem_zahranicie - viac-dom'!$I$121=TRUE,IF($C$11&gt;0,0.00025*C132,0),IF('prijem_zahranicie - viac-dom'!$I$122=TRUE,IF('prijem_zahranicie - viac-dom'!$F$122&gt;0,0.00025*C132,0),0))</f>
        <v>0</v>
      </c>
      <c r="L133" s="89">
        <v>117</v>
      </c>
      <c r="M133" s="186" t="e">
        <f t="shared" si="16"/>
        <v>#DIV/0!</v>
      </c>
      <c r="N133" s="171" t="e">
        <f t="shared" si="17"/>
        <v>#DIV/0!</v>
      </c>
      <c r="O133" s="171" t="e">
        <f t="shared" si="10"/>
        <v>#DIV/0!</v>
      </c>
      <c r="P133" s="171" t="e">
        <f t="shared" si="18"/>
        <v>#DIV/0!</v>
      </c>
      <c r="Q133" s="171" t="e">
        <f t="shared" si="19"/>
        <v>#DIV/0!</v>
      </c>
      <c r="R133" s="186">
        <f>IF('prijem_zahranicie - viac-dom'!$I$121=TRUE,IF($C$11&gt;0,0.00025*N132,0),IF('prijem_zahranicie - viac-dom'!$I$122=TRUE,IF('prijem_zahranicie - viac-dom'!$F$122&gt;0,0.00025*N132*-1,0),0))</f>
        <v>0</v>
      </c>
    </row>
    <row r="134" spans="1:18" x14ac:dyDescent="0.2">
      <c r="A134" s="89">
        <v>118</v>
      </c>
      <c r="B134" s="186" t="e">
        <f t="shared" si="11"/>
        <v>#NUM!</v>
      </c>
      <c r="C134" s="171" t="e">
        <f t="shared" si="12"/>
        <v>#NUM!</v>
      </c>
      <c r="D134" s="171" t="e">
        <f t="shared" si="13"/>
        <v>#NUM!</v>
      </c>
      <c r="E134" s="171" t="e">
        <f t="shared" si="14"/>
        <v>#NUM!</v>
      </c>
      <c r="F134" s="171" t="e">
        <f t="shared" si="15"/>
        <v>#NUM!</v>
      </c>
      <c r="G134" s="186">
        <f>IF('prijem_zahranicie - viac-dom'!$I$121=TRUE,IF($C$11&gt;0,0.00025*C133,0),IF('prijem_zahranicie - viac-dom'!$I$122=TRUE,IF('prijem_zahranicie - viac-dom'!$F$122&gt;0,0.00025*C133,0),0))</f>
        <v>0</v>
      </c>
      <c r="L134" s="89">
        <v>118</v>
      </c>
      <c r="M134" s="186" t="e">
        <f t="shared" si="16"/>
        <v>#DIV/0!</v>
      </c>
      <c r="N134" s="171" t="e">
        <f t="shared" si="17"/>
        <v>#DIV/0!</v>
      </c>
      <c r="O134" s="171" t="e">
        <f t="shared" si="10"/>
        <v>#DIV/0!</v>
      </c>
      <c r="P134" s="171" t="e">
        <f t="shared" si="18"/>
        <v>#DIV/0!</v>
      </c>
      <c r="Q134" s="171" t="e">
        <f t="shared" si="19"/>
        <v>#DIV/0!</v>
      </c>
      <c r="R134" s="186">
        <f>IF('prijem_zahranicie - viac-dom'!$I$121=TRUE,IF($C$11&gt;0,0.00025*N133,0),IF('prijem_zahranicie - viac-dom'!$I$122=TRUE,IF('prijem_zahranicie - viac-dom'!$F$122&gt;0,0.00025*N133*-1,0),0))</f>
        <v>0</v>
      </c>
    </row>
    <row r="135" spans="1:18" x14ac:dyDescent="0.2">
      <c r="A135" s="89">
        <v>119</v>
      </c>
      <c r="B135" s="186" t="e">
        <f t="shared" si="11"/>
        <v>#NUM!</v>
      </c>
      <c r="C135" s="171" t="e">
        <f t="shared" si="12"/>
        <v>#NUM!</v>
      </c>
      <c r="D135" s="171" t="e">
        <f t="shared" si="13"/>
        <v>#NUM!</v>
      </c>
      <c r="E135" s="171" t="e">
        <f t="shared" si="14"/>
        <v>#NUM!</v>
      </c>
      <c r="F135" s="171" t="e">
        <f t="shared" si="15"/>
        <v>#NUM!</v>
      </c>
      <c r="G135" s="186">
        <f>IF('prijem_zahranicie - viac-dom'!$I$121=TRUE,IF($C$11&gt;0,0.00025*C134,0),IF('prijem_zahranicie - viac-dom'!$I$122=TRUE,IF('prijem_zahranicie - viac-dom'!$F$122&gt;0,0.00025*C134,0),0))</f>
        <v>0</v>
      </c>
      <c r="L135" s="89">
        <v>119</v>
      </c>
      <c r="M135" s="186" t="e">
        <f t="shared" si="16"/>
        <v>#DIV/0!</v>
      </c>
      <c r="N135" s="171" t="e">
        <f t="shared" si="17"/>
        <v>#DIV/0!</v>
      </c>
      <c r="O135" s="171" t="e">
        <f t="shared" si="10"/>
        <v>#DIV/0!</v>
      </c>
      <c r="P135" s="171" t="e">
        <f t="shared" si="18"/>
        <v>#DIV/0!</v>
      </c>
      <c r="Q135" s="171" t="e">
        <f t="shared" si="19"/>
        <v>#DIV/0!</v>
      </c>
      <c r="R135" s="186">
        <f>IF('prijem_zahranicie - viac-dom'!$I$121=TRUE,IF($C$11&gt;0,0.00025*N134,0),IF('prijem_zahranicie - viac-dom'!$I$122=TRUE,IF('prijem_zahranicie - viac-dom'!$F$122&gt;0,0.00025*N134*-1,0),0))</f>
        <v>0</v>
      </c>
    </row>
    <row r="136" spans="1:18" x14ac:dyDescent="0.2">
      <c r="A136" s="89">
        <v>120</v>
      </c>
      <c r="B136" s="186" t="e">
        <f t="shared" si="11"/>
        <v>#NUM!</v>
      </c>
      <c r="C136" s="171" t="e">
        <f t="shared" si="12"/>
        <v>#NUM!</v>
      </c>
      <c r="D136" s="171" t="e">
        <f t="shared" si="13"/>
        <v>#NUM!</v>
      </c>
      <c r="E136" s="171" t="e">
        <f t="shared" si="14"/>
        <v>#NUM!</v>
      </c>
      <c r="F136" s="171" t="e">
        <f t="shared" si="15"/>
        <v>#NUM!</v>
      </c>
      <c r="G136" s="186">
        <f>IF('prijem_zahranicie - viac-dom'!$I$121=TRUE,IF($C$11&gt;0,0.00025*C135,0),IF('prijem_zahranicie - viac-dom'!$I$122=TRUE,IF('prijem_zahranicie - viac-dom'!$F$122&gt;0,0.00025*C135,0),0))</f>
        <v>0</v>
      </c>
      <c r="L136" s="89">
        <v>120</v>
      </c>
      <c r="M136" s="186" t="e">
        <f t="shared" si="16"/>
        <v>#DIV/0!</v>
      </c>
      <c r="N136" s="171" t="e">
        <f t="shared" si="17"/>
        <v>#DIV/0!</v>
      </c>
      <c r="O136" s="171" t="e">
        <f t="shared" si="10"/>
        <v>#DIV/0!</v>
      </c>
      <c r="P136" s="171" t="e">
        <f t="shared" si="18"/>
        <v>#DIV/0!</v>
      </c>
      <c r="Q136" s="171" t="e">
        <f t="shared" si="19"/>
        <v>#DIV/0!</v>
      </c>
      <c r="R136" s="186">
        <f>IF('prijem_zahranicie - viac-dom'!$I$121=TRUE,IF($C$11&gt;0,0.00025*N135,0),IF('prijem_zahranicie - viac-dom'!$I$122=TRUE,IF('prijem_zahranicie - viac-dom'!$F$122&gt;0,0.00025*N135*-1,0),0))</f>
        <v>0</v>
      </c>
    </row>
    <row r="137" spans="1:18" x14ac:dyDescent="0.2">
      <c r="A137" s="89">
        <v>121</v>
      </c>
      <c r="B137" s="186" t="e">
        <f t="shared" si="11"/>
        <v>#NUM!</v>
      </c>
      <c r="C137" s="171" t="e">
        <f t="shared" si="12"/>
        <v>#NUM!</v>
      </c>
      <c r="D137" s="171" t="e">
        <f t="shared" si="13"/>
        <v>#NUM!</v>
      </c>
      <c r="E137" s="171" t="e">
        <f t="shared" si="14"/>
        <v>#NUM!</v>
      </c>
      <c r="F137" s="171" t="e">
        <f t="shared" si="15"/>
        <v>#NUM!</v>
      </c>
      <c r="G137" s="186">
        <f>IF('prijem_zahranicie - viac-dom'!$I$121=TRUE,IF($C$11&gt;0,0.00025*C136,0),IF('prijem_zahranicie - viac-dom'!$I$122=TRUE,IF('prijem_zahranicie - viac-dom'!$F$122&gt;0,0.00025*C136,0),0))</f>
        <v>0</v>
      </c>
      <c r="L137" s="89">
        <v>121</v>
      </c>
      <c r="M137" s="186" t="e">
        <f t="shared" si="16"/>
        <v>#DIV/0!</v>
      </c>
      <c r="N137" s="171" t="e">
        <f t="shared" si="17"/>
        <v>#DIV/0!</v>
      </c>
      <c r="O137" s="171" t="e">
        <f t="shared" si="10"/>
        <v>#DIV/0!</v>
      </c>
      <c r="P137" s="171" t="e">
        <f t="shared" si="18"/>
        <v>#DIV/0!</v>
      </c>
      <c r="Q137" s="171" t="e">
        <f t="shared" si="19"/>
        <v>#DIV/0!</v>
      </c>
      <c r="R137" s="186">
        <f>IF('prijem_zahranicie - viac-dom'!$I$121=TRUE,IF($C$11&gt;0,0.00025*N136,0),IF('prijem_zahranicie - viac-dom'!$I$122=TRUE,IF('prijem_zahranicie - viac-dom'!$F$122&gt;0,0.00025*N136*-1,0),0))</f>
        <v>0</v>
      </c>
    </row>
    <row r="138" spans="1:18" x14ac:dyDescent="0.2">
      <c r="A138" s="89">
        <v>122</v>
      </c>
      <c r="B138" s="186" t="e">
        <f t="shared" si="11"/>
        <v>#NUM!</v>
      </c>
      <c r="C138" s="171" t="e">
        <f t="shared" si="12"/>
        <v>#NUM!</v>
      </c>
      <c r="D138" s="171" t="e">
        <f t="shared" si="13"/>
        <v>#NUM!</v>
      </c>
      <c r="E138" s="171" t="e">
        <f t="shared" si="14"/>
        <v>#NUM!</v>
      </c>
      <c r="F138" s="171" t="e">
        <f t="shared" si="15"/>
        <v>#NUM!</v>
      </c>
      <c r="G138" s="186">
        <f>IF('prijem_zahranicie - viac-dom'!$I$121=TRUE,IF($C$11&gt;0,0.00025*C137,0),IF('prijem_zahranicie - viac-dom'!$I$122=TRUE,IF('prijem_zahranicie - viac-dom'!$F$122&gt;0,0.00025*C137,0),0))</f>
        <v>0</v>
      </c>
      <c r="L138" s="89">
        <v>122</v>
      </c>
      <c r="M138" s="186" t="e">
        <f t="shared" si="16"/>
        <v>#DIV/0!</v>
      </c>
      <c r="N138" s="171" t="e">
        <f t="shared" si="17"/>
        <v>#DIV/0!</v>
      </c>
      <c r="O138" s="171" t="e">
        <f t="shared" si="10"/>
        <v>#DIV/0!</v>
      </c>
      <c r="P138" s="171" t="e">
        <f t="shared" si="18"/>
        <v>#DIV/0!</v>
      </c>
      <c r="Q138" s="171" t="e">
        <f t="shared" si="19"/>
        <v>#DIV/0!</v>
      </c>
      <c r="R138" s="186">
        <f>IF('prijem_zahranicie - viac-dom'!$I$121=TRUE,IF($C$11&gt;0,0.00025*N137,0),IF('prijem_zahranicie - viac-dom'!$I$122=TRUE,IF('prijem_zahranicie - viac-dom'!$F$122&gt;0,0.00025*N137*-1,0),0))</f>
        <v>0</v>
      </c>
    </row>
    <row r="139" spans="1:18" x14ac:dyDescent="0.2">
      <c r="A139" s="89">
        <v>123</v>
      </c>
      <c r="B139" s="186" t="e">
        <f t="shared" si="11"/>
        <v>#NUM!</v>
      </c>
      <c r="C139" s="171" t="e">
        <f t="shared" si="12"/>
        <v>#NUM!</v>
      </c>
      <c r="D139" s="171" t="e">
        <f t="shared" si="13"/>
        <v>#NUM!</v>
      </c>
      <c r="E139" s="171" t="e">
        <f t="shared" si="14"/>
        <v>#NUM!</v>
      </c>
      <c r="F139" s="171" t="e">
        <f t="shared" si="15"/>
        <v>#NUM!</v>
      </c>
      <c r="G139" s="186">
        <f>IF('prijem_zahranicie - viac-dom'!$I$121=TRUE,IF($C$11&gt;0,0.00025*C138,0),IF('prijem_zahranicie - viac-dom'!$I$122=TRUE,IF('prijem_zahranicie - viac-dom'!$F$122&gt;0,0.00025*C138,0),0))</f>
        <v>0</v>
      </c>
      <c r="L139" s="89">
        <v>123</v>
      </c>
      <c r="M139" s="186" t="e">
        <f t="shared" si="16"/>
        <v>#DIV/0!</v>
      </c>
      <c r="N139" s="171" t="e">
        <f t="shared" si="17"/>
        <v>#DIV/0!</v>
      </c>
      <c r="O139" s="171" t="e">
        <f t="shared" si="10"/>
        <v>#DIV/0!</v>
      </c>
      <c r="P139" s="171" t="e">
        <f t="shared" si="18"/>
        <v>#DIV/0!</v>
      </c>
      <c r="Q139" s="171" t="e">
        <f t="shared" si="19"/>
        <v>#DIV/0!</v>
      </c>
      <c r="R139" s="186">
        <f>IF('prijem_zahranicie - viac-dom'!$I$121=TRUE,IF($C$11&gt;0,0.00025*N138,0),IF('prijem_zahranicie - viac-dom'!$I$122=TRUE,IF('prijem_zahranicie - viac-dom'!$F$122&gt;0,0.00025*N138*-1,0),0))</f>
        <v>0</v>
      </c>
    </row>
    <row r="140" spans="1:18" x14ac:dyDescent="0.2">
      <c r="A140" s="89">
        <v>124</v>
      </c>
      <c r="B140" s="186" t="e">
        <f t="shared" si="11"/>
        <v>#NUM!</v>
      </c>
      <c r="C140" s="171" t="e">
        <f t="shared" si="12"/>
        <v>#NUM!</v>
      </c>
      <c r="D140" s="171" t="e">
        <f t="shared" si="13"/>
        <v>#NUM!</v>
      </c>
      <c r="E140" s="171" t="e">
        <f t="shared" si="14"/>
        <v>#NUM!</v>
      </c>
      <c r="F140" s="171" t="e">
        <f t="shared" si="15"/>
        <v>#NUM!</v>
      </c>
      <c r="G140" s="186">
        <f>IF('prijem_zahranicie - viac-dom'!$I$121=TRUE,IF($C$11&gt;0,0.00025*C139,0),IF('prijem_zahranicie - viac-dom'!$I$122=TRUE,IF('prijem_zahranicie - viac-dom'!$F$122&gt;0,0.00025*C139,0),0))</f>
        <v>0</v>
      </c>
      <c r="L140" s="89">
        <v>124</v>
      </c>
      <c r="M140" s="186" t="e">
        <f t="shared" si="16"/>
        <v>#DIV/0!</v>
      </c>
      <c r="N140" s="171" t="e">
        <f t="shared" si="17"/>
        <v>#DIV/0!</v>
      </c>
      <c r="O140" s="171" t="e">
        <f t="shared" si="10"/>
        <v>#DIV/0!</v>
      </c>
      <c r="P140" s="171" t="e">
        <f t="shared" si="18"/>
        <v>#DIV/0!</v>
      </c>
      <c r="Q140" s="171" t="e">
        <f t="shared" si="19"/>
        <v>#DIV/0!</v>
      </c>
      <c r="R140" s="186">
        <f>IF('prijem_zahranicie - viac-dom'!$I$121=TRUE,IF($C$11&gt;0,0.00025*N139,0),IF('prijem_zahranicie - viac-dom'!$I$122=TRUE,IF('prijem_zahranicie - viac-dom'!$F$122&gt;0,0.00025*N139*-1,0),0))</f>
        <v>0</v>
      </c>
    </row>
    <row r="141" spans="1:18" x14ac:dyDescent="0.2">
      <c r="A141" s="89">
        <v>125</v>
      </c>
      <c r="B141" s="186" t="e">
        <f t="shared" si="11"/>
        <v>#NUM!</v>
      </c>
      <c r="C141" s="171" t="e">
        <f t="shared" si="12"/>
        <v>#NUM!</v>
      </c>
      <c r="D141" s="171" t="e">
        <f t="shared" si="13"/>
        <v>#NUM!</v>
      </c>
      <c r="E141" s="171" t="e">
        <f t="shared" si="14"/>
        <v>#NUM!</v>
      </c>
      <c r="F141" s="171" t="e">
        <f t="shared" si="15"/>
        <v>#NUM!</v>
      </c>
      <c r="G141" s="186">
        <f>IF('prijem_zahranicie - viac-dom'!$I$121=TRUE,IF($C$11&gt;0,0.00025*C140,0),IF('prijem_zahranicie - viac-dom'!$I$122=TRUE,IF('prijem_zahranicie - viac-dom'!$F$122&gt;0,0.00025*C140,0),0))</f>
        <v>0</v>
      </c>
      <c r="L141" s="89">
        <v>125</v>
      </c>
      <c r="M141" s="186" t="e">
        <f t="shared" si="16"/>
        <v>#DIV/0!</v>
      </c>
      <c r="N141" s="171" t="e">
        <f t="shared" si="17"/>
        <v>#DIV/0!</v>
      </c>
      <c r="O141" s="171" t="e">
        <f t="shared" si="10"/>
        <v>#DIV/0!</v>
      </c>
      <c r="P141" s="171" t="e">
        <f t="shared" si="18"/>
        <v>#DIV/0!</v>
      </c>
      <c r="Q141" s="171" t="e">
        <f t="shared" si="19"/>
        <v>#DIV/0!</v>
      </c>
      <c r="R141" s="186">
        <f>IF('prijem_zahranicie - viac-dom'!$I$121=TRUE,IF($C$11&gt;0,0.00025*N140,0),IF('prijem_zahranicie - viac-dom'!$I$122=TRUE,IF('prijem_zahranicie - viac-dom'!$F$122&gt;0,0.00025*N140*-1,0),0))</f>
        <v>0</v>
      </c>
    </row>
    <row r="142" spans="1:18" x14ac:dyDescent="0.2">
      <c r="A142" s="89">
        <v>126</v>
      </c>
      <c r="B142" s="186" t="e">
        <f t="shared" si="11"/>
        <v>#NUM!</v>
      </c>
      <c r="C142" s="171" t="e">
        <f t="shared" si="12"/>
        <v>#NUM!</v>
      </c>
      <c r="D142" s="171" t="e">
        <f t="shared" si="13"/>
        <v>#NUM!</v>
      </c>
      <c r="E142" s="171" t="e">
        <f t="shared" si="14"/>
        <v>#NUM!</v>
      </c>
      <c r="F142" s="171" t="e">
        <f t="shared" si="15"/>
        <v>#NUM!</v>
      </c>
      <c r="G142" s="186">
        <f>IF('prijem_zahranicie - viac-dom'!$I$121=TRUE,IF($C$11&gt;0,0.00025*C141,0),IF('prijem_zahranicie - viac-dom'!$I$122=TRUE,IF('prijem_zahranicie - viac-dom'!$F$122&gt;0,0.00025*C141,0),0))</f>
        <v>0</v>
      </c>
      <c r="L142" s="89">
        <v>126</v>
      </c>
      <c r="M142" s="186" t="e">
        <f t="shared" si="16"/>
        <v>#DIV/0!</v>
      </c>
      <c r="N142" s="171" t="e">
        <f t="shared" si="17"/>
        <v>#DIV/0!</v>
      </c>
      <c r="O142" s="171" t="e">
        <f t="shared" si="10"/>
        <v>#DIV/0!</v>
      </c>
      <c r="P142" s="171" t="e">
        <f t="shared" si="18"/>
        <v>#DIV/0!</v>
      </c>
      <c r="Q142" s="171" t="e">
        <f t="shared" si="19"/>
        <v>#DIV/0!</v>
      </c>
      <c r="R142" s="186">
        <f>IF('prijem_zahranicie - viac-dom'!$I$121=TRUE,IF($C$11&gt;0,0.00025*N141,0),IF('prijem_zahranicie - viac-dom'!$I$122=TRUE,IF('prijem_zahranicie - viac-dom'!$F$122&gt;0,0.00025*N141*-1,0),0))</f>
        <v>0</v>
      </c>
    </row>
    <row r="143" spans="1:18" x14ac:dyDescent="0.2">
      <c r="A143" s="89">
        <v>127</v>
      </c>
      <c r="B143" s="186" t="e">
        <f t="shared" si="11"/>
        <v>#NUM!</v>
      </c>
      <c r="C143" s="171" t="e">
        <f t="shared" si="12"/>
        <v>#NUM!</v>
      </c>
      <c r="D143" s="171" t="e">
        <f t="shared" si="13"/>
        <v>#NUM!</v>
      </c>
      <c r="E143" s="171" t="e">
        <f t="shared" si="14"/>
        <v>#NUM!</v>
      </c>
      <c r="F143" s="171" t="e">
        <f t="shared" si="15"/>
        <v>#NUM!</v>
      </c>
      <c r="G143" s="186">
        <f>IF('prijem_zahranicie - viac-dom'!$I$121=TRUE,IF($C$11&gt;0,0.00025*C142,0),IF('prijem_zahranicie - viac-dom'!$I$122=TRUE,IF('prijem_zahranicie - viac-dom'!$F$122&gt;0,0.00025*C142,0),0))</f>
        <v>0</v>
      </c>
      <c r="L143" s="89">
        <v>127</v>
      </c>
      <c r="M143" s="186" t="e">
        <f t="shared" si="16"/>
        <v>#DIV/0!</v>
      </c>
      <c r="N143" s="171" t="e">
        <f t="shared" si="17"/>
        <v>#DIV/0!</v>
      </c>
      <c r="O143" s="171" t="e">
        <f t="shared" si="10"/>
        <v>#DIV/0!</v>
      </c>
      <c r="P143" s="171" t="e">
        <f t="shared" si="18"/>
        <v>#DIV/0!</v>
      </c>
      <c r="Q143" s="171" t="e">
        <f t="shared" si="19"/>
        <v>#DIV/0!</v>
      </c>
      <c r="R143" s="186">
        <f>IF('prijem_zahranicie - viac-dom'!$I$121=TRUE,IF($C$11&gt;0,0.00025*N142,0),IF('prijem_zahranicie - viac-dom'!$I$122=TRUE,IF('prijem_zahranicie - viac-dom'!$F$122&gt;0,0.00025*N142*-1,0),0))</f>
        <v>0</v>
      </c>
    </row>
    <row r="144" spans="1:18" x14ac:dyDescent="0.2">
      <c r="A144" s="89">
        <v>128</v>
      </c>
      <c r="B144" s="186" t="e">
        <f t="shared" si="11"/>
        <v>#NUM!</v>
      </c>
      <c r="C144" s="171" t="e">
        <f t="shared" si="12"/>
        <v>#NUM!</v>
      </c>
      <c r="D144" s="171" t="e">
        <f t="shared" si="13"/>
        <v>#NUM!</v>
      </c>
      <c r="E144" s="171" t="e">
        <f t="shared" si="14"/>
        <v>#NUM!</v>
      </c>
      <c r="F144" s="171" t="e">
        <f t="shared" si="15"/>
        <v>#NUM!</v>
      </c>
      <c r="G144" s="186">
        <f>IF('prijem_zahranicie - viac-dom'!$I$121=TRUE,IF($C$11&gt;0,0.00025*C143,0),IF('prijem_zahranicie - viac-dom'!$I$122=TRUE,IF('prijem_zahranicie - viac-dom'!$F$122&gt;0,0.00025*C143,0),0))</f>
        <v>0</v>
      </c>
      <c r="L144" s="89">
        <v>128</v>
      </c>
      <c r="M144" s="186" t="e">
        <f t="shared" si="16"/>
        <v>#DIV/0!</v>
      </c>
      <c r="N144" s="171" t="e">
        <f t="shared" si="17"/>
        <v>#DIV/0!</v>
      </c>
      <c r="O144" s="171" t="e">
        <f t="shared" si="10"/>
        <v>#DIV/0!</v>
      </c>
      <c r="P144" s="171" t="e">
        <f t="shared" si="18"/>
        <v>#DIV/0!</v>
      </c>
      <c r="Q144" s="171" t="e">
        <f t="shared" si="19"/>
        <v>#DIV/0!</v>
      </c>
      <c r="R144" s="186">
        <f>IF('prijem_zahranicie - viac-dom'!$I$121=TRUE,IF($C$11&gt;0,0.00025*N143,0),IF('prijem_zahranicie - viac-dom'!$I$122=TRUE,IF('prijem_zahranicie - viac-dom'!$F$122&gt;0,0.00025*N143*-1,0),0))</f>
        <v>0</v>
      </c>
    </row>
    <row r="145" spans="1:18" x14ac:dyDescent="0.2">
      <c r="A145" s="89">
        <v>129</v>
      </c>
      <c r="B145" s="186" t="e">
        <f t="shared" si="11"/>
        <v>#NUM!</v>
      </c>
      <c r="C145" s="171" t="e">
        <f t="shared" si="12"/>
        <v>#NUM!</v>
      </c>
      <c r="D145" s="171" t="e">
        <f t="shared" si="13"/>
        <v>#NUM!</v>
      </c>
      <c r="E145" s="171" t="e">
        <f t="shared" si="14"/>
        <v>#NUM!</v>
      </c>
      <c r="F145" s="171" t="e">
        <f t="shared" si="15"/>
        <v>#NUM!</v>
      </c>
      <c r="G145" s="186">
        <f>IF('prijem_zahranicie - viac-dom'!$I$121=TRUE,IF($C$11&gt;0,0.00025*C144,0),IF('prijem_zahranicie - viac-dom'!$I$122=TRUE,IF('prijem_zahranicie - viac-dom'!$F$122&gt;0,0.00025*C144,0),0))</f>
        <v>0</v>
      </c>
      <c r="L145" s="89">
        <v>129</v>
      </c>
      <c r="M145" s="186" t="e">
        <f t="shared" si="16"/>
        <v>#DIV/0!</v>
      </c>
      <c r="N145" s="171" t="e">
        <f t="shared" si="17"/>
        <v>#DIV/0!</v>
      </c>
      <c r="O145" s="171" t="e">
        <f t="shared" ref="O145:O208" si="20">$N$16/$N$5</f>
        <v>#DIV/0!</v>
      </c>
      <c r="P145" s="171" t="e">
        <f t="shared" si="18"/>
        <v>#DIV/0!</v>
      </c>
      <c r="Q145" s="171" t="e">
        <f t="shared" si="19"/>
        <v>#DIV/0!</v>
      </c>
      <c r="R145" s="186">
        <f>IF('prijem_zahranicie - viac-dom'!$I$121=TRUE,IF($C$11&gt;0,0.00025*N144,0),IF('prijem_zahranicie - viac-dom'!$I$122=TRUE,IF('prijem_zahranicie - viac-dom'!$F$122&gt;0,0.00025*N144*-1,0),0))</f>
        <v>0</v>
      </c>
    </row>
    <row r="146" spans="1:18" x14ac:dyDescent="0.2">
      <c r="A146" s="89">
        <v>130</v>
      </c>
      <c r="B146" s="186" t="e">
        <f t="shared" ref="B146:B209" si="21">IF(C145&gt;0.00001,F146-G146,0)</f>
        <v>#NUM!</v>
      </c>
      <c r="C146" s="171" t="e">
        <f t="shared" ref="C146:C209" si="22">MAX(C145-D146,0)</f>
        <v>#NUM!</v>
      </c>
      <c r="D146" s="171" t="e">
        <f t="shared" ref="D146:D209" si="23">(F146-E146)*-1</f>
        <v>#NUM!</v>
      </c>
      <c r="E146" s="171" t="e">
        <f t="shared" ref="E146:E209" si="24">IPMT($C$4/12,1,$C$5,C145)</f>
        <v>#NUM!</v>
      </c>
      <c r="F146" s="171" t="e">
        <f t="shared" ref="F146:F209" si="25">PMT($C$4/12,$C$5,$C$3)</f>
        <v>#NUM!</v>
      </c>
      <c r="G146" s="186">
        <f>IF('prijem_zahranicie - viac-dom'!$I$121=TRUE,IF($C$11&gt;0,0.00025*C145,0),IF('prijem_zahranicie - viac-dom'!$I$122=TRUE,IF('prijem_zahranicie - viac-dom'!$F$122&gt;0,0.00025*C145,0),0))</f>
        <v>0</v>
      </c>
      <c r="L146" s="89">
        <v>130</v>
      </c>
      <c r="M146" s="186" t="e">
        <f t="shared" ref="M146:M209" si="26">IF(N145&gt;0.00001,Q146-R146,0)*-1</f>
        <v>#DIV/0!</v>
      </c>
      <c r="N146" s="171" t="e">
        <f t="shared" ref="N146:N209" si="27">MAX(N145-O146,0)</f>
        <v>#DIV/0!</v>
      </c>
      <c r="O146" s="171" t="e">
        <f t="shared" si="20"/>
        <v>#DIV/0!</v>
      </c>
      <c r="P146" s="171" t="e">
        <f t="shared" ref="P146:P209" si="28">N145*$N$4/12</f>
        <v>#DIV/0!</v>
      </c>
      <c r="Q146" s="171" t="e">
        <f t="shared" ref="Q146:Q209" si="29">P146+O146</f>
        <v>#DIV/0!</v>
      </c>
      <c r="R146" s="186">
        <f>IF('prijem_zahranicie - viac-dom'!$I$121=TRUE,IF($C$11&gt;0,0.00025*N145,0),IF('prijem_zahranicie - viac-dom'!$I$122=TRUE,IF('prijem_zahranicie - viac-dom'!$F$122&gt;0,0.00025*N145*-1,0),0))</f>
        <v>0</v>
      </c>
    </row>
    <row r="147" spans="1:18" x14ac:dyDescent="0.2">
      <c r="A147" s="89">
        <v>131</v>
      </c>
      <c r="B147" s="186" t="e">
        <f t="shared" si="21"/>
        <v>#NUM!</v>
      </c>
      <c r="C147" s="171" t="e">
        <f t="shared" si="22"/>
        <v>#NUM!</v>
      </c>
      <c r="D147" s="171" t="e">
        <f t="shared" si="23"/>
        <v>#NUM!</v>
      </c>
      <c r="E147" s="171" t="e">
        <f t="shared" si="24"/>
        <v>#NUM!</v>
      </c>
      <c r="F147" s="171" t="e">
        <f t="shared" si="25"/>
        <v>#NUM!</v>
      </c>
      <c r="G147" s="186">
        <f>IF('prijem_zahranicie - viac-dom'!$I$121=TRUE,IF($C$11&gt;0,0.00025*C146,0),IF('prijem_zahranicie - viac-dom'!$I$122=TRUE,IF('prijem_zahranicie - viac-dom'!$F$122&gt;0,0.00025*C146,0),0))</f>
        <v>0</v>
      </c>
      <c r="L147" s="89">
        <v>131</v>
      </c>
      <c r="M147" s="186" t="e">
        <f t="shared" si="26"/>
        <v>#DIV/0!</v>
      </c>
      <c r="N147" s="171" t="e">
        <f t="shared" si="27"/>
        <v>#DIV/0!</v>
      </c>
      <c r="O147" s="171" t="e">
        <f t="shared" si="20"/>
        <v>#DIV/0!</v>
      </c>
      <c r="P147" s="171" t="e">
        <f t="shared" si="28"/>
        <v>#DIV/0!</v>
      </c>
      <c r="Q147" s="171" t="e">
        <f t="shared" si="29"/>
        <v>#DIV/0!</v>
      </c>
      <c r="R147" s="186">
        <f>IF('prijem_zahranicie - viac-dom'!$I$121=TRUE,IF($C$11&gt;0,0.00025*N146,0),IF('prijem_zahranicie - viac-dom'!$I$122=TRUE,IF('prijem_zahranicie - viac-dom'!$F$122&gt;0,0.00025*N146*-1,0),0))</f>
        <v>0</v>
      </c>
    </row>
    <row r="148" spans="1:18" x14ac:dyDescent="0.2">
      <c r="A148" s="89">
        <v>132</v>
      </c>
      <c r="B148" s="186" t="e">
        <f t="shared" si="21"/>
        <v>#NUM!</v>
      </c>
      <c r="C148" s="171" t="e">
        <f t="shared" si="22"/>
        <v>#NUM!</v>
      </c>
      <c r="D148" s="171" t="e">
        <f t="shared" si="23"/>
        <v>#NUM!</v>
      </c>
      <c r="E148" s="171" t="e">
        <f t="shared" si="24"/>
        <v>#NUM!</v>
      </c>
      <c r="F148" s="171" t="e">
        <f t="shared" si="25"/>
        <v>#NUM!</v>
      </c>
      <c r="G148" s="186">
        <f>IF('prijem_zahranicie - viac-dom'!$I$121=TRUE,IF($C$11&gt;0,0.00025*C147,0),IF('prijem_zahranicie - viac-dom'!$I$122=TRUE,IF('prijem_zahranicie - viac-dom'!$F$122&gt;0,0.00025*C147,0),0))</f>
        <v>0</v>
      </c>
      <c r="L148" s="89">
        <v>132</v>
      </c>
      <c r="M148" s="186" t="e">
        <f t="shared" si="26"/>
        <v>#DIV/0!</v>
      </c>
      <c r="N148" s="171" t="e">
        <f t="shared" si="27"/>
        <v>#DIV/0!</v>
      </c>
      <c r="O148" s="171" t="e">
        <f t="shared" si="20"/>
        <v>#DIV/0!</v>
      </c>
      <c r="P148" s="171" t="e">
        <f t="shared" si="28"/>
        <v>#DIV/0!</v>
      </c>
      <c r="Q148" s="171" t="e">
        <f t="shared" si="29"/>
        <v>#DIV/0!</v>
      </c>
      <c r="R148" s="186">
        <f>IF('prijem_zahranicie - viac-dom'!$I$121=TRUE,IF($C$11&gt;0,0.00025*N147,0),IF('prijem_zahranicie - viac-dom'!$I$122=TRUE,IF('prijem_zahranicie - viac-dom'!$F$122&gt;0,0.00025*N147*-1,0),0))</f>
        <v>0</v>
      </c>
    </row>
    <row r="149" spans="1:18" x14ac:dyDescent="0.2">
      <c r="A149" s="89">
        <v>133</v>
      </c>
      <c r="B149" s="186" t="e">
        <f t="shared" si="21"/>
        <v>#NUM!</v>
      </c>
      <c r="C149" s="171" t="e">
        <f t="shared" si="22"/>
        <v>#NUM!</v>
      </c>
      <c r="D149" s="171" t="e">
        <f t="shared" si="23"/>
        <v>#NUM!</v>
      </c>
      <c r="E149" s="171" t="e">
        <f t="shared" si="24"/>
        <v>#NUM!</v>
      </c>
      <c r="F149" s="171" t="e">
        <f t="shared" si="25"/>
        <v>#NUM!</v>
      </c>
      <c r="G149" s="186">
        <f>IF('prijem_zahranicie - viac-dom'!$I$121=TRUE,IF($C$11&gt;0,0.00025*C148,0),IF('prijem_zahranicie - viac-dom'!$I$122=TRUE,IF('prijem_zahranicie - viac-dom'!$F$122&gt;0,0.00025*C148,0),0))</f>
        <v>0</v>
      </c>
      <c r="L149" s="89">
        <v>133</v>
      </c>
      <c r="M149" s="186" t="e">
        <f t="shared" si="26"/>
        <v>#DIV/0!</v>
      </c>
      <c r="N149" s="171" t="e">
        <f t="shared" si="27"/>
        <v>#DIV/0!</v>
      </c>
      <c r="O149" s="171" t="e">
        <f t="shared" si="20"/>
        <v>#DIV/0!</v>
      </c>
      <c r="P149" s="171" t="e">
        <f t="shared" si="28"/>
        <v>#DIV/0!</v>
      </c>
      <c r="Q149" s="171" t="e">
        <f t="shared" si="29"/>
        <v>#DIV/0!</v>
      </c>
      <c r="R149" s="186">
        <f>IF('prijem_zahranicie - viac-dom'!$I$121=TRUE,IF($C$11&gt;0,0.00025*N148,0),IF('prijem_zahranicie - viac-dom'!$I$122=TRUE,IF('prijem_zahranicie - viac-dom'!$F$122&gt;0,0.00025*N148*-1,0),0))</f>
        <v>0</v>
      </c>
    </row>
    <row r="150" spans="1:18" x14ac:dyDescent="0.2">
      <c r="A150" s="89">
        <v>134</v>
      </c>
      <c r="B150" s="186" t="e">
        <f t="shared" si="21"/>
        <v>#NUM!</v>
      </c>
      <c r="C150" s="171" t="e">
        <f t="shared" si="22"/>
        <v>#NUM!</v>
      </c>
      <c r="D150" s="171" t="e">
        <f t="shared" si="23"/>
        <v>#NUM!</v>
      </c>
      <c r="E150" s="171" t="e">
        <f t="shared" si="24"/>
        <v>#NUM!</v>
      </c>
      <c r="F150" s="171" t="e">
        <f t="shared" si="25"/>
        <v>#NUM!</v>
      </c>
      <c r="G150" s="186">
        <f>IF('prijem_zahranicie - viac-dom'!$I$121=TRUE,IF($C$11&gt;0,0.00025*C149,0),IF('prijem_zahranicie - viac-dom'!$I$122=TRUE,IF('prijem_zahranicie - viac-dom'!$F$122&gt;0,0.00025*C149,0),0))</f>
        <v>0</v>
      </c>
      <c r="L150" s="89">
        <v>134</v>
      </c>
      <c r="M150" s="186" t="e">
        <f t="shared" si="26"/>
        <v>#DIV/0!</v>
      </c>
      <c r="N150" s="171" t="e">
        <f t="shared" si="27"/>
        <v>#DIV/0!</v>
      </c>
      <c r="O150" s="171" t="e">
        <f t="shared" si="20"/>
        <v>#DIV/0!</v>
      </c>
      <c r="P150" s="171" t="e">
        <f t="shared" si="28"/>
        <v>#DIV/0!</v>
      </c>
      <c r="Q150" s="171" t="e">
        <f t="shared" si="29"/>
        <v>#DIV/0!</v>
      </c>
      <c r="R150" s="186">
        <f>IF('prijem_zahranicie - viac-dom'!$I$121=TRUE,IF($C$11&gt;0,0.00025*N149,0),IF('prijem_zahranicie - viac-dom'!$I$122=TRUE,IF('prijem_zahranicie - viac-dom'!$F$122&gt;0,0.00025*N149*-1,0),0))</f>
        <v>0</v>
      </c>
    </row>
    <row r="151" spans="1:18" x14ac:dyDescent="0.2">
      <c r="A151" s="89">
        <v>135</v>
      </c>
      <c r="B151" s="186" t="e">
        <f t="shared" si="21"/>
        <v>#NUM!</v>
      </c>
      <c r="C151" s="171" t="e">
        <f t="shared" si="22"/>
        <v>#NUM!</v>
      </c>
      <c r="D151" s="171" t="e">
        <f t="shared" si="23"/>
        <v>#NUM!</v>
      </c>
      <c r="E151" s="171" t="e">
        <f t="shared" si="24"/>
        <v>#NUM!</v>
      </c>
      <c r="F151" s="171" t="e">
        <f t="shared" si="25"/>
        <v>#NUM!</v>
      </c>
      <c r="G151" s="186">
        <f>IF('prijem_zahranicie - viac-dom'!$I$121=TRUE,IF($C$11&gt;0,0.00025*C150,0),IF('prijem_zahranicie - viac-dom'!$I$122=TRUE,IF('prijem_zahranicie - viac-dom'!$F$122&gt;0,0.00025*C150,0),0))</f>
        <v>0</v>
      </c>
      <c r="L151" s="89">
        <v>135</v>
      </c>
      <c r="M151" s="186" t="e">
        <f t="shared" si="26"/>
        <v>#DIV/0!</v>
      </c>
      <c r="N151" s="171" t="e">
        <f t="shared" si="27"/>
        <v>#DIV/0!</v>
      </c>
      <c r="O151" s="171" t="e">
        <f t="shared" si="20"/>
        <v>#DIV/0!</v>
      </c>
      <c r="P151" s="171" t="e">
        <f t="shared" si="28"/>
        <v>#DIV/0!</v>
      </c>
      <c r="Q151" s="171" t="e">
        <f t="shared" si="29"/>
        <v>#DIV/0!</v>
      </c>
      <c r="R151" s="186">
        <f>IF('prijem_zahranicie - viac-dom'!$I$121=TRUE,IF($C$11&gt;0,0.00025*N150,0),IF('prijem_zahranicie - viac-dom'!$I$122=TRUE,IF('prijem_zahranicie - viac-dom'!$F$122&gt;0,0.00025*N150*-1,0),0))</f>
        <v>0</v>
      </c>
    </row>
    <row r="152" spans="1:18" x14ac:dyDescent="0.2">
      <c r="A152" s="89">
        <v>136</v>
      </c>
      <c r="B152" s="186" t="e">
        <f t="shared" si="21"/>
        <v>#NUM!</v>
      </c>
      <c r="C152" s="171" t="e">
        <f t="shared" si="22"/>
        <v>#NUM!</v>
      </c>
      <c r="D152" s="171" t="e">
        <f t="shared" si="23"/>
        <v>#NUM!</v>
      </c>
      <c r="E152" s="171" t="e">
        <f t="shared" si="24"/>
        <v>#NUM!</v>
      </c>
      <c r="F152" s="171" t="e">
        <f t="shared" si="25"/>
        <v>#NUM!</v>
      </c>
      <c r="G152" s="186">
        <f>IF('prijem_zahranicie - viac-dom'!$I$121=TRUE,IF($C$11&gt;0,0.00025*C151,0),IF('prijem_zahranicie - viac-dom'!$I$122=TRUE,IF('prijem_zahranicie - viac-dom'!$F$122&gt;0,0.00025*C151,0),0))</f>
        <v>0</v>
      </c>
      <c r="L152" s="89">
        <v>136</v>
      </c>
      <c r="M152" s="186" t="e">
        <f t="shared" si="26"/>
        <v>#DIV/0!</v>
      </c>
      <c r="N152" s="171" t="e">
        <f t="shared" si="27"/>
        <v>#DIV/0!</v>
      </c>
      <c r="O152" s="171" t="e">
        <f t="shared" si="20"/>
        <v>#DIV/0!</v>
      </c>
      <c r="P152" s="171" t="e">
        <f t="shared" si="28"/>
        <v>#DIV/0!</v>
      </c>
      <c r="Q152" s="171" t="e">
        <f t="shared" si="29"/>
        <v>#DIV/0!</v>
      </c>
      <c r="R152" s="186">
        <f>IF('prijem_zahranicie - viac-dom'!$I$121=TRUE,IF($C$11&gt;0,0.00025*N151,0),IF('prijem_zahranicie - viac-dom'!$I$122=TRUE,IF('prijem_zahranicie - viac-dom'!$F$122&gt;0,0.00025*N151*-1,0),0))</f>
        <v>0</v>
      </c>
    </row>
    <row r="153" spans="1:18" x14ac:dyDescent="0.2">
      <c r="A153" s="89">
        <v>137</v>
      </c>
      <c r="B153" s="186" t="e">
        <f t="shared" si="21"/>
        <v>#NUM!</v>
      </c>
      <c r="C153" s="171" t="e">
        <f t="shared" si="22"/>
        <v>#NUM!</v>
      </c>
      <c r="D153" s="171" t="e">
        <f t="shared" si="23"/>
        <v>#NUM!</v>
      </c>
      <c r="E153" s="171" t="e">
        <f t="shared" si="24"/>
        <v>#NUM!</v>
      </c>
      <c r="F153" s="171" t="e">
        <f t="shared" si="25"/>
        <v>#NUM!</v>
      </c>
      <c r="G153" s="186">
        <f>IF('prijem_zahranicie - viac-dom'!$I$121=TRUE,IF($C$11&gt;0,0.00025*C152,0),IF('prijem_zahranicie - viac-dom'!$I$122=TRUE,IF('prijem_zahranicie - viac-dom'!$F$122&gt;0,0.00025*C152,0),0))</f>
        <v>0</v>
      </c>
      <c r="L153" s="89">
        <v>137</v>
      </c>
      <c r="M153" s="186" t="e">
        <f t="shared" si="26"/>
        <v>#DIV/0!</v>
      </c>
      <c r="N153" s="171" t="e">
        <f t="shared" si="27"/>
        <v>#DIV/0!</v>
      </c>
      <c r="O153" s="171" t="e">
        <f t="shared" si="20"/>
        <v>#DIV/0!</v>
      </c>
      <c r="P153" s="171" t="e">
        <f t="shared" si="28"/>
        <v>#DIV/0!</v>
      </c>
      <c r="Q153" s="171" t="e">
        <f t="shared" si="29"/>
        <v>#DIV/0!</v>
      </c>
      <c r="R153" s="186">
        <f>IF('prijem_zahranicie - viac-dom'!$I$121=TRUE,IF($C$11&gt;0,0.00025*N152,0),IF('prijem_zahranicie - viac-dom'!$I$122=TRUE,IF('prijem_zahranicie - viac-dom'!$F$122&gt;0,0.00025*N152*-1,0),0))</f>
        <v>0</v>
      </c>
    </row>
    <row r="154" spans="1:18" x14ac:dyDescent="0.2">
      <c r="A154" s="89">
        <v>138</v>
      </c>
      <c r="B154" s="186" t="e">
        <f t="shared" si="21"/>
        <v>#NUM!</v>
      </c>
      <c r="C154" s="171" t="e">
        <f t="shared" si="22"/>
        <v>#NUM!</v>
      </c>
      <c r="D154" s="171" t="e">
        <f t="shared" si="23"/>
        <v>#NUM!</v>
      </c>
      <c r="E154" s="171" t="e">
        <f t="shared" si="24"/>
        <v>#NUM!</v>
      </c>
      <c r="F154" s="171" t="e">
        <f t="shared" si="25"/>
        <v>#NUM!</v>
      </c>
      <c r="G154" s="186">
        <f>IF('prijem_zahranicie - viac-dom'!$I$121=TRUE,IF($C$11&gt;0,0.00025*C153,0),IF('prijem_zahranicie - viac-dom'!$I$122=TRUE,IF('prijem_zahranicie - viac-dom'!$F$122&gt;0,0.00025*C153,0),0))</f>
        <v>0</v>
      </c>
      <c r="L154" s="89">
        <v>138</v>
      </c>
      <c r="M154" s="186" t="e">
        <f t="shared" si="26"/>
        <v>#DIV/0!</v>
      </c>
      <c r="N154" s="171" t="e">
        <f t="shared" si="27"/>
        <v>#DIV/0!</v>
      </c>
      <c r="O154" s="171" t="e">
        <f t="shared" si="20"/>
        <v>#DIV/0!</v>
      </c>
      <c r="P154" s="171" t="e">
        <f t="shared" si="28"/>
        <v>#DIV/0!</v>
      </c>
      <c r="Q154" s="171" t="e">
        <f t="shared" si="29"/>
        <v>#DIV/0!</v>
      </c>
      <c r="R154" s="186">
        <f>IF('prijem_zahranicie - viac-dom'!$I$121=TRUE,IF($C$11&gt;0,0.00025*N153,0),IF('prijem_zahranicie - viac-dom'!$I$122=TRUE,IF('prijem_zahranicie - viac-dom'!$F$122&gt;0,0.00025*N153*-1,0),0))</f>
        <v>0</v>
      </c>
    </row>
    <row r="155" spans="1:18" x14ac:dyDescent="0.2">
      <c r="A155" s="89">
        <v>139</v>
      </c>
      <c r="B155" s="186" t="e">
        <f t="shared" si="21"/>
        <v>#NUM!</v>
      </c>
      <c r="C155" s="171" t="e">
        <f t="shared" si="22"/>
        <v>#NUM!</v>
      </c>
      <c r="D155" s="171" t="e">
        <f t="shared" si="23"/>
        <v>#NUM!</v>
      </c>
      <c r="E155" s="171" t="e">
        <f t="shared" si="24"/>
        <v>#NUM!</v>
      </c>
      <c r="F155" s="171" t="e">
        <f t="shared" si="25"/>
        <v>#NUM!</v>
      </c>
      <c r="G155" s="186">
        <f>IF('prijem_zahranicie - viac-dom'!$I$121=TRUE,IF($C$11&gt;0,0.00025*C154,0),IF('prijem_zahranicie - viac-dom'!$I$122=TRUE,IF('prijem_zahranicie - viac-dom'!$F$122&gt;0,0.00025*C154,0),0))</f>
        <v>0</v>
      </c>
      <c r="L155" s="89">
        <v>139</v>
      </c>
      <c r="M155" s="186" t="e">
        <f t="shared" si="26"/>
        <v>#DIV/0!</v>
      </c>
      <c r="N155" s="171" t="e">
        <f t="shared" si="27"/>
        <v>#DIV/0!</v>
      </c>
      <c r="O155" s="171" t="e">
        <f t="shared" si="20"/>
        <v>#DIV/0!</v>
      </c>
      <c r="P155" s="171" t="e">
        <f t="shared" si="28"/>
        <v>#DIV/0!</v>
      </c>
      <c r="Q155" s="171" t="e">
        <f t="shared" si="29"/>
        <v>#DIV/0!</v>
      </c>
      <c r="R155" s="186">
        <f>IF('prijem_zahranicie - viac-dom'!$I$121=TRUE,IF($C$11&gt;0,0.00025*N154,0),IF('prijem_zahranicie - viac-dom'!$I$122=TRUE,IF('prijem_zahranicie - viac-dom'!$F$122&gt;0,0.00025*N154*-1,0),0))</f>
        <v>0</v>
      </c>
    </row>
    <row r="156" spans="1:18" x14ac:dyDescent="0.2">
      <c r="A156" s="89">
        <v>140</v>
      </c>
      <c r="B156" s="186" t="e">
        <f t="shared" si="21"/>
        <v>#NUM!</v>
      </c>
      <c r="C156" s="171" t="e">
        <f t="shared" si="22"/>
        <v>#NUM!</v>
      </c>
      <c r="D156" s="171" t="e">
        <f t="shared" si="23"/>
        <v>#NUM!</v>
      </c>
      <c r="E156" s="171" t="e">
        <f t="shared" si="24"/>
        <v>#NUM!</v>
      </c>
      <c r="F156" s="171" t="e">
        <f t="shared" si="25"/>
        <v>#NUM!</v>
      </c>
      <c r="G156" s="186">
        <f>IF('prijem_zahranicie - viac-dom'!$I$121=TRUE,IF($C$11&gt;0,0.00025*C155,0),IF('prijem_zahranicie - viac-dom'!$I$122=TRUE,IF('prijem_zahranicie - viac-dom'!$F$122&gt;0,0.00025*C155,0),0))</f>
        <v>0</v>
      </c>
      <c r="L156" s="89">
        <v>140</v>
      </c>
      <c r="M156" s="186" t="e">
        <f t="shared" si="26"/>
        <v>#DIV/0!</v>
      </c>
      <c r="N156" s="171" t="e">
        <f t="shared" si="27"/>
        <v>#DIV/0!</v>
      </c>
      <c r="O156" s="171" t="e">
        <f t="shared" si="20"/>
        <v>#DIV/0!</v>
      </c>
      <c r="P156" s="171" t="e">
        <f t="shared" si="28"/>
        <v>#DIV/0!</v>
      </c>
      <c r="Q156" s="171" t="e">
        <f t="shared" si="29"/>
        <v>#DIV/0!</v>
      </c>
      <c r="R156" s="186">
        <f>IF('prijem_zahranicie - viac-dom'!$I$121=TRUE,IF($C$11&gt;0,0.00025*N155,0),IF('prijem_zahranicie - viac-dom'!$I$122=TRUE,IF('prijem_zahranicie - viac-dom'!$F$122&gt;0,0.00025*N155*-1,0),0))</f>
        <v>0</v>
      </c>
    </row>
    <row r="157" spans="1:18" x14ac:dyDescent="0.2">
      <c r="A157" s="89">
        <v>141</v>
      </c>
      <c r="B157" s="186" t="e">
        <f t="shared" si="21"/>
        <v>#NUM!</v>
      </c>
      <c r="C157" s="171" t="e">
        <f t="shared" si="22"/>
        <v>#NUM!</v>
      </c>
      <c r="D157" s="171" t="e">
        <f t="shared" si="23"/>
        <v>#NUM!</v>
      </c>
      <c r="E157" s="171" t="e">
        <f t="shared" si="24"/>
        <v>#NUM!</v>
      </c>
      <c r="F157" s="171" t="e">
        <f t="shared" si="25"/>
        <v>#NUM!</v>
      </c>
      <c r="G157" s="186">
        <f>IF('prijem_zahranicie - viac-dom'!$I$121=TRUE,IF($C$11&gt;0,0.00025*C156,0),IF('prijem_zahranicie - viac-dom'!$I$122=TRUE,IF('prijem_zahranicie - viac-dom'!$F$122&gt;0,0.00025*C156,0),0))</f>
        <v>0</v>
      </c>
      <c r="L157" s="89">
        <v>141</v>
      </c>
      <c r="M157" s="186" t="e">
        <f t="shared" si="26"/>
        <v>#DIV/0!</v>
      </c>
      <c r="N157" s="171" t="e">
        <f t="shared" si="27"/>
        <v>#DIV/0!</v>
      </c>
      <c r="O157" s="171" t="e">
        <f t="shared" si="20"/>
        <v>#DIV/0!</v>
      </c>
      <c r="P157" s="171" t="e">
        <f t="shared" si="28"/>
        <v>#DIV/0!</v>
      </c>
      <c r="Q157" s="171" t="e">
        <f t="shared" si="29"/>
        <v>#DIV/0!</v>
      </c>
      <c r="R157" s="186">
        <f>IF('prijem_zahranicie - viac-dom'!$I$121=TRUE,IF($C$11&gt;0,0.00025*N156,0),IF('prijem_zahranicie - viac-dom'!$I$122=TRUE,IF('prijem_zahranicie - viac-dom'!$F$122&gt;0,0.00025*N156*-1,0),0))</f>
        <v>0</v>
      </c>
    </row>
    <row r="158" spans="1:18" x14ac:dyDescent="0.2">
      <c r="A158" s="89">
        <v>142</v>
      </c>
      <c r="B158" s="186" t="e">
        <f t="shared" si="21"/>
        <v>#NUM!</v>
      </c>
      <c r="C158" s="171" t="e">
        <f t="shared" si="22"/>
        <v>#NUM!</v>
      </c>
      <c r="D158" s="171" t="e">
        <f t="shared" si="23"/>
        <v>#NUM!</v>
      </c>
      <c r="E158" s="171" t="e">
        <f t="shared" si="24"/>
        <v>#NUM!</v>
      </c>
      <c r="F158" s="171" t="e">
        <f t="shared" si="25"/>
        <v>#NUM!</v>
      </c>
      <c r="G158" s="186">
        <f>IF('prijem_zahranicie - viac-dom'!$I$121=TRUE,IF($C$11&gt;0,0.00025*C157,0),IF('prijem_zahranicie - viac-dom'!$I$122=TRUE,IF('prijem_zahranicie - viac-dom'!$F$122&gt;0,0.00025*C157,0),0))</f>
        <v>0</v>
      </c>
      <c r="L158" s="89">
        <v>142</v>
      </c>
      <c r="M158" s="186" t="e">
        <f t="shared" si="26"/>
        <v>#DIV/0!</v>
      </c>
      <c r="N158" s="171" t="e">
        <f t="shared" si="27"/>
        <v>#DIV/0!</v>
      </c>
      <c r="O158" s="171" t="e">
        <f t="shared" si="20"/>
        <v>#DIV/0!</v>
      </c>
      <c r="P158" s="171" t="e">
        <f t="shared" si="28"/>
        <v>#DIV/0!</v>
      </c>
      <c r="Q158" s="171" t="e">
        <f t="shared" si="29"/>
        <v>#DIV/0!</v>
      </c>
      <c r="R158" s="186">
        <f>IF('prijem_zahranicie - viac-dom'!$I$121=TRUE,IF($C$11&gt;0,0.00025*N157,0),IF('prijem_zahranicie - viac-dom'!$I$122=TRUE,IF('prijem_zahranicie - viac-dom'!$F$122&gt;0,0.00025*N157*-1,0),0))</f>
        <v>0</v>
      </c>
    </row>
    <row r="159" spans="1:18" x14ac:dyDescent="0.2">
      <c r="A159" s="89">
        <v>143</v>
      </c>
      <c r="B159" s="186" t="e">
        <f t="shared" si="21"/>
        <v>#NUM!</v>
      </c>
      <c r="C159" s="171" t="e">
        <f t="shared" si="22"/>
        <v>#NUM!</v>
      </c>
      <c r="D159" s="171" t="e">
        <f t="shared" si="23"/>
        <v>#NUM!</v>
      </c>
      <c r="E159" s="171" t="e">
        <f t="shared" si="24"/>
        <v>#NUM!</v>
      </c>
      <c r="F159" s="171" t="e">
        <f t="shared" si="25"/>
        <v>#NUM!</v>
      </c>
      <c r="G159" s="186">
        <f>IF('prijem_zahranicie - viac-dom'!$I$121=TRUE,IF($C$11&gt;0,0.00025*C158,0),IF('prijem_zahranicie - viac-dom'!$I$122=TRUE,IF('prijem_zahranicie - viac-dom'!$F$122&gt;0,0.00025*C158,0),0))</f>
        <v>0</v>
      </c>
      <c r="L159" s="89">
        <v>143</v>
      </c>
      <c r="M159" s="186" t="e">
        <f t="shared" si="26"/>
        <v>#DIV/0!</v>
      </c>
      <c r="N159" s="171" t="e">
        <f t="shared" si="27"/>
        <v>#DIV/0!</v>
      </c>
      <c r="O159" s="171" t="e">
        <f t="shared" si="20"/>
        <v>#DIV/0!</v>
      </c>
      <c r="P159" s="171" t="e">
        <f t="shared" si="28"/>
        <v>#DIV/0!</v>
      </c>
      <c r="Q159" s="171" t="e">
        <f t="shared" si="29"/>
        <v>#DIV/0!</v>
      </c>
      <c r="R159" s="186">
        <f>IF('prijem_zahranicie - viac-dom'!$I$121=TRUE,IF($C$11&gt;0,0.00025*N158,0),IF('prijem_zahranicie - viac-dom'!$I$122=TRUE,IF('prijem_zahranicie - viac-dom'!$F$122&gt;0,0.00025*N158*-1,0),0))</f>
        <v>0</v>
      </c>
    </row>
    <row r="160" spans="1:18" x14ac:dyDescent="0.2">
      <c r="A160" s="89">
        <v>144</v>
      </c>
      <c r="B160" s="186" t="e">
        <f t="shared" si="21"/>
        <v>#NUM!</v>
      </c>
      <c r="C160" s="171" t="e">
        <f t="shared" si="22"/>
        <v>#NUM!</v>
      </c>
      <c r="D160" s="171" t="e">
        <f t="shared" si="23"/>
        <v>#NUM!</v>
      </c>
      <c r="E160" s="171" t="e">
        <f t="shared" si="24"/>
        <v>#NUM!</v>
      </c>
      <c r="F160" s="171" t="e">
        <f t="shared" si="25"/>
        <v>#NUM!</v>
      </c>
      <c r="G160" s="186">
        <f>IF('prijem_zahranicie - viac-dom'!$I$121=TRUE,IF($C$11&gt;0,0.00025*C159,0),IF('prijem_zahranicie - viac-dom'!$I$122=TRUE,IF('prijem_zahranicie - viac-dom'!$F$122&gt;0,0.00025*C159,0),0))</f>
        <v>0</v>
      </c>
      <c r="L160" s="89">
        <v>144</v>
      </c>
      <c r="M160" s="186" t="e">
        <f t="shared" si="26"/>
        <v>#DIV/0!</v>
      </c>
      <c r="N160" s="171" t="e">
        <f t="shared" si="27"/>
        <v>#DIV/0!</v>
      </c>
      <c r="O160" s="171" t="e">
        <f t="shared" si="20"/>
        <v>#DIV/0!</v>
      </c>
      <c r="P160" s="171" t="e">
        <f t="shared" si="28"/>
        <v>#DIV/0!</v>
      </c>
      <c r="Q160" s="171" t="e">
        <f t="shared" si="29"/>
        <v>#DIV/0!</v>
      </c>
      <c r="R160" s="186">
        <f>IF('prijem_zahranicie - viac-dom'!$I$121=TRUE,IF($C$11&gt;0,0.00025*N159,0),IF('prijem_zahranicie - viac-dom'!$I$122=TRUE,IF('prijem_zahranicie - viac-dom'!$F$122&gt;0,0.00025*N159*-1,0),0))</f>
        <v>0</v>
      </c>
    </row>
    <row r="161" spans="1:18" x14ac:dyDescent="0.2">
      <c r="A161" s="89">
        <v>145</v>
      </c>
      <c r="B161" s="186" t="e">
        <f t="shared" si="21"/>
        <v>#NUM!</v>
      </c>
      <c r="C161" s="171" t="e">
        <f t="shared" si="22"/>
        <v>#NUM!</v>
      </c>
      <c r="D161" s="171" t="e">
        <f t="shared" si="23"/>
        <v>#NUM!</v>
      </c>
      <c r="E161" s="171" t="e">
        <f t="shared" si="24"/>
        <v>#NUM!</v>
      </c>
      <c r="F161" s="171" t="e">
        <f t="shared" si="25"/>
        <v>#NUM!</v>
      </c>
      <c r="G161" s="186">
        <f>IF('prijem_zahranicie - viac-dom'!$I$121=TRUE,IF($C$11&gt;0,0.00025*C160,0),IF('prijem_zahranicie - viac-dom'!$I$122=TRUE,IF('prijem_zahranicie - viac-dom'!$F$122&gt;0,0.00025*C160,0),0))</f>
        <v>0</v>
      </c>
      <c r="L161" s="89">
        <v>145</v>
      </c>
      <c r="M161" s="186" t="e">
        <f t="shared" si="26"/>
        <v>#DIV/0!</v>
      </c>
      <c r="N161" s="171" t="e">
        <f t="shared" si="27"/>
        <v>#DIV/0!</v>
      </c>
      <c r="O161" s="171" t="e">
        <f t="shared" si="20"/>
        <v>#DIV/0!</v>
      </c>
      <c r="P161" s="171" t="e">
        <f t="shared" si="28"/>
        <v>#DIV/0!</v>
      </c>
      <c r="Q161" s="171" t="e">
        <f t="shared" si="29"/>
        <v>#DIV/0!</v>
      </c>
      <c r="R161" s="186">
        <f>IF('prijem_zahranicie - viac-dom'!$I$121=TRUE,IF($C$11&gt;0,0.00025*N160,0),IF('prijem_zahranicie - viac-dom'!$I$122=TRUE,IF('prijem_zahranicie - viac-dom'!$F$122&gt;0,0.00025*N160*-1,0),0))</f>
        <v>0</v>
      </c>
    </row>
    <row r="162" spans="1:18" x14ac:dyDescent="0.2">
      <c r="A162" s="89">
        <v>146</v>
      </c>
      <c r="B162" s="186" t="e">
        <f t="shared" si="21"/>
        <v>#NUM!</v>
      </c>
      <c r="C162" s="171" t="e">
        <f t="shared" si="22"/>
        <v>#NUM!</v>
      </c>
      <c r="D162" s="171" t="e">
        <f t="shared" si="23"/>
        <v>#NUM!</v>
      </c>
      <c r="E162" s="171" t="e">
        <f t="shared" si="24"/>
        <v>#NUM!</v>
      </c>
      <c r="F162" s="171" t="e">
        <f t="shared" si="25"/>
        <v>#NUM!</v>
      </c>
      <c r="G162" s="186">
        <f>IF('prijem_zahranicie - viac-dom'!$I$121=TRUE,IF($C$11&gt;0,0.00025*C161,0),IF('prijem_zahranicie - viac-dom'!$I$122=TRUE,IF('prijem_zahranicie - viac-dom'!$F$122&gt;0,0.00025*C161,0),0))</f>
        <v>0</v>
      </c>
      <c r="L162" s="89">
        <v>146</v>
      </c>
      <c r="M162" s="186" t="e">
        <f t="shared" si="26"/>
        <v>#DIV/0!</v>
      </c>
      <c r="N162" s="171" t="e">
        <f t="shared" si="27"/>
        <v>#DIV/0!</v>
      </c>
      <c r="O162" s="171" t="e">
        <f t="shared" si="20"/>
        <v>#DIV/0!</v>
      </c>
      <c r="P162" s="171" t="e">
        <f t="shared" si="28"/>
        <v>#DIV/0!</v>
      </c>
      <c r="Q162" s="171" t="e">
        <f t="shared" si="29"/>
        <v>#DIV/0!</v>
      </c>
      <c r="R162" s="186">
        <f>IF('prijem_zahranicie - viac-dom'!$I$121=TRUE,IF($C$11&gt;0,0.00025*N161,0),IF('prijem_zahranicie - viac-dom'!$I$122=TRUE,IF('prijem_zahranicie - viac-dom'!$F$122&gt;0,0.00025*N161*-1,0),0))</f>
        <v>0</v>
      </c>
    </row>
    <row r="163" spans="1:18" x14ac:dyDescent="0.2">
      <c r="A163" s="89">
        <v>147</v>
      </c>
      <c r="B163" s="186" t="e">
        <f t="shared" si="21"/>
        <v>#NUM!</v>
      </c>
      <c r="C163" s="171" t="e">
        <f t="shared" si="22"/>
        <v>#NUM!</v>
      </c>
      <c r="D163" s="171" t="e">
        <f t="shared" si="23"/>
        <v>#NUM!</v>
      </c>
      <c r="E163" s="171" t="e">
        <f t="shared" si="24"/>
        <v>#NUM!</v>
      </c>
      <c r="F163" s="171" t="e">
        <f t="shared" si="25"/>
        <v>#NUM!</v>
      </c>
      <c r="G163" s="186">
        <f>IF('prijem_zahranicie - viac-dom'!$I$121=TRUE,IF($C$11&gt;0,0.00025*C162,0),IF('prijem_zahranicie - viac-dom'!$I$122=TRUE,IF('prijem_zahranicie - viac-dom'!$F$122&gt;0,0.00025*C162,0),0))</f>
        <v>0</v>
      </c>
      <c r="L163" s="89">
        <v>147</v>
      </c>
      <c r="M163" s="186" t="e">
        <f t="shared" si="26"/>
        <v>#DIV/0!</v>
      </c>
      <c r="N163" s="171" t="e">
        <f t="shared" si="27"/>
        <v>#DIV/0!</v>
      </c>
      <c r="O163" s="171" t="e">
        <f t="shared" si="20"/>
        <v>#DIV/0!</v>
      </c>
      <c r="P163" s="171" t="e">
        <f t="shared" si="28"/>
        <v>#DIV/0!</v>
      </c>
      <c r="Q163" s="171" t="e">
        <f t="shared" si="29"/>
        <v>#DIV/0!</v>
      </c>
      <c r="R163" s="186">
        <f>IF('prijem_zahranicie - viac-dom'!$I$121=TRUE,IF($C$11&gt;0,0.00025*N162,0),IF('prijem_zahranicie - viac-dom'!$I$122=TRUE,IF('prijem_zahranicie - viac-dom'!$F$122&gt;0,0.00025*N162*-1,0),0))</f>
        <v>0</v>
      </c>
    </row>
    <row r="164" spans="1:18" x14ac:dyDescent="0.2">
      <c r="A164" s="89">
        <v>148</v>
      </c>
      <c r="B164" s="186" t="e">
        <f t="shared" si="21"/>
        <v>#NUM!</v>
      </c>
      <c r="C164" s="171" t="e">
        <f t="shared" si="22"/>
        <v>#NUM!</v>
      </c>
      <c r="D164" s="171" t="e">
        <f t="shared" si="23"/>
        <v>#NUM!</v>
      </c>
      <c r="E164" s="171" t="e">
        <f t="shared" si="24"/>
        <v>#NUM!</v>
      </c>
      <c r="F164" s="171" t="e">
        <f t="shared" si="25"/>
        <v>#NUM!</v>
      </c>
      <c r="G164" s="186">
        <f>IF('prijem_zahranicie - viac-dom'!$I$121=TRUE,IF($C$11&gt;0,0.00025*C163,0),IF('prijem_zahranicie - viac-dom'!$I$122=TRUE,IF('prijem_zahranicie - viac-dom'!$F$122&gt;0,0.00025*C163,0),0))</f>
        <v>0</v>
      </c>
      <c r="L164" s="89">
        <v>148</v>
      </c>
      <c r="M164" s="186" t="e">
        <f t="shared" si="26"/>
        <v>#DIV/0!</v>
      </c>
      <c r="N164" s="171" t="e">
        <f t="shared" si="27"/>
        <v>#DIV/0!</v>
      </c>
      <c r="O164" s="171" t="e">
        <f t="shared" si="20"/>
        <v>#DIV/0!</v>
      </c>
      <c r="P164" s="171" t="e">
        <f t="shared" si="28"/>
        <v>#DIV/0!</v>
      </c>
      <c r="Q164" s="171" t="e">
        <f t="shared" si="29"/>
        <v>#DIV/0!</v>
      </c>
      <c r="R164" s="186">
        <f>IF('prijem_zahranicie - viac-dom'!$I$121=TRUE,IF($C$11&gt;0,0.00025*N163,0),IF('prijem_zahranicie - viac-dom'!$I$122=TRUE,IF('prijem_zahranicie - viac-dom'!$F$122&gt;0,0.00025*N163*-1,0),0))</f>
        <v>0</v>
      </c>
    </row>
    <row r="165" spans="1:18" x14ac:dyDescent="0.2">
      <c r="A165" s="89">
        <v>149</v>
      </c>
      <c r="B165" s="186" t="e">
        <f t="shared" si="21"/>
        <v>#NUM!</v>
      </c>
      <c r="C165" s="171" t="e">
        <f t="shared" si="22"/>
        <v>#NUM!</v>
      </c>
      <c r="D165" s="171" t="e">
        <f t="shared" si="23"/>
        <v>#NUM!</v>
      </c>
      <c r="E165" s="171" t="e">
        <f t="shared" si="24"/>
        <v>#NUM!</v>
      </c>
      <c r="F165" s="171" t="e">
        <f t="shared" si="25"/>
        <v>#NUM!</v>
      </c>
      <c r="G165" s="186">
        <f>IF('prijem_zahranicie - viac-dom'!$I$121=TRUE,IF($C$11&gt;0,0.00025*C164,0),IF('prijem_zahranicie - viac-dom'!$I$122=TRUE,IF('prijem_zahranicie - viac-dom'!$F$122&gt;0,0.00025*C164,0),0))</f>
        <v>0</v>
      </c>
      <c r="L165" s="89">
        <v>149</v>
      </c>
      <c r="M165" s="186" t="e">
        <f t="shared" si="26"/>
        <v>#DIV/0!</v>
      </c>
      <c r="N165" s="171" t="e">
        <f t="shared" si="27"/>
        <v>#DIV/0!</v>
      </c>
      <c r="O165" s="171" t="e">
        <f t="shared" si="20"/>
        <v>#DIV/0!</v>
      </c>
      <c r="P165" s="171" t="e">
        <f t="shared" si="28"/>
        <v>#DIV/0!</v>
      </c>
      <c r="Q165" s="171" t="e">
        <f t="shared" si="29"/>
        <v>#DIV/0!</v>
      </c>
      <c r="R165" s="186">
        <f>IF('prijem_zahranicie - viac-dom'!$I$121=TRUE,IF($C$11&gt;0,0.00025*N164,0),IF('prijem_zahranicie - viac-dom'!$I$122=TRUE,IF('prijem_zahranicie - viac-dom'!$F$122&gt;0,0.00025*N164*-1,0),0))</f>
        <v>0</v>
      </c>
    </row>
    <row r="166" spans="1:18" x14ac:dyDescent="0.2">
      <c r="A166" s="89">
        <v>150</v>
      </c>
      <c r="B166" s="186" t="e">
        <f t="shared" si="21"/>
        <v>#NUM!</v>
      </c>
      <c r="C166" s="171" t="e">
        <f t="shared" si="22"/>
        <v>#NUM!</v>
      </c>
      <c r="D166" s="171" t="e">
        <f t="shared" si="23"/>
        <v>#NUM!</v>
      </c>
      <c r="E166" s="171" t="e">
        <f t="shared" si="24"/>
        <v>#NUM!</v>
      </c>
      <c r="F166" s="171" t="e">
        <f t="shared" si="25"/>
        <v>#NUM!</v>
      </c>
      <c r="G166" s="186">
        <f>IF('prijem_zahranicie - viac-dom'!$I$121=TRUE,IF($C$11&gt;0,0.00025*C165,0),IF('prijem_zahranicie - viac-dom'!$I$122=TRUE,IF('prijem_zahranicie - viac-dom'!$F$122&gt;0,0.00025*C165,0),0))</f>
        <v>0</v>
      </c>
      <c r="L166" s="89">
        <v>150</v>
      </c>
      <c r="M166" s="186" t="e">
        <f t="shared" si="26"/>
        <v>#DIV/0!</v>
      </c>
      <c r="N166" s="171" t="e">
        <f t="shared" si="27"/>
        <v>#DIV/0!</v>
      </c>
      <c r="O166" s="171" t="e">
        <f t="shared" si="20"/>
        <v>#DIV/0!</v>
      </c>
      <c r="P166" s="171" t="e">
        <f t="shared" si="28"/>
        <v>#DIV/0!</v>
      </c>
      <c r="Q166" s="171" t="e">
        <f t="shared" si="29"/>
        <v>#DIV/0!</v>
      </c>
      <c r="R166" s="186">
        <f>IF('prijem_zahranicie - viac-dom'!$I$121=TRUE,IF($C$11&gt;0,0.00025*N165,0),IF('prijem_zahranicie - viac-dom'!$I$122=TRUE,IF('prijem_zahranicie - viac-dom'!$F$122&gt;0,0.00025*N165*-1,0),0))</f>
        <v>0</v>
      </c>
    </row>
    <row r="167" spans="1:18" x14ac:dyDescent="0.2">
      <c r="A167" s="89">
        <v>151</v>
      </c>
      <c r="B167" s="186" t="e">
        <f t="shared" si="21"/>
        <v>#NUM!</v>
      </c>
      <c r="C167" s="171" t="e">
        <f t="shared" si="22"/>
        <v>#NUM!</v>
      </c>
      <c r="D167" s="171" t="e">
        <f t="shared" si="23"/>
        <v>#NUM!</v>
      </c>
      <c r="E167" s="171" t="e">
        <f t="shared" si="24"/>
        <v>#NUM!</v>
      </c>
      <c r="F167" s="171" t="e">
        <f t="shared" si="25"/>
        <v>#NUM!</v>
      </c>
      <c r="G167" s="186">
        <f>IF('prijem_zahranicie - viac-dom'!$I$121=TRUE,IF($C$11&gt;0,0.00025*C166,0),IF('prijem_zahranicie - viac-dom'!$I$122=TRUE,IF('prijem_zahranicie - viac-dom'!$F$122&gt;0,0.00025*C166,0),0))</f>
        <v>0</v>
      </c>
      <c r="L167" s="89">
        <v>151</v>
      </c>
      <c r="M167" s="186" t="e">
        <f t="shared" si="26"/>
        <v>#DIV/0!</v>
      </c>
      <c r="N167" s="171" t="e">
        <f t="shared" si="27"/>
        <v>#DIV/0!</v>
      </c>
      <c r="O167" s="171" t="e">
        <f t="shared" si="20"/>
        <v>#DIV/0!</v>
      </c>
      <c r="P167" s="171" t="e">
        <f t="shared" si="28"/>
        <v>#DIV/0!</v>
      </c>
      <c r="Q167" s="171" t="e">
        <f t="shared" si="29"/>
        <v>#DIV/0!</v>
      </c>
      <c r="R167" s="186">
        <f>IF('prijem_zahranicie - viac-dom'!$I$121=TRUE,IF($C$11&gt;0,0.00025*N166,0),IF('prijem_zahranicie - viac-dom'!$I$122=TRUE,IF('prijem_zahranicie - viac-dom'!$F$122&gt;0,0.00025*N166*-1,0),0))</f>
        <v>0</v>
      </c>
    </row>
    <row r="168" spans="1:18" x14ac:dyDescent="0.2">
      <c r="A168" s="89">
        <v>152</v>
      </c>
      <c r="B168" s="186" t="e">
        <f t="shared" si="21"/>
        <v>#NUM!</v>
      </c>
      <c r="C168" s="171" t="e">
        <f t="shared" si="22"/>
        <v>#NUM!</v>
      </c>
      <c r="D168" s="171" t="e">
        <f t="shared" si="23"/>
        <v>#NUM!</v>
      </c>
      <c r="E168" s="171" t="e">
        <f t="shared" si="24"/>
        <v>#NUM!</v>
      </c>
      <c r="F168" s="171" t="e">
        <f t="shared" si="25"/>
        <v>#NUM!</v>
      </c>
      <c r="G168" s="186">
        <f>IF('prijem_zahranicie - viac-dom'!$I$121=TRUE,IF($C$11&gt;0,0.00025*C167,0),IF('prijem_zahranicie - viac-dom'!$I$122=TRUE,IF('prijem_zahranicie - viac-dom'!$F$122&gt;0,0.00025*C167,0),0))</f>
        <v>0</v>
      </c>
      <c r="L168" s="89">
        <v>152</v>
      </c>
      <c r="M168" s="186" t="e">
        <f t="shared" si="26"/>
        <v>#DIV/0!</v>
      </c>
      <c r="N168" s="171" t="e">
        <f t="shared" si="27"/>
        <v>#DIV/0!</v>
      </c>
      <c r="O168" s="171" t="e">
        <f t="shared" si="20"/>
        <v>#DIV/0!</v>
      </c>
      <c r="P168" s="171" t="e">
        <f t="shared" si="28"/>
        <v>#DIV/0!</v>
      </c>
      <c r="Q168" s="171" t="e">
        <f t="shared" si="29"/>
        <v>#DIV/0!</v>
      </c>
      <c r="R168" s="186">
        <f>IF('prijem_zahranicie - viac-dom'!$I$121=TRUE,IF($C$11&gt;0,0.00025*N167,0),IF('prijem_zahranicie - viac-dom'!$I$122=TRUE,IF('prijem_zahranicie - viac-dom'!$F$122&gt;0,0.00025*N167*-1,0),0))</f>
        <v>0</v>
      </c>
    </row>
    <row r="169" spans="1:18" x14ac:dyDescent="0.2">
      <c r="A169" s="89">
        <v>153</v>
      </c>
      <c r="B169" s="186" t="e">
        <f t="shared" si="21"/>
        <v>#NUM!</v>
      </c>
      <c r="C169" s="171" t="e">
        <f t="shared" si="22"/>
        <v>#NUM!</v>
      </c>
      <c r="D169" s="171" t="e">
        <f t="shared" si="23"/>
        <v>#NUM!</v>
      </c>
      <c r="E169" s="171" t="e">
        <f t="shared" si="24"/>
        <v>#NUM!</v>
      </c>
      <c r="F169" s="171" t="e">
        <f t="shared" si="25"/>
        <v>#NUM!</v>
      </c>
      <c r="G169" s="186">
        <f>IF('prijem_zahranicie - viac-dom'!$I$121=TRUE,IF($C$11&gt;0,0.00025*C168,0),IF('prijem_zahranicie - viac-dom'!$I$122=TRUE,IF('prijem_zahranicie - viac-dom'!$F$122&gt;0,0.00025*C168,0),0))</f>
        <v>0</v>
      </c>
      <c r="L169" s="89">
        <v>153</v>
      </c>
      <c r="M169" s="186" t="e">
        <f t="shared" si="26"/>
        <v>#DIV/0!</v>
      </c>
      <c r="N169" s="171" t="e">
        <f t="shared" si="27"/>
        <v>#DIV/0!</v>
      </c>
      <c r="O169" s="171" t="e">
        <f t="shared" si="20"/>
        <v>#DIV/0!</v>
      </c>
      <c r="P169" s="171" t="e">
        <f t="shared" si="28"/>
        <v>#DIV/0!</v>
      </c>
      <c r="Q169" s="171" t="e">
        <f t="shared" si="29"/>
        <v>#DIV/0!</v>
      </c>
      <c r="R169" s="186">
        <f>IF('prijem_zahranicie - viac-dom'!$I$121=TRUE,IF($C$11&gt;0,0.00025*N168,0),IF('prijem_zahranicie - viac-dom'!$I$122=TRUE,IF('prijem_zahranicie - viac-dom'!$F$122&gt;0,0.00025*N168*-1,0),0))</f>
        <v>0</v>
      </c>
    </row>
    <row r="170" spans="1:18" x14ac:dyDescent="0.2">
      <c r="A170" s="89">
        <v>154</v>
      </c>
      <c r="B170" s="186" t="e">
        <f t="shared" si="21"/>
        <v>#NUM!</v>
      </c>
      <c r="C170" s="171" t="e">
        <f t="shared" si="22"/>
        <v>#NUM!</v>
      </c>
      <c r="D170" s="171" t="e">
        <f t="shared" si="23"/>
        <v>#NUM!</v>
      </c>
      <c r="E170" s="171" t="e">
        <f t="shared" si="24"/>
        <v>#NUM!</v>
      </c>
      <c r="F170" s="171" t="e">
        <f t="shared" si="25"/>
        <v>#NUM!</v>
      </c>
      <c r="G170" s="186">
        <f>IF('prijem_zahranicie - viac-dom'!$I$121=TRUE,IF($C$11&gt;0,0.00025*C169,0),IF('prijem_zahranicie - viac-dom'!$I$122=TRUE,IF('prijem_zahranicie - viac-dom'!$F$122&gt;0,0.00025*C169,0),0))</f>
        <v>0</v>
      </c>
      <c r="L170" s="89">
        <v>154</v>
      </c>
      <c r="M170" s="186" t="e">
        <f t="shared" si="26"/>
        <v>#DIV/0!</v>
      </c>
      <c r="N170" s="171" t="e">
        <f t="shared" si="27"/>
        <v>#DIV/0!</v>
      </c>
      <c r="O170" s="171" t="e">
        <f t="shared" si="20"/>
        <v>#DIV/0!</v>
      </c>
      <c r="P170" s="171" t="e">
        <f t="shared" si="28"/>
        <v>#DIV/0!</v>
      </c>
      <c r="Q170" s="171" t="e">
        <f t="shared" si="29"/>
        <v>#DIV/0!</v>
      </c>
      <c r="R170" s="186">
        <f>IF('prijem_zahranicie - viac-dom'!$I$121=TRUE,IF($C$11&gt;0,0.00025*N169,0),IF('prijem_zahranicie - viac-dom'!$I$122=TRUE,IF('prijem_zahranicie - viac-dom'!$F$122&gt;0,0.00025*N169*-1,0),0))</f>
        <v>0</v>
      </c>
    </row>
    <row r="171" spans="1:18" x14ac:dyDescent="0.2">
      <c r="A171" s="89">
        <v>155</v>
      </c>
      <c r="B171" s="186" t="e">
        <f t="shared" si="21"/>
        <v>#NUM!</v>
      </c>
      <c r="C171" s="171" t="e">
        <f t="shared" si="22"/>
        <v>#NUM!</v>
      </c>
      <c r="D171" s="171" t="e">
        <f t="shared" si="23"/>
        <v>#NUM!</v>
      </c>
      <c r="E171" s="171" t="e">
        <f t="shared" si="24"/>
        <v>#NUM!</v>
      </c>
      <c r="F171" s="171" t="e">
        <f t="shared" si="25"/>
        <v>#NUM!</v>
      </c>
      <c r="G171" s="186">
        <f>IF('prijem_zahranicie - viac-dom'!$I$121=TRUE,IF($C$11&gt;0,0.00025*C170,0),IF('prijem_zahranicie - viac-dom'!$I$122=TRUE,IF('prijem_zahranicie - viac-dom'!$F$122&gt;0,0.00025*C170,0),0))</f>
        <v>0</v>
      </c>
      <c r="L171" s="89">
        <v>155</v>
      </c>
      <c r="M171" s="186" t="e">
        <f t="shared" si="26"/>
        <v>#DIV/0!</v>
      </c>
      <c r="N171" s="171" t="e">
        <f t="shared" si="27"/>
        <v>#DIV/0!</v>
      </c>
      <c r="O171" s="171" t="e">
        <f t="shared" si="20"/>
        <v>#DIV/0!</v>
      </c>
      <c r="P171" s="171" t="e">
        <f t="shared" si="28"/>
        <v>#DIV/0!</v>
      </c>
      <c r="Q171" s="171" t="e">
        <f t="shared" si="29"/>
        <v>#DIV/0!</v>
      </c>
      <c r="R171" s="186">
        <f>IF('prijem_zahranicie - viac-dom'!$I$121=TRUE,IF($C$11&gt;0,0.00025*N170,0),IF('prijem_zahranicie - viac-dom'!$I$122=TRUE,IF('prijem_zahranicie - viac-dom'!$F$122&gt;0,0.00025*N170*-1,0),0))</f>
        <v>0</v>
      </c>
    </row>
    <row r="172" spans="1:18" x14ac:dyDescent="0.2">
      <c r="A172" s="89">
        <v>156</v>
      </c>
      <c r="B172" s="186" t="e">
        <f t="shared" si="21"/>
        <v>#NUM!</v>
      </c>
      <c r="C172" s="171" t="e">
        <f t="shared" si="22"/>
        <v>#NUM!</v>
      </c>
      <c r="D172" s="171" t="e">
        <f t="shared" si="23"/>
        <v>#NUM!</v>
      </c>
      <c r="E172" s="171" t="e">
        <f t="shared" si="24"/>
        <v>#NUM!</v>
      </c>
      <c r="F172" s="171" t="e">
        <f t="shared" si="25"/>
        <v>#NUM!</v>
      </c>
      <c r="G172" s="186">
        <f>IF('prijem_zahranicie - viac-dom'!$I$121=TRUE,IF($C$11&gt;0,0.00025*C171,0),IF('prijem_zahranicie - viac-dom'!$I$122=TRUE,IF('prijem_zahranicie - viac-dom'!$F$122&gt;0,0.00025*C171,0),0))</f>
        <v>0</v>
      </c>
      <c r="L172" s="89">
        <v>156</v>
      </c>
      <c r="M172" s="186" t="e">
        <f t="shared" si="26"/>
        <v>#DIV/0!</v>
      </c>
      <c r="N172" s="171" t="e">
        <f t="shared" si="27"/>
        <v>#DIV/0!</v>
      </c>
      <c r="O172" s="171" t="e">
        <f t="shared" si="20"/>
        <v>#DIV/0!</v>
      </c>
      <c r="P172" s="171" t="e">
        <f t="shared" si="28"/>
        <v>#DIV/0!</v>
      </c>
      <c r="Q172" s="171" t="e">
        <f t="shared" si="29"/>
        <v>#DIV/0!</v>
      </c>
      <c r="R172" s="186">
        <f>IF('prijem_zahranicie - viac-dom'!$I$121=TRUE,IF($C$11&gt;0,0.00025*N171,0),IF('prijem_zahranicie - viac-dom'!$I$122=TRUE,IF('prijem_zahranicie - viac-dom'!$F$122&gt;0,0.00025*N171*-1,0),0))</f>
        <v>0</v>
      </c>
    </row>
    <row r="173" spans="1:18" x14ac:dyDescent="0.2">
      <c r="A173" s="89">
        <v>157</v>
      </c>
      <c r="B173" s="186" t="e">
        <f t="shared" si="21"/>
        <v>#NUM!</v>
      </c>
      <c r="C173" s="171" t="e">
        <f t="shared" si="22"/>
        <v>#NUM!</v>
      </c>
      <c r="D173" s="171" t="e">
        <f t="shared" si="23"/>
        <v>#NUM!</v>
      </c>
      <c r="E173" s="171" t="e">
        <f t="shared" si="24"/>
        <v>#NUM!</v>
      </c>
      <c r="F173" s="171" t="e">
        <f t="shared" si="25"/>
        <v>#NUM!</v>
      </c>
      <c r="G173" s="186">
        <f>IF('prijem_zahranicie - viac-dom'!$I$121=TRUE,IF($C$11&gt;0,0.00025*C172,0),IF('prijem_zahranicie - viac-dom'!$I$122=TRUE,IF('prijem_zahranicie - viac-dom'!$F$122&gt;0,0.00025*C172,0),0))</f>
        <v>0</v>
      </c>
      <c r="L173" s="89">
        <v>157</v>
      </c>
      <c r="M173" s="186" t="e">
        <f t="shared" si="26"/>
        <v>#DIV/0!</v>
      </c>
      <c r="N173" s="171" t="e">
        <f t="shared" si="27"/>
        <v>#DIV/0!</v>
      </c>
      <c r="O173" s="171" t="e">
        <f t="shared" si="20"/>
        <v>#DIV/0!</v>
      </c>
      <c r="P173" s="171" t="e">
        <f t="shared" si="28"/>
        <v>#DIV/0!</v>
      </c>
      <c r="Q173" s="171" t="e">
        <f t="shared" si="29"/>
        <v>#DIV/0!</v>
      </c>
      <c r="R173" s="186">
        <f>IF('prijem_zahranicie - viac-dom'!$I$121=TRUE,IF($C$11&gt;0,0.00025*N172,0),IF('prijem_zahranicie - viac-dom'!$I$122=TRUE,IF('prijem_zahranicie - viac-dom'!$F$122&gt;0,0.00025*N172*-1,0),0))</f>
        <v>0</v>
      </c>
    </row>
    <row r="174" spans="1:18" x14ac:dyDescent="0.2">
      <c r="A174" s="89">
        <v>158</v>
      </c>
      <c r="B174" s="186" t="e">
        <f t="shared" si="21"/>
        <v>#NUM!</v>
      </c>
      <c r="C174" s="171" t="e">
        <f t="shared" si="22"/>
        <v>#NUM!</v>
      </c>
      <c r="D174" s="171" t="e">
        <f t="shared" si="23"/>
        <v>#NUM!</v>
      </c>
      <c r="E174" s="171" t="e">
        <f t="shared" si="24"/>
        <v>#NUM!</v>
      </c>
      <c r="F174" s="171" t="e">
        <f t="shared" si="25"/>
        <v>#NUM!</v>
      </c>
      <c r="G174" s="186">
        <f>IF('prijem_zahranicie - viac-dom'!$I$121=TRUE,IF($C$11&gt;0,0.00025*C173,0),IF('prijem_zahranicie - viac-dom'!$I$122=TRUE,IF('prijem_zahranicie - viac-dom'!$F$122&gt;0,0.00025*C173,0),0))</f>
        <v>0</v>
      </c>
      <c r="L174" s="89">
        <v>158</v>
      </c>
      <c r="M174" s="186" t="e">
        <f t="shared" si="26"/>
        <v>#DIV/0!</v>
      </c>
      <c r="N174" s="171" t="e">
        <f t="shared" si="27"/>
        <v>#DIV/0!</v>
      </c>
      <c r="O174" s="171" t="e">
        <f t="shared" si="20"/>
        <v>#DIV/0!</v>
      </c>
      <c r="P174" s="171" t="e">
        <f t="shared" si="28"/>
        <v>#DIV/0!</v>
      </c>
      <c r="Q174" s="171" t="e">
        <f t="shared" si="29"/>
        <v>#DIV/0!</v>
      </c>
      <c r="R174" s="186">
        <f>IF('prijem_zahranicie - viac-dom'!$I$121=TRUE,IF($C$11&gt;0,0.00025*N173,0),IF('prijem_zahranicie - viac-dom'!$I$122=TRUE,IF('prijem_zahranicie - viac-dom'!$F$122&gt;0,0.00025*N173*-1,0),0))</f>
        <v>0</v>
      </c>
    </row>
    <row r="175" spans="1:18" x14ac:dyDescent="0.2">
      <c r="A175" s="89">
        <v>159</v>
      </c>
      <c r="B175" s="186" t="e">
        <f t="shared" si="21"/>
        <v>#NUM!</v>
      </c>
      <c r="C175" s="171" t="e">
        <f t="shared" si="22"/>
        <v>#NUM!</v>
      </c>
      <c r="D175" s="171" t="e">
        <f t="shared" si="23"/>
        <v>#NUM!</v>
      </c>
      <c r="E175" s="171" t="e">
        <f t="shared" si="24"/>
        <v>#NUM!</v>
      </c>
      <c r="F175" s="171" t="e">
        <f t="shared" si="25"/>
        <v>#NUM!</v>
      </c>
      <c r="G175" s="186">
        <f>IF('prijem_zahranicie - viac-dom'!$I$121=TRUE,IF($C$11&gt;0,0.00025*C174,0),IF('prijem_zahranicie - viac-dom'!$I$122=TRUE,IF('prijem_zahranicie - viac-dom'!$F$122&gt;0,0.00025*C174,0),0))</f>
        <v>0</v>
      </c>
      <c r="L175" s="89">
        <v>159</v>
      </c>
      <c r="M175" s="186" t="e">
        <f t="shared" si="26"/>
        <v>#DIV/0!</v>
      </c>
      <c r="N175" s="171" t="e">
        <f t="shared" si="27"/>
        <v>#DIV/0!</v>
      </c>
      <c r="O175" s="171" t="e">
        <f t="shared" si="20"/>
        <v>#DIV/0!</v>
      </c>
      <c r="P175" s="171" t="e">
        <f t="shared" si="28"/>
        <v>#DIV/0!</v>
      </c>
      <c r="Q175" s="171" t="e">
        <f t="shared" si="29"/>
        <v>#DIV/0!</v>
      </c>
      <c r="R175" s="186">
        <f>IF('prijem_zahranicie - viac-dom'!$I$121=TRUE,IF($C$11&gt;0,0.00025*N174,0),IF('prijem_zahranicie - viac-dom'!$I$122=TRUE,IF('prijem_zahranicie - viac-dom'!$F$122&gt;0,0.00025*N174*-1,0),0))</f>
        <v>0</v>
      </c>
    </row>
    <row r="176" spans="1:18" x14ac:dyDescent="0.2">
      <c r="A176" s="89">
        <v>160</v>
      </c>
      <c r="B176" s="186" t="e">
        <f t="shared" si="21"/>
        <v>#NUM!</v>
      </c>
      <c r="C176" s="171" t="e">
        <f t="shared" si="22"/>
        <v>#NUM!</v>
      </c>
      <c r="D176" s="171" t="e">
        <f t="shared" si="23"/>
        <v>#NUM!</v>
      </c>
      <c r="E176" s="171" t="e">
        <f t="shared" si="24"/>
        <v>#NUM!</v>
      </c>
      <c r="F176" s="171" t="e">
        <f t="shared" si="25"/>
        <v>#NUM!</v>
      </c>
      <c r="G176" s="186">
        <f>IF('prijem_zahranicie - viac-dom'!$I$121=TRUE,IF($C$11&gt;0,0.00025*C175,0),IF('prijem_zahranicie - viac-dom'!$I$122=TRUE,IF('prijem_zahranicie - viac-dom'!$F$122&gt;0,0.00025*C175,0),0))</f>
        <v>0</v>
      </c>
      <c r="L176" s="89">
        <v>160</v>
      </c>
      <c r="M176" s="186" t="e">
        <f t="shared" si="26"/>
        <v>#DIV/0!</v>
      </c>
      <c r="N176" s="171" t="e">
        <f t="shared" si="27"/>
        <v>#DIV/0!</v>
      </c>
      <c r="O176" s="171" t="e">
        <f t="shared" si="20"/>
        <v>#DIV/0!</v>
      </c>
      <c r="P176" s="171" t="e">
        <f t="shared" si="28"/>
        <v>#DIV/0!</v>
      </c>
      <c r="Q176" s="171" t="e">
        <f t="shared" si="29"/>
        <v>#DIV/0!</v>
      </c>
      <c r="R176" s="186">
        <f>IF('prijem_zahranicie - viac-dom'!$I$121=TRUE,IF($C$11&gt;0,0.00025*N175,0),IF('prijem_zahranicie - viac-dom'!$I$122=TRUE,IF('prijem_zahranicie - viac-dom'!$F$122&gt;0,0.00025*N175*-1,0),0))</f>
        <v>0</v>
      </c>
    </row>
    <row r="177" spans="1:18" x14ac:dyDescent="0.2">
      <c r="A177" s="89">
        <v>161</v>
      </c>
      <c r="B177" s="186" t="e">
        <f t="shared" si="21"/>
        <v>#NUM!</v>
      </c>
      <c r="C177" s="171" t="e">
        <f t="shared" si="22"/>
        <v>#NUM!</v>
      </c>
      <c r="D177" s="171" t="e">
        <f t="shared" si="23"/>
        <v>#NUM!</v>
      </c>
      <c r="E177" s="171" t="e">
        <f t="shared" si="24"/>
        <v>#NUM!</v>
      </c>
      <c r="F177" s="171" t="e">
        <f t="shared" si="25"/>
        <v>#NUM!</v>
      </c>
      <c r="G177" s="186">
        <f>IF('prijem_zahranicie - viac-dom'!$I$121=TRUE,IF($C$11&gt;0,0.00025*C176,0),IF('prijem_zahranicie - viac-dom'!$I$122=TRUE,IF('prijem_zahranicie - viac-dom'!$F$122&gt;0,0.00025*C176,0),0))</f>
        <v>0</v>
      </c>
      <c r="L177" s="89">
        <v>161</v>
      </c>
      <c r="M177" s="186" t="e">
        <f t="shared" si="26"/>
        <v>#DIV/0!</v>
      </c>
      <c r="N177" s="171" t="e">
        <f t="shared" si="27"/>
        <v>#DIV/0!</v>
      </c>
      <c r="O177" s="171" t="e">
        <f t="shared" si="20"/>
        <v>#DIV/0!</v>
      </c>
      <c r="P177" s="171" t="e">
        <f t="shared" si="28"/>
        <v>#DIV/0!</v>
      </c>
      <c r="Q177" s="171" t="e">
        <f t="shared" si="29"/>
        <v>#DIV/0!</v>
      </c>
      <c r="R177" s="186">
        <f>IF('prijem_zahranicie - viac-dom'!$I$121=TRUE,IF($C$11&gt;0,0.00025*N176,0),IF('prijem_zahranicie - viac-dom'!$I$122=TRUE,IF('prijem_zahranicie - viac-dom'!$F$122&gt;0,0.00025*N176*-1,0),0))</f>
        <v>0</v>
      </c>
    </row>
    <row r="178" spans="1:18" x14ac:dyDescent="0.2">
      <c r="A178" s="89">
        <v>162</v>
      </c>
      <c r="B178" s="186" t="e">
        <f t="shared" si="21"/>
        <v>#NUM!</v>
      </c>
      <c r="C178" s="171" t="e">
        <f t="shared" si="22"/>
        <v>#NUM!</v>
      </c>
      <c r="D178" s="171" t="e">
        <f t="shared" si="23"/>
        <v>#NUM!</v>
      </c>
      <c r="E178" s="171" t="e">
        <f t="shared" si="24"/>
        <v>#NUM!</v>
      </c>
      <c r="F178" s="171" t="e">
        <f t="shared" si="25"/>
        <v>#NUM!</v>
      </c>
      <c r="G178" s="186">
        <f>IF('prijem_zahranicie - viac-dom'!$I$121=TRUE,IF($C$11&gt;0,0.00025*C177,0),IF('prijem_zahranicie - viac-dom'!$I$122=TRUE,IF('prijem_zahranicie - viac-dom'!$F$122&gt;0,0.00025*C177,0),0))</f>
        <v>0</v>
      </c>
      <c r="L178" s="89">
        <v>162</v>
      </c>
      <c r="M178" s="186" t="e">
        <f t="shared" si="26"/>
        <v>#DIV/0!</v>
      </c>
      <c r="N178" s="171" t="e">
        <f t="shared" si="27"/>
        <v>#DIV/0!</v>
      </c>
      <c r="O178" s="171" t="e">
        <f t="shared" si="20"/>
        <v>#DIV/0!</v>
      </c>
      <c r="P178" s="171" t="e">
        <f t="shared" si="28"/>
        <v>#DIV/0!</v>
      </c>
      <c r="Q178" s="171" t="e">
        <f t="shared" si="29"/>
        <v>#DIV/0!</v>
      </c>
      <c r="R178" s="186">
        <f>IF('prijem_zahranicie - viac-dom'!$I$121=TRUE,IF($C$11&gt;0,0.00025*N177,0),IF('prijem_zahranicie - viac-dom'!$I$122=TRUE,IF('prijem_zahranicie - viac-dom'!$F$122&gt;0,0.00025*N177*-1,0),0))</f>
        <v>0</v>
      </c>
    </row>
    <row r="179" spans="1:18" x14ac:dyDescent="0.2">
      <c r="A179" s="89">
        <v>163</v>
      </c>
      <c r="B179" s="186" t="e">
        <f t="shared" si="21"/>
        <v>#NUM!</v>
      </c>
      <c r="C179" s="171" t="e">
        <f t="shared" si="22"/>
        <v>#NUM!</v>
      </c>
      <c r="D179" s="171" t="e">
        <f t="shared" si="23"/>
        <v>#NUM!</v>
      </c>
      <c r="E179" s="171" t="e">
        <f t="shared" si="24"/>
        <v>#NUM!</v>
      </c>
      <c r="F179" s="171" t="e">
        <f t="shared" si="25"/>
        <v>#NUM!</v>
      </c>
      <c r="G179" s="186">
        <f>IF('prijem_zahranicie - viac-dom'!$I$121=TRUE,IF($C$11&gt;0,0.00025*C178,0),IF('prijem_zahranicie - viac-dom'!$I$122=TRUE,IF('prijem_zahranicie - viac-dom'!$F$122&gt;0,0.00025*C178,0),0))</f>
        <v>0</v>
      </c>
      <c r="L179" s="89">
        <v>163</v>
      </c>
      <c r="M179" s="186" t="e">
        <f t="shared" si="26"/>
        <v>#DIV/0!</v>
      </c>
      <c r="N179" s="171" t="e">
        <f t="shared" si="27"/>
        <v>#DIV/0!</v>
      </c>
      <c r="O179" s="171" t="e">
        <f t="shared" si="20"/>
        <v>#DIV/0!</v>
      </c>
      <c r="P179" s="171" t="e">
        <f t="shared" si="28"/>
        <v>#DIV/0!</v>
      </c>
      <c r="Q179" s="171" t="e">
        <f t="shared" si="29"/>
        <v>#DIV/0!</v>
      </c>
      <c r="R179" s="186">
        <f>IF('prijem_zahranicie - viac-dom'!$I$121=TRUE,IF($C$11&gt;0,0.00025*N178,0),IF('prijem_zahranicie - viac-dom'!$I$122=TRUE,IF('prijem_zahranicie - viac-dom'!$F$122&gt;0,0.00025*N178*-1,0),0))</f>
        <v>0</v>
      </c>
    </row>
    <row r="180" spans="1:18" x14ac:dyDescent="0.2">
      <c r="A180" s="89">
        <v>164</v>
      </c>
      <c r="B180" s="186" t="e">
        <f t="shared" si="21"/>
        <v>#NUM!</v>
      </c>
      <c r="C180" s="171" t="e">
        <f t="shared" si="22"/>
        <v>#NUM!</v>
      </c>
      <c r="D180" s="171" t="e">
        <f t="shared" si="23"/>
        <v>#NUM!</v>
      </c>
      <c r="E180" s="171" t="e">
        <f t="shared" si="24"/>
        <v>#NUM!</v>
      </c>
      <c r="F180" s="171" t="e">
        <f t="shared" si="25"/>
        <v>#NUM!</v>
      </c>
      <c r="G180" s="186">
        <f>IF('prijem_zahranicie - viac-dom'!$I$121=TRUE,IF($C$11&gt;0,0.00025*C179,0),IF('prijem_zahranicie - viac-dom'!$I$122=TRUE,IF('prijem_zahranicie - viac-dom'!$F$122&gt;0,0.00025*C179,0),0))</f>
        <v>0</v>
      </c>
      <c r="L180" s="89">
        <v>164</v>
      </c>
      <c r="M180" s="186" t="e">
        <f t="shared" si="26"/>
        <v>#DIV/0!</v>
      </c>
      <c r="N180" s="171" t="e">
        <f t="shared" si="27"/>
        <v>#DIV/0!</v>
      </c>
      <c r="O180" s="171" t="e">
        <f t="shared" si="20"/>
        <v>#DIV/0!</v>
      </c>
      <c r="P180" s="171" t="e">
        <f t="shared" si="28"/>
        <v>#DIV/0!</v>
      </c>
      <c r="Q180" s="171" t="e">
        <f t="shared" si="29"/>
        <v>#DIV/0!</v>
      </c>
      <c r="R180" s="186">
        <f>IF('prijem_zahranicie - viac-dom'!$I$121=TRUE,IF($C$11&gt;0,0.00025*N179,0),IF('prijem_zahranicie - viac-dom'!$I$122=TRUE,IF('prijem_zahranicie - viac-dom'!$F$122&gt;0,0.00025*N179*-1,0),0))</f>
        <v>0</v>
      </c>
    </row>
    <row r="181" spans="1:18" x14ac:dyDescent="0.2">
      <c r="A181" s="89">
        <v>165</v>
      </c>
      <c r="B181" s="186" t="e">
        <f t="shared" si="21"/>
        <v>#NUM!</v>
      </c>
      <c r="C181" s="171" t="e">
        <f t="shared" si="22"/>
        <v>#NUM!</v>
      </c>
      <c r="D181" s="171" t="e">
        <f t="shared" si="23"/>
        <v>#NUM!</v>
      </c>
      <c r="E181" s="171" t="e">
        <f t="shared" si="24"/>
        <v>#NUM!</v>
      </c>
      <c r="F181" s="171" t="e">
        <f t="shared" si="25"/>
        <v>#NUM!</v>
      </c>
      <c r="G181" s="186">
        <f>IF('prijem_zahranicie - viac-dom'!$I$121=TRUE,IF($C$11&gt;0,0.00025*C180,0),IF('prijem_zahranicie - viac-dom'!$I$122=TRUE,IF('prijem_zahranicie - viac-dom'!$F$122&gt;0,0.00025*C180,0),0))</f>
        <v>0</v>
      </c>
      <c r="L181" s="89">
        <v>165</v>
      </c>
      <c r="M181" s="186" t="e">
        <f t="shared" si="26"/>
        <v>#DIV/0!</v>
      </c>
      <c r="N181" s="171" t="e">
        <f t="shared" si="27"/>
        <v>#DIV/0!</v>
      </c>
      <c r="O181" s="171" t="e">
        <f t="shared" si="20"/>
        <v>#DIV/0!</v>
      </c>
      <c r="P181" s="171" t="e">
        <f t="shared" si="28"/>
        <v>#DIV/0!</v>
      </c>
      <c r="Q181" s="171" t="e">
        <f t="shared" si="29"/>
        <v>#DIV/0!</v>
      </c>
      <c r="R181" s="186">
        <f>IF('prijem_zahranicie - viac-dom'!$I$121=TRUE,IF($C$11&gt;0,0.00025*N180,0),IF('prijem_zahranicie - viac-dom'!$I$122=TRUE,IF('prijem_zahranicie - viac-dom'!$F$122&gt;0,0.00025*N180*-1,0),0))</f>
        <v>0</v>
      </c>
    </row>
    <row r="182" spans="1:18" x14ac:dyDescent="0.2">
      <c r="A182" s="89">
        <v>166</v>
      </c>
      <c r="B182" s="186" t="e">
        <f t="shared" si="21"/>
        <v>#NUM!</v>
      </c>
      <c r="C182" s="171" t="e">
        <f t="shared" si="22"/>
        <v>#NUM!</v>
      </c>
      <c r="D182" s="171" t="e">
        <f t="shared" si="23"/>
        <v>#NUM!</v>
      </c>
      <c r="E182" s="171" t="e">
        <f t="shared" si="24"/>
        <v>#NUM!</v>
      </c>
      <c r="F182" s="171" t="e">
        <f t="shared" si="25"/>
        <v>#NUM!</v>
      </c>
      <c r="G182" s="186">
        <f>IF('prijem_zahranicie - viac-dom'!$I$121=TRUE,IF($C$11&gt;0,0.00025*C181,0),IF('prijem_zahranicie - viac-dom'!$I$122=TRUE,IF('prijem_zahranicie - viac-dom'!$F$122&gt;0,0.00025*C181,0),0))</f>
        <v>0</v>
      </c>
      <c r="L182" s="89">
        <v>166</v>
      </c>
      <c r="M182" s="186" t="e">
        <f t="shared" si="26"/>
        <v>#DIV/0!</v>
      </c>
      <c r="N182" s="171" t="e">
        <f t="shared" si="27"/>
        <v>#DIV/0!</v>
      </c>
      <c r="O182" s="171" t="e">
        <f t="shared" si="20"/>
        <v>#DIV/0!</v>
      </c>
      <c r="P182" s="171" t="e">
        <f t="shared" si="28"/>
        <v>#DIV/0!</v>
      </c>
      <c r="Q182" s="171" t="e">
        <f t="shared" si="29"/>
        <v>#DIV/0!</v>
      </c>
      <c r="R182" s="186">
        <f>IF('prijem_zahranicie - viac-dom'!$I$121=TRUE,IF($C$11&gt;0,0.00025*N181,0),IF('prijem_zahranicie - viac-dom'!$I$122=TRUE,IF('prijem_zahranicie - viac-dom'!$F$122&gt;0,0.00025*N181*-1,0),0))</f>
        <v>0</v>
      </c>
    </row>
    <row r="183" spans="1:18" x14ac:dyDescent="0.2">
      <c r="A183" s="89">
        <v>167</v>
      </c>
      <c r="B183" s="186" t="e">
        <f t="shared" si="21"/>
        <v>#NUM!</v>
      </c>
      <c r="C183" s="171" t="e">
        <f t="shared" si="22"/>
        <v>#NUM!</v>
      </c>
      <c r="D183" s="171" t="e">
        <f t="shared" si="23"/>
        <v>#NUM!</v>
      </c>
      <c r="E183" s="171" t="e">
        <f t="shared" si="24"/>
        <v>#NUM!</v>
      </c>
      <c r="F183" s="171" t="e">
        <f t="shared" si="25"/>
        <v>#NUM!</v>
      </c>
      <c r="G183" s="186">
        <f>IF('prijem_zahranicie - viac-dom'!$I$121=TRUE,IF($C$11&gt;0,0.00025*C182,0),IF('prijem_zahranicie - viac-dom'!$I$122=TRUE,IF('prijem_zahranicie - viac-dom'!$F$122&gt;0,0.00025*C182,0),0))</f>
        <v>0</v>
      </c>
      <c r="L183" s="89">
        <v>167</v>
      </c>
      <c r="M183" s="186" t="e">
        <f t="shared" si="26"/>
        <v>#DIV/0!</v>
      </c>
      <c r="N183" s="171" t="e">
        <f t="shared" si="27"/>
        <v>#DIV/0!</v>
      </c>
      <c r="O183" s="171" t="e">
        <f t="shared" si="20"/>
        <v>#DIV/0!</v>
      </c>
      <c r="P183" s="171" t="e">
        <f t="shared" si="28"/>
        <v>#DIV/0!</v>
      </c>
      <c r="Q183" s="171" t="e">
        <f t="shared" si="29"/>
        <v>#DIV/0!</v>
      </c>
      <c r="R183" s="186">
        <f>IF('prijem_zahranicie - viac-dom'!$I$121=TRUE,IF($C$11&gt;0,0.00025*N182,0),IF('prijem_zahranicie - viac-dom'!$I$122=TRUE,IF('prijem_zahranicie - viac-dom'!$F$122&gt;0,0.00025*N182*-1,0),0))</f>
        <v>0</v>
      </c>
    </row>
    <row r="184" spans="1:18" x14ac:dyDescent="0.2">
      <c r="A184" s="89">
        <v>168</v>
      </c>
      <c r="B184" s="186" t="e">
        <f t="shared" si="21"/>
        <v>#NUM!</v>
      </c>
      <c r="C184" s="171" t="e">
        <f t="shared" si="22"/>
        <v>#NUM!</v>
      </c>
      <c r="D184" s="171" t="e">
        <f t="shared" si="23"/>
        <v>#NUM!</v>
      </c>
      <c r="E184" s="171" t="e">
        <f t="shared" si="24"/>
        <v>#NUM!</v>
      </c>
      <c r="F184" s="171" t="e">
        <f t="shared" si="25"/>
        <v>#NUM!</v>
      </c>
      <c r="G184" s="186">
        <f>IF('prijem_zahranicie - viac-dom'!$I$121=TRUE,IF($C$11&gt;0,0.00025*C183,0),IF('prijem_zahranicie - viac-dom'!$I$122=TRUE,IF('prijem_zahranicie - viac-dom'!$F$122&gt;0,0.00025*C183,0),0))</f>
        <v>0</v>
      </c>
      <c r="L184" s="89">
        <v>168</v>
      </c>
      <c r="M184" s="186" t="e">
        <f t="shared" si="26"/>
        <v>#DIV/0!</v>
      </c>
      <c r="N184" s="171" t="e">
        <f t="shared" si="27"/>
        <v>#DIV/0!</v>
      </c>
      <c r="O184" s="171" t="e">
        <f t="shared" si="20"/>
        <v>#DIV/0!</v>
      </c>
      <c r="P184" s="171" t="e">
        <f t="shared" si="28"/>
        <v>#DIV/0!</v>
      </c>
      <c r="Q184" s="171" t="e">
        <f t="shared" si="29"/>
        <v>#DIV/0!</v>
      </c>
      <c r="R184" s="186">
        <f>IF('prijem_zahranicie - viac-dom'!$I$121=TRUE,IF($C$11&gt;0,0.00025*N183,0),IF('prijem_zahranicie - viac-dom'!$I$122=TRUE,IF('prijem_zahranicie - viac-dom'!$F$122&gt;0,0.00025*N183*-1,0),0))</f>
        <v>0</v>
      </c>
    </row>
    <row r="185" spans="1:18" x14ac:dyDescent="0.2">
      <c r="A185" s="89">
        <v>169</v>
      </c>
      <c r="B185" s="186" t="e">
        <f t="shared" si="21"/>
        <v>#NUM!</v>
      </c>
      <c r="C185" s="171" t="e">
        <f t="shared" si="22"/>
        <v>#NUM!</v>
      </c>
      <c r="D185" s="171" t="e">
        <f t="shared" si="23"/>
        <v>#NUM!</v>
      </c>
      <c r="E185" s="171" t="e">
        <f t="shared" si="24"/>
        <v>#NUM!</v>
      </c>
      <c r="F185" s="171" t="e">
        <f t="shared" si="25"/>
        <v>#NUM!</v>
      </c>
      <c r="G185" s="186">
        <f>IF('prijem_zahranicie - viac-dom'!$I$121=TRUE,IF($C$11&gt;0,0.00025*C184,0),IF('prijem_zahranicie - viac-dom'!$I$122=TRUE,IF('prijem_zahranicie - viac-dom'!$F$122&gt;0,0.00025*C184,0),0))</f>
        <v>0</v>
      </c>
      <c r="L185" s="89">
        <v>169</v>
      </c>
      <c r="M185" s="186" t="e">
        <f t="shared" si="26"/>
        <v>#DIV/0!</v>
      </c>
      <c r="N185" s="171" t="e">
        <f t="shared" si="27"/>
        <v>#DIV/0!</v>
      </c>
      <c r="O185" s="171" t="e">
        <f t="shared" si="20"/>
        <v>#DIV/0!</v>
      </c>
      <c r="P185" s="171" t="e">
        <f t="shared" si="28"/>
        <v>#DIV/0!</v>
      </c>
      <c r="Q185" s="171" t="e">
        <f t="shared" si="29"/>
        <v>#DIV/0!</v>
      </c>
      <c r="R185" s="186">
        <f>IF('prijem_zahranicie - viac-dom'!$I$121=TRUE,IF($C$11&gt;0,0.00025*N184,0),IF('prijem_zahranicie - viac-dom'!$I$122=TRUE,IF('prijem_zahranicie - viac-dom'!$F$122&gt;0,0.00025*N184*-1,0),0))</f>
        <v>0</v>
      </c>
    </row>
    <row r="186" spans="1:18" x14ac:dyDescent="0.2">
      <c r="A186" s="89">
        <v>170</v>
      </c>
      <c r="B186" s="186" t="e">
        <f t="shared" si="21"/>
        <v>#NUM!</v>
      </c>
      <c r="C186" s="171" t="e">
        <f t="shared" si="22"/>
        <v>#NUM!</v>
      </c>
      <c r="D186" s="171" t="e">
        <f t="shared" si="23"/>
        <v>#NUM!</v>
      </c>
      <c r="E186" s="171" t="e">
        <f t="shared" si="24"/>
        <v>#NUM!</v>
      </c>
      <c r="F186" s="171" t="e">
        <f t="shared" si="25"/>
        <v>#NUM!</v>
      </c>
      <c r="G186" s="186">
        <f>IF('prijem_zahranicie - viac-dom'!$I$121=TRUE,IF($C$11&gt;0,0.00025*C185,0),IF('prijem_zahranicie - viac-dom'!$I$122=TRUE,IF('prijem_zahranicie - viac-dom'!$F$122&gt;0,0.00025*C185,0),0))</f>
        <v>0</v>
      </c>
      <c r="L186" s="89">
        <v>170</v>
      </c>
      <c r="M186" s="186" t="e">
        <f t="shared" si="26"/>
        <v>#DIV/0!</v>
      </c>
      <c r="N186" s="171" t="e">
        <f t="shared" si="27"/>
        <v>#DIV/0!</v>
      </c>
      <c r="O186" s="171" t="e">
        <f t="shared" si="20"/>
        <v>#DIV/0!</v>
      </c>
      <c r="P186" s="171" t="e">
        <f t="shared" si="28"/>
        <v>#DIV/0!</v>
      </c>
      <c r="Q186" s="171" t="e">
        <f t="shared" si="29"/>
        <v>#DIV/0!</v>
      </c>
      <c r="R186" s="186">
        <f>IF('prijem_zahranicie - viac-dom'!$I$121=TRUE,IF($C$11&gt;0,0.00025*N185,0),IF('prijem_zahranicie - viac-dom'!$I$122=TRUE,IF('prijem_zahranicie - viac-dom'!$F$122&gt;0,0.00025*N185*-1,0),0))</f>
        <v>0</v>
      </c>
    </row>
    <row r="187" spans="1:18" x14ac:dyDescent="0.2">
      <c r="A187" s="89">
        <v>171</v>
      </c>
      <c r="B187" s="186" t="e">
        <f t="shared" si="21"/>
        <v>#NUM!</v>
      </c>
      <c r="C187" s="171" t="e">
        <f t="shared" si="22"/>
        <v>#NUM!</v>
      </c>
      <c r="D187" s="171" t="e">
        <f t="shared" si="23"/>
        <v>#NUM!</v>
      </c>
      <c r="E187" s="171" t="e">
        <f t="shared" si="24"/>
        <v>#NUM!</v>
      </c>
      <c r="F187" s="171" t="e">
        <f t="shared" si="25"/>
        <v>#NUM!</v>
      </c>
      <c r="G187" s="186">
        <f>IF('prijem_zahranicie - viac-dom'!$I$121=TRUE,IF($C$11&gt;0,0.00025*C186,0),IF('prijem_zahranicie - viac-dom'!$I$122=TRUE,IF('prijem_zahranicie - viac-dom'!$F$122&gt;0,0.00025*C186,0),0))</f>
        <v>0</v>
      </c>
      <c r="L187" s="89">
        <v>171</v>
      </c>
      <c r="M187" s="186" t="e">
        <f t="shared" si="26"/>
        <v>#DIV/0!</v>
      </c>
      <c r="N187" s="171" t="e">
        <f t="shared" si="27"/>
        <v>#DIV/0!</v>
      </c>
      <c r="O187" s="171" t="e">
        <f t="shared" si="20"/>
        <v>#DIV/0!</v>
      </c>
      <c r="P187" s="171" t="e">
        <f t="shared" si="28"/>
        <v>#DIV/0!</v>
      </c>
      <c r="Q187" s="171" t="e">
        <f t="shared" si="29"/>
        <v>#DIV/0!</v>
      </c>
      <c r="R187" s="186">
        <f>IF('prijem_zahranicie - viac-dom'!$I$121=TRUE,IF($C$11&gt;0,0.00025*N186,0),IF('prijem_zahranicie - viac-dom'!$I$122=TRUE,IF('prijem_zahranicie - viac-dom'!$F$122&gt;0,0.00025*N186*-1,0),0))</f>
        <v>0</v>
      </c>
    </row>
    <row r="188" spans="1:18" x14ac:dyDescent="0.2">
      <c r="A188" s="89">
        <v>172</v>
      </c>
      <c r="B188" s="186" t="e">
        <f t="shared" si="21"/>
        <v>#NUM!</v>
      </c>
      <c r="C188" s="171" t="e">
        <f t="shared" si="22"/>
        <v>#NUM!</v>
      </c>
      <c r="D188" s="171" t="e">
        <f t="shared" si="23"/>
        <v>#NUM!</v>
      </c>
      <c r="E188" s="171" t="e">
        <f t="shared" si="24"/>
        <v>#NUM!</v>
      </c>
      <c r="F188" s="171" t="e">
        <f t="shared" si="25"/>
        <v>#NUM!</v>
      </c>
      <c r="G188" s="186">
        <f>IF('prijem_zahranicie - viac-dom'!$I$121=TRUE,IF($C$11&gt;0,0.00025*C187,0),IF('prijem_zahranicie - viac-dom'!$I$122=TRUE,IF('prijem_zahranicie - viac-dom'!$F$122&gt;0,0.00025*C187,0),0))</f>
        <v>0</v>
      </c>
      <c r="L188" s="89">
        <v>172</v>
      </c>
      <c r="M188" s="186" t="e">
        <f t="shared" si="26"/>
        <v>#DIV/0!</v>
      </c>
      <c r="N188" s="171" t="e">
        <f t="shared" si="27"/>
        <v>#DIV/0!</v>
      </c>
      <c r="O188" s="171" t="e">
        <f t="shared" si="20"/>
        <v>#DIV/0!</v>
      </c>
      <c r="P188" s="171" t="e">
        <f t="shared" si="28"/>
        <v>#DIV/0!</v>
      </c>
      <c r="Q188" s="171" t="e">
        <f t="shared" si="29"/>
        <v>#DIV/0!</v>
      </c>
      <c r="R188" s="186">
        <f>IF('prijem_zahranicie - viac-dom'!$I$121=TRUE,IF($C$11&gt;0,0.00025*N187,0),IF('prijem_zahranicie - viac-dom'!$I$122=TRUE,IF('prijem_zahranicie - viac-dom'!$F$122&gt;0,0.00025*N187*-1,0),0))</f>
        <v>0</v>
      </c>
    </row>
    <row r="189" spans="1:18" x14ac:dyDescent="0.2">
      <c r="A189" s="89">
        <v>173</v>
      </c>
      <c r="B189" s="186" t="e">
        <f t="shared" si="21"/>
        <v>#NUM!</v>
      </c>
      <c r="C189" s="171" t="e">
        <f t="shared" si="22"/>
        <v>#NUM!</v>
      </c>
      <c r="D189" s="171" t="e">
        <f t="shared" si="23"/>
        <v>#NUM!</v>
      </c>
      <c r="E189" s="171" t="e">
        <f t="shared" si="24"/>
        <v>#NUM!</v>
      </c>
      <c r="F189" s="171" t="e">
        <f t="shared" si="25"/>
        <v>#NUM!</v>
      </c>
      <c r="G189" s="186">
        <f>IF('prijem_zahranicie - viac-dom'!$I$121=TRUE,IF($C$11&gt;0,0.00025*C188,0),IF('prijem_zahranicie - viac-dom'!$I$122=TRUE,IF('prijem_zahranicie - viac-dom'!$F$122&gt;0,0.00025*C188,0),0))</f>
        <v>0</v>
      </c>
      <c r="L189" s="89">
        <v>173</v>
      </c>
      <c r="M189" s="186" t="e">
        <f t="shared" si="26"/>
        <v>#DIV/0!</v>
      </c>
      <c r="N189" s="171" t="e">
        <f t="shared" si="27"/>
        <v>#DIV/0!</v>
      </c>
      <c r="O189" s="171" t="e">
        <f t="shared" si="20"/>
        <v>#DIV/0!</v>
      </c>
      <c r="P189" s="171" t="e">
        <f t="shared" si="28"/>
        <v>#DIV/0!</v>
      </c>
      <c r="Q189" s="171" t="e">
        <f t="shared" si="29"/>
        <v>#DIV/0!</v>
      </c>
      <c r="R189" s="186">
        <f>IF('prijem_zahranicie - viac-dom'!$I$121=TRUE,IF($C$11&gt;0,0.00025*N188,0),IF('prijem_zahranicie - viac-dom'!$I$122=TRUE,IF('prijem_zahranicie - viac-dom'!$F$122&gt;0,0.00025*N188*-1,0),0))</f>
        <v>0</v>
      </c>
    </row>
    <row r="190" spans="1:18" x14ac:dyDescent="0.2">
      <c r="A190" s="89">
        <v>174</v>
      </c>
      <c r="B190" s="186" t="e">
        <f t="shared" si="21"/>
        <v>#NUM!</v>
      </c>
      <c r="C190" s="171" t="e">
        <f t="shared" si="22"/>
        <v>#NUM!</v>
      </c>
      <c r="D190" s="171" t="e">
        <f t="shared" si="23"/>
        <v>#NUM!</v>
      </c>
      <c r="E190" s="171" t="e">
        <f t="shared" si="24"/>
        <v>#NUM!</v>
      </c>
      <c r="F190" s="171" t="e">
        <f t="shared" si="25"/>
        <v>#NUM!</v>
      </c>
      <c r="G190" s="186">
        <f>IF('prijem_zahranicie - viac-dom'!$I$121=TRUE,IF($C$11&gt;0,0.00025*C189,0),IF('prijem_zahranicie - viac-dom'!$I$122=TRUE,IF('prijem_zahranicie - viac-dom'!$F$122&gt;0,0.00025*C189,0),0))</f>
        <v>0</v>
      </c>
      <c r="L190" s="89">
        <v>174</v>
      </c>
      <c r="M190" s="186" t="e">
        <f t="shared" si="26"/>
        <v>#DIV/0!</v>
      </c>
      <c r="N190" s="171" t="e">
        <f t="shared" si="27"/>
        <v>#DIV/0!</v>
      </c>
      <c r="O190" s="171" t="e">
        <f t="shared" si="20"/>
        <v>#DIV/0!</v>
      </c>
      <c r="P190" s="171" t="e">
        <f t="shared" si="28"/>
        <v>#DIV/0!</v>
      </c>
      <c r="Q190" s="171" t="e">
        <f t="shared" si="29"/>
        <v>#DIV/0!</v>
      </c>
      <c r="R190" s="186">
        <f>IF('prijem_zahranicie - viac-dom'!$I$121=TRUE,IF($C$11&gt;0,0.00025*N189,0),IF('prijem_zahranicie - viac-dom'!$I$122=TRUE,IF('prijem_zahranicie - viac-dom'!$F$122&gt;0,0.00025*N189*-1,0),0))</f>
        <v>0</v>
      </c>
    </row>
    <row r="191" spans="1:18" x14ac:dyDescent="0.2">
      <c r="A191" s="89">
        <v>175</v>
      </c>
      <c r="B191" s="186" t="e">
        <f t="shared" si="21"/>
        <v>#NUM!</v>
      </c>
      <c r="C191" s="171" t="e">
        <f t="shared" si="22"/>
        <v>#NUM!</v>
      </c>
      <c r="D191" s="171" t="e">
        <f t="shared" si="23"/>
        <v>#NUM!</v>
      </c>
      <c r="E191" s="171" t="e">
        <f t="shared" si="24"/>
        <v>#NUM!</v>
      </c>
      <c r="F191" s="171" t="e">
        <f t="shared" si="25"/>
        <v>#NUM!</v>
      </c>
      <c r="G191" s="186">
        <f>IF('prijem_zahranicie - viac-dom'!$I$121=TRUE,IF($C$11&gt;0,0.00025*C190,0),IF('prijem_zahranicie - viac-dom'!$I$122=TRUE,IF('prijem_zahranicie - viac-dom'!$F$122&gt;0,0.00025*C190,0),0))</f>
        <v>0</v>
      </c>
      <c r="L191" s="89">
        <v>175</v>
      </c>
      <c r="M191" s="186" t="e">
        <f t="shared" si="26"/>
        <v>#DIV/0!</v>
      </c>
      <c r="N191" s="171" t="e">
        <f t="shared" si="27"/>
        <v>#DIV/0!</v>
      </c>
      <c r="O191" s="171" t="e">
        <f t="shared" si="20"/>
        <v>#DIV/0!</v>
      </c>
      <c r="P191" s="171" t="e">
        <f t="shared" si="28"/>
        <v>#DIV/0!</v>
      </c>
      <c r="Q191" s="171" t="e">
        <f t="shared" si="29"/>
        <v>#DIV/0!</v>
      </c>
      <c r="R191" s="186">
        <f>IF('prijem_zahranicie - viac-dom'!$I$121=TRUE,IF($C$11&gt;0,0.00025*N190,0),IF('prijem_zahranicie - viac-dom'!$I$122=TRUE,IF('prijem_zahranicie - viac-dom'!$F$122&gt;0,0.00025*N190*-1,0),0))</f>
        <v>0</v>
      </c>
    </row>
    <row r="192" spans="1:18" x14ac:dyDescent="0.2">
      <c r="A192" s="89">
        <v>176</v>
      </c>
      <c r="B192" s="186" t="e">
        <f t="shared" si="21"/>
        <v>#NUM!</v>
      </c>
      <c r="C192" s="171" t="e">
        <f t="shared" si="22"/>
        <v>#NUM!</v>
      </c>
      <c r="D192" s="171" t="e">
        <f t="shared" si="23"/>
        <v>#NUM!</v>
      </c>
      <c r="E192" s="171" t="e">
        <f t="shared" si="24"/>
        <v>#NUM!</v>
      </c>
      <c r="F192" s="171" t="e">
        <f t="shared" si="25"/>
        <v>#NUM!</v>
      </c>
      <c r="G192" s="186">
        <f>IF('prijem_zahranicie - viac-dom'!$I$121=TRUE,IF($C$11&gt;0,0.00025*C191,0),IF('prijem_zahranicie - viac-dom'!$I$122=TRUE,IF('prijem_zahranicie - viac-dom'!$F$122&gt;0,0.00025*C191,0),0))</f>
        <v>0</v>
      </c>
      <c r="L192" s="89">
        <v>176</v>
      </c>
      <c r="M192" s="186" t="e">
        <f t="shared" si="26"/>
        <v>#DIV/0!</v>
      </c>
      <c r="N192" s="171" t="e">
        <f t="shared" si="27"/>
        <v>#DIV/0!</v>
      </c>
      <c r="O192" s="171" t="e">
        <f t="shared" si="20"/>
        <v>#DIV/0!</v>
      </c>
      <c r="P192" s="171" t="e">
        <f t="shared" si="28"/>
        <v>#DIV/0!</v>
      </c>
      <c r="Q192" s="171" t="e">
        <f t="shared" si="29"/>
        <v>#DIV/0!</v>
      </c>
      <c r="R192" s="186">
        <f>IF('prijem_zahranicie - viac-dom'!$I$121=TRUE,IF($C$11&gt;0,0.00025*N191,0),IF('prijem_zahranicie - viac-dom'!$I$122=TRUE,IF('prijem_zahranicie - viac-dom'!$F$122&gt;0,0.00025*N191*-1,0),0))</f>
        <v>0</v>
      </c>
    </row>
    <row r="193" spans="1:18" x14ac:dyDescent="0.2">
      <c r="A193" s="89">
        <v>177</v>
      </c>
      <c r="B193" s="186" t="e">
        <f t="shared" si="21"/>
        <v>#NUM!</v>
      </c>
      <c r="C193" s="171" t="e">
        <f t="shared" si="22"/>
        <v>#NUM!</v>
      </c>
      <c r="D193" s="171" t="e">
        <f t="shared" si="23"/>
        <v>#NUM!</v>
      </c>
      <c r="E193" s="171" t="e">
        <f t="shared" si="24"/>
        <v>#NUM!</v>
      </c>
      <c r="F193" s="171" t="e">
        <f t="shared" si="25"/>
        <v>#NUM!</v>
      </c>
      <c r="G193" s="186">
        <f>IF('prijem_zahranicie - viac-dom'!$I$121=TRUE,IF($C$11&gt;0,0.00025*C192,0),IF('prijem_zahranicie - viac-dom'!$I$122=TRUE,IF('prijem_zahranicie - viac-dom'!$F$122&gt;0,0.00025*C192,0),0))</f>
        <v>0</v>
      </c>
      <c r="L193" s="89">
        <v>177</v>
      </c>
      <c r="M193" s="186" t="e">
        <f t="shared" si="26"/>
        <v>#DIV/0!</v>
      </c>
      <c r="N193" s="171" t="e">
        <f t="shared" si="27"/>
        <v>#DIV/0!</v>
      </c>
      <c r="O193" s="171" t="e">
        <f t="shared" si="20"/>
        <v>#DIV/0!</v>
      </c>
      <c r="P193" s="171" t="e">
        <f t="shared" si="28"/>
        <v>#DIV/0!</v>
      </c>
      <c r="Q193" s="171" t="e">
        <f t="shared" si="29"/>
        <v>#DIV/0!</v>
      </c>
      <c r="R193" s="186">
        <f>IF('prijem_zahranicie - viac-dom'!$I$121=TRUE,IF($C$11&gt;0,0.00025*N192,0),IF('prijem_zahranicie - viac-dom'!$I$122=TRUE,IF('prijem_zahranicie - viac-dom'!$F$122&gt;0,0.00025*N192*-1,0),0))</f>
        <v>0</v>
      </c>
    </row>
    <row r="194" spans="1:18" x14ac:dyDescent="0.2">
      <c r="A194" s="89">
        <v>178</v>
      </c>
      <c r="B194" s="186" t="e">
        <f t="shared" si="21"/>
        <v>#NUM!</v>
      </c>
      <c r="C194" s="171" t="e">
        <f t="shared" si="22"/>
        <v>#NUM!</v>
      </c>
      <c r="D194" s="171" t="e">
        <f t="shared" si="23"/>
        <v>#NUM!</v>
      </c>
      <c r="E194" s="171" t="e">
        <f t="shared" si="24"/>
        <v>#NUM!</v>
      </c>
      <c r="F194" s="171" t="e">
        <f t="shared" si="25"/>
        <v>#NUM!</v>
      </c>
      <c r="G194" s="186">
        <f>IF('prijem_zahranicie - viac-dom'!$I$121=TRUE,IF($C$11&gt;0,0.00025*C193,0),IF('prijem_zahranicie - viac-dom'!$I$122=TRUE,IF('prijem_zahranicie - viac-dom'!$F$122&gt;0,0.00025*C193,0),0))</f>
        <v>0</v>
      </c>
      <c r="L194" s="89">
        <v>178</v>
      </c>
      <c r="M194" s="186" t="e">
        <f t="shared" si="26"/>
        <v>#DIV/0!</v>
      </c>
      <c r="N194" s="171" t="e">
        <f t="shared" si="27"/>
        <v>#DIV/0!</v>
      </c>
      <c r="O194" s="171" t="e">
        <f t="shared" si="20"/>
        <v>#DIV/0!</v>
      </c>
      <c r="P194" s="171" t="e">
        <f t="shared" si="28"/>
        <v>#DIV/0!</v>
      </c>
      <c r="Q194" s="171" t="e">
        <f t="shared" si="29"/>
        <v>#DIV/0!</v>
      </c>
      <c r="R194" s="186">
        <f>IF('prijem_zahranicie - viac-dom'!$I$121=TRUE,IF($C$11&gt;0,0.00025*N193,0),IF('prijem_zahranicie - viac-dom'!$I$122=TRUE,IF('prijem_zahranicie - viac-dom'!$F$122&gt;0,0.00025*N193*-1,0),0))</f>
        <v>0</v>
      </c>
    </row>
    <row r="195" spans="1:18" x14ac:dyDescent="0.2">
      <c r="A195" s="89">
        <v>179</v>
      </c>
      <c r="B195" s="186" t="e">
        <f t="shared" si="21"/>
        <v>#NUM!</v>
      </c>
      <c r="C195" s="171" t="e">
        <f t="shared" si="22"/>
        <v>#NUM!</v>
      </c>
      <c r="D195" s="171" t="e">
        <f t="shared" si="23"/>
        <v>#NUM!</v>
      </c>
      <c r="E195" s="171" t="e">
        <f t="shared" si="24"/>
        <v>#NUM!</v>
      </c>
      <c r="F195" s="171" t="e">
        <f t="shared" si="25"/>
        <v>#NUM!</v>
      </c>
      <c r="G195" s="186">
        <f>IF('prijem_zahranicie - viac-dom'!$I$121=TRUE,IF($C$11&gt;0,0.00025*C194,0),IF('prijem_zahranicie - viac-dom'!$I$122=TRUE,IF('prijem_zahranicie - viac-dom'!$F$122&gt;0,0.00025*C194,0),0))</f>
        <v>0</v>
      </c>
      <c r="L195" s="89">
        <v>179</v>
      </c>
      <c r="M195" s="186" t="e">
        <f t="shared" si="26"/>
        <v>#DIV/0!</v>
      </c>
      <c r="N195" s="171" t="e">
        <f t="shared" si="27"/>
        <v>#DIV/0!</v>
      </c>
      <c r="O195" s="171" t="e">
        <f t="shared" si="20"/>
        <v>#DIV/0!</v>
      </c>
      <c r="P195" s="171" t="e">
        <f t="shared" si="28"/>
        <v>#DIV/0!</v>
      </c>
      <c r="Q195" s="171" t="e">
        <f t="shared" si="29"/>
        <v>#DIV/0!</v>
      </c>
      <c r="R195" s="186">
        <f>IF('prijem_zahranicie - viac-dom'!$I$121=TRUE,IF($C$11&gt;0,0.00025*N194,0),IF('prijem_zahranicie - viac-dom'!$I$122=TRUE,IF('prijem_zahranicie - viac-dom'!$F$122&gt;0,0.00025*N194*-1,0),0))</f>
        <v>0</v>
      </c>
    </row>
    <row r="196" spans="1:18" x14ac:dyDescent="0.2">
      <c r="A196" s="89">
        <v>180</v>
      </c>
      <c r="B196" s="186" t="e">
        <f t="shared" si="21"/>
        <v>#NUM!</v>
      </c>
      <c r="C196" s="171" t="e">
        <f t="shared" si="22"/>
        <v>#NUM!</v>
      </c>
      <c r="D196" s="171" t="e">
        <f t="shared" si="23"/>
        <v>#NUM!</v>
      </c>
      <c r="E196" s="171" t="e">
        <f t="shared" si="24"/>
        <v>#NUM!</v>
      </c>
      <c r="F196" s="171" t="e">
        <f t="shared" si="25"/>
        <v>#NUM!</v>
      </c>
      <c r="G196" s="186">
        <f>IF('prijem_zahranicie - viac-dom'!$I$121=TRUE,IF($C$11&gt;0,0.00025*C195,0),IF('prijem_zahranicie - viac-dom'!$I$122=TRUE,IF('prijem_zahranicie - viac-dom'!$F$122&gt;0,0.00025*C195,0),0))</f>
        <v>0</v>
      </c>
      <c r="L196" s="89">
        <v>180</v>
      </c>
      <c r="M196" s="186" t="e">
        <f t="shared" si="26"/>
        <v>#DIV/0!</v>
      </c>
      <c r="N196" s="171" t="e">
        <f t="shared" si="27"/>
        <v>#DIV/0!</v>
      </c>
      <c r="O196" s="171" t="e">
        <f t="shared" si="20"/>
        <v>#DIV/0!</v>
      </c>
      <c r="P196" s="171" t="e">
        <f t="shared" si="28"/>
        <v>#DIV/0!</v>
      </c>
      <c r="Q196" s="171" t="e">
        <f t="shared" si="29"/>
        <v>#DIV/0!</v>
      </c>
      <c r="R196" s="186">
        <f>IF('prijem_zahranicie - viac-dom'!$I$121=TRUE,IF($C$11&gt;0,0.00025*N195,0),IF('prijem_zahranicie - viac-dom'!$I$122=TRUE,IF('prijem_zahranicie - viac-dom'!$F$122&gt;0,0.00025*N195*-1,0),0))</f>
        <v>0</v>
      </c>
    </row>
    <row r="197" spans="1:18" x14ac:dyDescent="0.2">
      <c r="A197" s="89">
        <v>181</v>
      </c>
      <c r="B197" s="186" t="e">
        <f t="shared" si="21"/>
        <v>#NUM!</v>
      </c>
      <c r="C197" s="171" t="e">
        <f t="shared" si="22"/>
        <v>#NUM!</v>
      </c>
      <c r="D197" s="171" t="e">
        <f t="shared" si="23"/>
        <v>#NUM!</v>
      </c>
      <c r="E197" s="171" t="e">
        <f t="shared" si="24"/>
        <v>#NUM!</v>
      </c>
      <c r="F197" s="171" t="e">
        <f t="shared" si="25"/>
        <v>#NUM!</v>
      </c>
      <c r="G197" s="186">
        <f>IF('prijem_zahranicie - viac-dom'!$I$121=TRUE,IF($C$11&gt;0,0.00025*C196,0),IF('prijem_zahranicie - viac-dom'!$I$122=TRUE,IF('prijem_zahranicie - viac-dom'!$F$122&gt;0,0.00025*C196,0),0))</f>
        <v>0</v>
      </c>
      <c r="L197" s="89">
        <v>181</v>
      </c>
      <c r="M197" s="186" t="e">
        <f t="shared" si="26"/>
        <v>#DIV/0!</v>
      </c>
      <c r="N197" s="171" t="e">
        <f t="shared" si="27"/>
        <v>#DIV/0!</v>
      </c>
      <c r="O197" s="171" t="e">
        <f t="shared" si="20"/>
        <v>#DIV/0!</v>
      </c>
      <c r="P197" s="171" t="e">
        <f t="shared" si="28"/>
        <v>#DIV/0!</v>
      </c>
      <c r="Q197" s="171" t="e">
        <f t="shared" si="29"/>
        <v>#DIV/0!</v>
      </c>
      <c r="R197" s="186">
        <f>IF('prijem_zahranicie - viac-dom'!$I$121=TRUE,IF($C$11&gt;0,0.00025*N196,0),IF('prijem_zahranicie - viac-dom'!$I$122=TRUE,IF('prijem_zahranicie - viac-dom'!$F$122&gt;0,0.00025*N196*-1,0),0))</f>
        <v>0</v>
      </c>
    </row>
    <row r="198" spans="1:18" x14ac:dyDescent="0.2">
      <c r="A198" s="89">
        <v>182</v>
      </c>
      <c r="B198" s="186" t="e">
        <f t="shared" si="21"/>
        <v>#NUM!</v>
      </c>
      <c r="C198" s="171" t="e">
        <f t="shared" si="22"/>
        <v>#NUM!</v>
      </c>
      <c r="D198" s="171" t="e">
        <f t="shared" si="23"/>
        <v>#NUM!</v>
      </c>
      <c r="E198" s="171" t="e">
        <f t="shared" si="24"/>
        <v>#NUM!</v>
      </c>
      <c r="F198" s="171" t="e">
        <f t="shared" si="25"/>
        <v>#NUM!</v>
      </c>
      <c r="G198" s="186">
        <f>IF('prijem_zahranicie - viac-dom'!$I$121=TRUE,IF($C$11&gt;0,0.00025*C197,0),IF('prijem_zahranicie - viac-dom'!$I$122=TRUE,IF('prijem_zahranicie - viac-dom'!$F$122&gt;0,0.00025*C197,0),0))</f>
        <v>0</v>
      </c>
      <c r="L198" s="89">
        <v>182</v>
      </c>
      <c r="M198" s="186" t="e">
        <f t="shared" si="26"/>
        <v>#DIV/0!</v>
      </c>
      <c r="N198" s="171" t="e">
        <f t="shared" si="27"/>
        <v>#DIV/0!</v>
      </c>
      <c r="O198" s="171" t="e">
        <f t="shared" si="20"/>
        <v>#DIV/0!</v>
      </c>
      <c r="P198" s="171" t="e">
        <f t="shared" si="28"/>
        <v>#DIV/0!</v>
      </c>
      <c r="Q198" s="171" t="e">
        <f t="shared" si="29"/>
        <v>#DIV/0!</v>
      </c>
      <c r="R198" s="186">
        <f>IF('prijem_zahranicie - viac-dom'!$I$121=TRUE,IF($C$11&gt;0,0.00025*N197,0),IF('prijem_zahranicie - viac-dom'!$I$122=TRUE,IF('prijem_zahranicie - viac-dom'!$F$122&gt;0,0.00025*N197*-1,0),0))</f>
        <v>0</v>
      </c>
    </row>
    <row r="199" spans="1:18" x14ac:dyDescent="0.2">
      <c r="A199" s="89">
        <v>183</v>
      </c>
      <c r="B199" s="186" t="e">
        <f t="shared" si="21"/>
        <v>#NUM!</v>
      </c>
      <c r="C199" s="171" t="e">
        <f t="shared" si="22"/>
        <v>#NUM!</v>
      </c>
      <c r="D199" s="171" t="e">
        <f t="shared" si="23"/>
        <v>#NUM!</v>
      </c>
      <c r="E199" s="171" t="e">
        <f t="shared" si="24"/>
        <v>#NUM!</v>
      </c>
      <c r="F199" s="171" t="e">
        <f t="shared" si="25"/>
        <v>#NUM!</v>
      </c>
      <c r="G199" s="186">
        <f>IF('prijem_zahranicie - viac-dom'!$I$121=TRUE,IF($C$11&gt;0,0.00025*C198,0),IF('prijem_zahranicie - viac-dom'!$I$122=TRUE,IF('prijem_zahranicie - viac-dom'!$F$122&gt;0,0.00025*C198,0),0))</f>
        <v>0</v>
      </c>
      <c r="L199" s="89">
        <v>183</v>
      </c>
      <c r="M199" s="186" t="e">
        <f t="shared" si="26"/>
        <v>#DIV/0!</v>
      </c>
      <c r="N199" s="171" t="e">
        <f t="shared" si="27"/>
        <v>#DIV/0!</v>
      </c>
      <c r="O199" s="171" t="e">
        <f t="shared" si="20"/>
        <v>#DIV/0!</v>
      </c>
      <c r="P199" s="171" t="e">
        <f t="shared" si="28"/>
        <v>#DIV/0!</v>
      </c>
      <c r="Q199" s="171" t="e">
        <f t="shared" si="29"/>
        <v>#DIV/0!</v>
      </c>
      <c r="R199" s="186">
        <f>IF('prijem_zahranicie - viac-dom'!$I$121=TRUE,IF($C$11&gt;0,0.00025*N198,0),IF('prijem_zahranicie - viac-dom'!$I$122=TRUE,IF('prijem_zahranicie - viac-dom'!$F$122&gt;0,0.00025*N198*-1,0),0))</f>
        <v>0</v>
      </c>
    </row>
    <row r="200" spans="1:18" x14ac:dyDescent="0.2">
      <c r="A200" s="89">
        <v>184</v>
      </c>
      <c r="B200" s="186" t="e">
        <f t="shared" si="21"/>
        <v>#NUM!</v>
      </c>
      <c r="C200" s="171" t="e">
        <f t="shared" si="22"/>
        <v>#NUM!</v>
      </c>
      <c r="D200" s="171" t="e">
        <f t="shared" si="23"/>
        <v>#NUM!</v>
      </c>
      <c r="E200" s="171" t="e">
        <f t="shared" si="24"/>
        <v>#NUM!</v>
      </c>
      <c r="F200" s="171" t="e">
        <f t="shared" si="25"/>
        <v>#NUM!</v>
      </c>
      <c r="G200" s="186">
        <f>IF('prijem_zahranicie - viac-dom'!$I$121=TRUE,IF($C$11&gt;0,0.00025*C199,0),IF('prijem_zahranicie - viac-dom'!$I$122=TRUE,IF('prijem_zahranicie - viac-dom'!$F$122&gt;0,0.00025*C199,0),0))</f>
        <v>0</v>
      </c>
      <c r="L200" s="89">
        <v>184</v>
      </c>
      <c r="M200" s="186" t="e">
        <f t="shared" si="26"/>
        <v>#DIV/0!</v>
      </c>
      <c r="N200" s="171" t="e">
        <f t="shared" si="27"/>
        <v>#DIV/0!</v>
      </c>
      <c r="O200" s="171" t="e">
        <f t="shared" si="20"/>
        <v>#DIV/0!</v>
      </c>
      <c r="P200" s="171" t="e">
        <f t="shared" si="28"/>
        <v>#DIV/0!</v>
      </c>
      <c r="Q200" s="171" t="e">
        <f t="shared" si="29"/>
        <v>#DIV/0!</v>
      </c>
      <c r="R200" s="186">
        <f>IF('prijem_zahranicie - viac-dom'!$I$121=TRUE,IF($C$11&gt;0,0.00025*N199,0),IF('prijem_zahranicie - viac-dom'!$I$122=TRUE,IF('prijem_zahranicie - viac-dom'!$F$122&gt;0,0.00025*N199*-1,0),0))</f>
        <v>0</v>
      </c>
    </row>
    <row r="201" spans="1:18" x14ac:dyDescent="0.2">
      <c r="A201" s="89">
        <v>185</v>
      </c>
      <c r="B201" s="186" t="e">
        <f t="shared" si="21"/>
        <v>#NUM!</v>
      </c>
      <c r="C201" s="171" t="e">
        <f t="shared" si="22"/>
        <v>#NUM!</v>
      </c>
      <c r="D201" s="171" t="e">
        <f t="shared" si="23"/>
        <v>#NUM!</v>
      </c>
      <c r="E201" s="171" t="e">
        <f t="shared" si="24"/>
        <v>#NUM!</v>
      </c>
      <c r="F201" s="171" t="e">
        <f t="shared" si="25"/>
        <v>#NUM!</v>
      </c>
      <c r="G201" s="186">
        <f>IF('prijem_zahranicie - viac-dom'!$I$121=TRUE,IF($C$11&gt;0,0.00025*C200,0),IF('prijem_zahranicie - viac-dom'!$I$122=TRUE,IF('prijem_zahranicie - viac-dom'!$F$122&gt;0,0.00025*C200,0),0))</f>
        <v>0</v>
      </c>
      <c r="L201" s="89">
        <v>185</v>
      </c>
      <c r="M201" s="186" t="e">
        <f t="shared" si="26"/>
        <v>#DIV/0!</v>
      </c>
      <c r="N201" s="171" t="e">
        <f t="shared" si="27"/>
        <v>#DIV/0!</v>
      </c>
      <c r="O201" s="171" t="e">
        <f t="shared" si="20"/>
        <v>#DIV/0!</v>
      </c>
      <c r="P201" s="171" t="e">
        <f t="shared" si="28"/>
        <v>#DIV/0!</v>
      </c>
      <c r="Q201" s="171" t="e">
        <f t="shared" si="29"/>
        <v>#DIV/0!</v>
      </c>
      <c r="R201" s="186">
        <f>IF('prijem_zahranicie - viac-dom'!$I$121=TRUE,IF($C$11&gt;0,0.00025*N200,0),IF('prijem_zahranicie - viac-dom'!$I$122=TRUE,IF('prijem_zahranicie - viac-dom'!$F$122&gt;0,0.00025*N200*-1,0),0))</f>
        <v>0</v>
      </c>
    </row>
    <row r="202" spans="1:18" x14ac:dyDescent="0.2">
      <c r="A202" s="89">
        <v>186</v>
      </c>
      <c r="B202" s="186" t="e">
        <f t="shared" si="21"/>
        <v>#NUM!</v>
      </c>
      <c r="C202" s="171" t="e">
        <f t="shared" si="22"/>
        <v>#NUM!</v>
      </c>
      <c r="D202" s="171" t="e">
        <f t="shared" si="23"/>
        <v>#NUM!</v>
      </c>
      <c r="E202" s="171" t="e">
        <f t="shared" si="24"/>
        <v>#NUM!</v>
      </c>
      <c r="F202" s="171" t="e">
        <f t="shared" si="25"/>
        <v>#NUM!</v>
      </c>
      <c r="G202" s="186">
        <f>IF('prijem_zahranicie - viac-dom'!$I$121=TRUE,IF($C$11&gt;0,0.00025*C201,0),IF('prijem_zahranicie - viac-dom'!$I$122=TRUE,IF('prijem_zahranicie - viac-dom'!$F$122&gt;0,0.00025*C201,0),0))</f>
        <v>0</v>
      </c>
      <c r="L202" s="89">
        <v>186</v>
      </c>
      <c r="M202" s="186" t="e">
        <f t="shared" si="26"/>
        <v>#DIV/0!</v>
      </c>
      <c r="N202" s="171" t="e">
        <f t="shared" si="27"/>
        <v>#DIV/0!</v>
      </c>
      <c r="O202" s="171" t="e">
        <f t="shared" si="20"/>
        <v>#DIV/0!</v>
      </c>
      <c r="P202" s="171" t="e">
        <f t="shared" si="28"/>
        <v>#DIV/0!</v>
      </c>
      <c r="Q202" s="171" t="e">
        <f t="shared" si="29"/>
        <v>#DIV/0!</v>
      </c>
      <c r="R202" s="186">
        <f>IF('prijem_zahranicie - viac-dom'!$I$121=TRUE,IF($C$11&gt;0,0.00025*N201,0),IF('prijem_zahranicie - viac-dom'!$I$122=TRUE,IF('prijem_zahranicie - viac-dom'!$F$122&gt;0,0.00025*N201*-1,0),0))</f>
        <v>0</v>
      </c>
    </row>
    <row r="203" spans="1:18" x14ac:dyDescent="0.2">
      <c r="A203" s="89">
        <v>187</v>
      </c>
      <c r="B203" s="186" t="e">
        <f t="shared" si="21"/>
        <v>#NUM!</v>
      </c>
      <c r="C203" s="171" t="e">
        <f t="shared" si="22"/>
        <v>#NUM!</v>
      </c>
      <c r="D203" s="171" t="e">
        <f t="shared" si="23"/>
        <v>#NUM!</v>
      </c>
      <c r="E203" s="171" t="e">
        <f t="shared" si="24"/>
        <v>#NUM!</v>
      </c>
      <c r="F203" s="171" t="e">
        <f t="shared" si="25"/>
        <v>#NUM!</v>
      </c>
      <c r="G203" s="186">
        <f>IF('prijem_zahranicie - viac-dom'!$I$121=TRUE,IF($C$11&gt;0,0.00025*C202,0),IF('prijem_zahranicie - viac-dom'!$I$122=TRUE,IF('prijem_zahranicie - viac-dom'!$F$122&gt;0,0.00025*C202,0),0))</f>
        <v>0</v>
      </c>
      <c r="L203" s="89">
        <v>187</v>
      </c>
      <c r="M203" s="186" t="e">
        <f t="shared" si="26"/>
        <v>#DIV/0!</v>
      </c>
      <c r="N203" s="171" t="e">
        <f t="shared" si="27"/>
        <v>#DIV/0!</v>
      </c>
      <c r="O203" s="171" t="e">
        <f t="shared" si="20"/>
        <v>#DIV/0!</v>
      </c>
      <c r="P203" s="171" t="e">
        <f t="shared" si="28"/>
        <v>#DIV/0!</v>
      </c>
      <c r="Q203" s="171" t="e">
        <f t="shared" si="29"/>
        <v>#DIV/0!</v>
      </c>
      <c r="R203" s="186">
        <f>IF('prijem_zahranicie - viac-dom'!$I$121=TRUE,IF($C$11&gt;0,0.00025*N202,0),IF('prijem_zahranicie - viac-dom'!$I$122=TRUE,IF('prijem_zahranicie - viac-dom'!$F$122&gt;0,0.00025*N202*-1,0),0))</f>
        <v>0</v>
      </c>
    </row>
    <row r="204" spans="1:18" x14ac:dyDescent="0.2">
      <c r="A204" s="89">
        <v>188</v>
      </c>
      <c r="B204" s="186" t="e">
        <f t="shared" si="21"/>
        <v>#NUM!</v>
      </c>
      <c r="C204" s="171" t="e">
        <f t="shared" si="22"/>
        <v>#NUM!</v>
      </c>
      <c r="D204" s="171" t="e">
        <f t="shared" si="23"/>
        <v>#NUM!</v>
      </c>
      <c r="E204" s="171" t="e">
        <f t="shared" si="24"/>
        <v>#NUM!</v>
      </c>
      <c r="F204" s="171" t="e">
        <f t="shared" si="25"/>
        <v>#NUM!</v>
      </c>
      <c r="G204" s="186">
        <f>IF('prijem_zahranicie - viac-dom'!$I$121=TRUE,IF($C$11&gt;0,0.00025*C203,0),IF('prijem_zahranicie - viac-dom'!$I$122=TRUE,IF('prijem_zahranicie - viac-dom'!$F$122&gt;0,0.00025*C203,0),0))</f>
        <v>0</v>
      </c>
      <c r="L204" s="89">
        <v>188</v>
      </c>
      <c r="M204" s="186" t="e">
        <f t="shared" si="26"/>
        <v>#DIV/0!</v>
      </c>
      <c r="N204" s="171" t="e">
        <f t="shared" si="27"/>
        <v>#DIV/0!</v>
      </c>
      <c r="O204" s="171" t="e">
        <f t="shared" si="20"/>
        <v>#DIV/0!</v>
      </c>
      <c r="P204" s="171" t="e">
        <f t="shared" si="28"/>
        <v>#DIV/0!</v>
      </c>
      <c r="Q204" s="171" t="e">
        <f t="shared" si="29"/>
        <v>#DIV/0!</v>
      </c>
      <c r="R204" s="186">
        <f>IF('prijem_zahranicie - viac-dom'!$I$121=TRUE,IF($C$11&gt;0,0.00025*N203,0),IF('prijem_zahranicie - viac-dom'!$I$122=TRUE,IF('prijem_zahranicie - viac-dom'!$F$122&gt;0,0.00025*N203*-1,0),0))</f>
        <v>0</v>
      </c>
    </row>
    <row r="205" spans="1:18" x14ac:dyDescent="0.2">
      <c r="A205" s="89">
        <v>189</v>
      </c>
      <c r="B205" s="186" t="e">
        <f t="shared" si="21"/>
        <v>#NUM!</v>
      </c>
      <c r="C205" s="171" t="e">
        <f t="shared" si="22"/>
        <v>#NUM!</v>
      </c>
      <c r="D205" s="171" t="e">
        <f t="shared" si="23"/>
        <v>#NUM!</v>
      </c>
      <c r="E205" s="171" t="e">
        <f t="shared" si="24"/>
        <v>#NUM!</v>
      </c>
      <c r="F205" s="171" t="e">
        <f t="shared" si="25"/>
        <v>#NUM!</v>
      </c>
      <c r="G205" s="186">
        <f>IF('prijem_zahranicie - viac-dom'!$I$121=TRUE,IF($C$11&gt;0,0.00025*C204,0),IF('prijem_zahranicie - viac-dom'!$I$122=TRUE,IF('prijem_zahranicie - viac-dom'!$F$122&gt;0,0.00025*C204,0),0))</f>
        <v>0</v>
      </c>
      <c r="L205" s="89">
        <v>189</v>
      </c>
      <c r="M205" s="186" t="e">
        <f t="shared" si="26"/>
        <v>#DIV/0!</v>
      </c>
      <c r="N205" s="171" t="e">
        <f t="shared" si="27"/>
        <v>#DIV/0!</v>
      </c>
      <c r="O205" s="171" t="e">
        <f t="shared" si="20"/>
        <v>#DIV/0!</v>
      </c>
      <c r="P205" s="171" t="e">
        <f t="shared" si="28"/>
        <v>#DIV/0!</v>
      </c>
      <c r="Q205" s="171" t="e">
        <f t="shared" si="29"/>
        <v>#DIV/0!</v>
      </c>
      <c r="R205" s="186">
        <f>IF('prijem_zahranicie - viac-dom'!$I$121=TRUE,IF($C$11&gt;0,0.00025*N204,0),IF('prijem_zahranicie - viac-dom'!$I$122=TRUE,IF('prijem_zahranicie - viac-dom'!$F$122&gt;0,0.00025*N204*-1,0),0))</f>
        <v>0</v>
      </c>
    </row>
    <row r="206" spans="1:18" x14ac:dyDescent="0.2">
      <c r="A206" s="89">
        <v>190</v>
      </c>
      <c r="B206" s="186" t="e">
        <f t="shared" si="21"/>
        <v>#NUM!</v>
      </c>
      <c r="C206" s="171" t="e">
        <f t="shared" si="22"/>
        <v>#NUM!</v>
      </c>
      <c r="D206" s="171" t="e">
        <f t="shared" si="23"/>
        <v>#NUM!</v>
      </c>
      <c r="E206" s="171" t="e">
        <f t="shared" si="24"/>
        <v>#NUM!</v>
      </c>
      <c r="F206" s="171" t="e">
        <f t="shared" si="25"/>
        <v>#NUM!</v>
      </c>
      <c r="G206" s="186">
        <f>IF('prijem_zahranicie - viac-dom'!$I$121=TRUE,IF($C$11&gt;0,0.00025*C205,0),IF('prijem_zahranicie - viac-dom'!$I$122=TRUE,IF('prijem_zahranicie - viac-dom'!$F$122&gt;0,0.00025*C205,0),0))</f>
        <v>0</v>
      </c>
      <c r="L206" s="89">
        <v>190</v>
      </c>
      <c r="M206" s="186" t="e">
        <f t="shared" si="26"/>
        <v>#DIV/0!</v>
      </c>
      <c r="N206" s="171" t="e">
        <f t="shared" si="27"/>
        <v>#DIV/0!</v>
      </c>
      <c r="O206" s="171" t="e">
        <f t="shared" si="20"/>
        <v>#DIV/0!</v>
      </c>
      <c r="P206" s="171" t="e">
        <f t="shared" si="28"/>
        <v>#DIV/0!</v>
      </c>
      <c r="Q206" s="171" t="e">
        <f t="shared" si="29"/>
        <v>#DIV/0!</v>
      </c>
      <c r="R206" s="186">
        <f>IF('prijem_zahranicie - viac-dom'!$I$121=TRUE,IF($C$11&gt;0,0.00025*N205,0),IF('prijem_zahranicie - viac-dom'!$I$122=TRUE,IF('prijem_zahranicie - viac-dom'!$F$122&gt;0,0.00025*N205*-1,0),0))</f>
        <v>0</v>
      </c>
    </row>
    <row r="207" spans="1:18" x14ac:dyDescent="0.2">
      <c r="A207" s="89">
        <v>191</v>
      </c>
      <c r="B207" s="186" t="e">
        <f t="shared" si="21"/>
        <v>#NUM!</v>
      </c>
      <c r="C207" s="171" t="e">
        <f t="shared" si="22"/>
        <v>#NUM!</v>
      </c>
      <c r="D207" s="171" t="e">
        <f t="shared" si="23"/>
        <v>#NUM!</v>
      </c>
      <c r="E207" s="171" t="e">
        <f t="shared" si="24"/>
        <v>#NUM!</v>
      </c>
      <c r="F207" s="171" t="e">
        <f t="shared" si="25"/>
        <v>#NUM!</v>
      </c>
      <c r="G207" s="186">
        <f>IF('prijem_zahranicie - viac-dom'!$I$121=TRUE,IF($C$11&gt;0,0.00025*C206,0),IF('prijem_zahranicie - viac-dom'!$I$122=TRUE,IF('prijem_zahranicie - viac-dom'!$F$122&gt;0,0.00025*C206,0),0))</f>
        <v>0</v>
      </c>
      <c r="L207" s="89">
        <v>191</v>
      </c>
      <c r="M207" s="186" t="e">
        <f t="shared" si="26"/>
        <v>#DIV/0!</v>
      </c>
      <c r="N207" s="171" t="e">
        <f t="shared" si="27"/>
        <v>#DIV/0!</v>
      </c>
      <c r="O207" s="171" t="e">
        <f t="shared" si="20"/>
        <v>#DIV/0!</v>
      </c>
      <c r="P207" s="171" t="e">
        <f t="shared" si="28"/>
        <v>#DIV/0!</v>
      </c>
      <c r="Q207" s="171" t="e">
        <f t="shared" si="29"/>
        <v>#DIV/0!</v>
      </c>
      <c r="R207" s="186">
        <f>IF('prijem_zahranicie - viac-dom'!$I$121=TRUE,IF($C$11&gt;0,0.00025*N206,0),IF('prijem_zahranicie - viac-dom'!$I$122=TRUE,IF('prijem_zahranicie - viac-dom'!$F$122&gt;0,0.00025*N206*-1,0),0))</f>
        <v>0</v>
      </c>
    </row>
    <row r="208" spans="1:18" x14ac:dyDescent="0.2">
      <c r="A208" s="89">
        <v>192</v>
      </c>
      <c r="B208" s="186" t="e">
        <f t="shared" si="21"/>
        <v>#NUM!</v>
      </c>
      <c r="C208" s="171" t="e">
        <f t="shared" si="22"/>
        <v>#NUM!</v>
      </c>
      <c r="D208" s="171" t="e">
        <f t="shared" si="23"/>
        <v>#NUM!</v>
      </c>
      <c r="E208" s="171" t="e">
        <f t="shared" si="24"/>
        <v>#NUM!</v>
      </c>
      <c r="F208" s="171" t="e">
        <f t="shared" si="25"/>
        <v>#NUM!</v>
      </c>
      <c r="G208" s="186">
        <f>IF('prijem_zahranicie - viac-dom'!$I$121=TRUE,IF($C$11&gt;0,0.00025*C207,0),IF('prijem_zahranicie - viac-dom'!$I$122=TRUE,IF('prijem_zahranicie - viac-dom'!$F$122&gt;0,0.00025*C207,0),0))</f>
        <v>0</v>
      </c>
      <c r="L208" s="89">
        <v>192</v>
      </c>
      <c r="M208" s="186" t="e">
        <f t="shared" si="26"/>
        <v>#DIV/0!</v>
      </c>
      <c r="N208" s="171" t="e">
        <f t="shared" si="27"/>
        <v>#DIV/0!</v>
      </c>
      <c r="O208" s="171" t="e">
        <f t="shared" si="20"/>
        <v>#DIV/0!</v>
      </c>
      <c r="P208" s="171" t="e">
        <f t="shared" si="28"/>
        <v>#DIV/0!</v>
      </c>
      <c r="Q208" s="171" t="e">
        <f t="shared" si="29"/>
        <v>#DIV/0!</v>
      </c>
      <c r="R208" s="186">
        <f>IF('prijem_zahranicie - viac-dom'!$I$121=TRUE,IF($C$11&gt;0,0.00025*N207,0),IF('prijem_zahranicie - viac-dom'!$I$122=TRUE,IF('prijem_zahranicie - viac-dom'!$F$122&gt;0,0.00025*N207*-1,0),0))</f>
        <v>0</v>
      </c>
    </row>
    <row r="209" spans="1:18" x14ac:dyDescent="0.2">
      <c r="A209" s="89">
        <v>193</v>
      </c>
      <c r="B209" s="186" t="e">
        <f t="shared" si="21"/>
        <v>#NUM!</v>
      </c>
      <c r="C209" s="171" t="e">
        <f t="shared" si="22"/>
        <v>#NUM!</v>
      </c>
      <c r="D209" s="171" t="e">
        <f t="shared" si="23"/>
        <v>#NUM!</v>
      </c>
      <c r="E209" s="171" t="e">
        <f t="shared" si="24"/>
        <v>#NUM!</v>
      </c>
      <c r="F209" s="171" t="e">
        <f t="shared" si="25"/>
        <v>#NUM!</v>
      </c>
      <c r="G209" s="186">
        <f>IF('prijem_zahranicie - viac-dom'!$I$121=TRUE,IF($C$11&gt;0,0.00025*C208,0),IF('prijem_zahranicie - viac-dom'!$I$122=TRUE,IF('prijem_zahranicie - viac-dom'!$F$122&gt;0,0.00025*C208,0),0))</f>
        <v>0</v>
      </c>
      <c r="L209" s="89">
        <v>193</v>
      </c>
      <c r="M209" s="186" t="e">
        <f t="shared" si="26"/>
        <v>#DIV/0!</v>
      </c>
      <c r="N209" s="171" t="e">
        <f t="shared" si="27"/>
        <v>#DIV/0!</v>
      </c>
      <c r="O209" s="171" t="e">
        <f t="shared" ref="O209:O272" si="30">$N$16/$N$5</f>
        <v>#DIV/0!</v>
      </c>
      <c r="P209" s="171" t="e">
        <f t="shared" si="28"/>
        <v>#DIV/0!</v>
      </c>
      <c r="Q209" s="171" t="e">
        <f t="shared" si="29"/>
        <v>#DIV/0!</v>
      </c>
      <c r="R209" s="186">
        <f>IF('prijem_zahranicie - viac-dom'!$I$121=TRUE,IF($C$11&gt;0,0.00025*N208,0),IF('prijem_zahranicie - viac-dom'!$I$122=TRUE,IF('prijem_zahranicie - viac-dom'!$F$122&gt;0,0.00025*N208*-1,0),0))</f>
        <v>0</v>
      </c>
    </row>
    <row r="210" spans="1:18" x14ac:dyDescent="0.2">
      <c r="A210" s="89">
        <v>194</v>
      </c>
      <c r="B210" s="186" t="e">
        <f t="shared" ref="B210:B273" si="31">IF(C209&gt;0.00001,F210-G210,0)</f>
        <v>#NUM!</v>
      </c>
      <c r="C210" s="171" t="e">
        <f t="shared" ref="C210:C273" si="32">MAX(C209-D210,0)</f>
        <v>#NUM!</v>
      </c>
      <c r="D210" s="171" t="e">
        <f t="shared" ref="D210:D273" si="33">(F210-E210)*-1</f>
        <v>#NUM!</v>
      </c>
      <c r="E210" s="171" t="e">
        <f t="shared" ref="E210:E273" si="34">IPMT($C$4/12,1,$C$5,C209)</f>
        <v>#NUM!</v>
      </c>
      <c r="F210" s="171" t="e">
        <f t="shared" ref="F210:F273" si="35">PMT($C$4/12,$C$5,$C$3)</f>
        <v>#NUM!</v>
      </c>
      <c r="G210" s="186">
        <f>IF('prijem_zahranicie - viac-dom'!$I$121=TRUE,IF($C$11&gt;0,0.00025*C209,0),IF('prijem_zahranicie - viac-dom'!$I$122=TRUE,IF('prijem_zahranicie - viac-dom'!$F$122&gt;0,0.00025*C209,0),0))</f>
        <v>0</v>
      </c>
      <c r="L210" s="89">
        <v>194</v>
      </c>
      <c r="M210" s="186" t="e">
        <f t="shared" ref="M210:M273" si="36">IF(N209&gt;0.00001,Q210-R210,0)*-1</f>
        <v>#DIV/0!</v>
      </c>
      <c r="N210" s="171" t="e">
        <f t="shared" ref="N210:N273" si="37">MAX(N209-O210,0)</f>
        <v>#DIV/0!</v>
      </c>
      <c r="O210" s="171" t="e">
        <f t="shared" si="30"/>
        <v>#DIV/0!</v>
      </c>
      <c r="P210" s="171" t="e">
        <f t="shared" ref="P210:P273" si="38">N209*$N$4/12</f>
        <v>#DIV/0!</v>
      </c>
      <c r="Q210" s="171" t="e">
        <f t="shared" ref="Q210:Q273" si="39">P210+O210</f>
        <v>#DIV/0!</v>
      </c>
      <c r="R210" s="186">
        <f>IF('prijem_zahranicie - viac-dom'!$I$121=TRUE,IF($C$11&gt;0,0.00025*N209,0),IF('prijem_zahranicie - viac-dom'!$I$122=TRUE,IF('prijem_zahranicie - viac-dom'!$F$122&gt;0,0.00025*N209*-1,0),0))</f>
        <v>0</v>
      </c>
    </row>
    <row r="211" spans="1:18" x14ac:dyDescent="0.2">
      <c r="A211" s="89">
        <v>195</v>
      </c>
      <c r="B211" s="186" t="e">
        <f t="shared" si="31"/>
        <v>#NUM!</v>
      </c>
      <c r="C211" s="171" t="e">
        <f t="shared" si="32"/>
        <v>#NUM!</v>
      </c>
      <c r="D211" s="171" t="e">
        <f t="shared" si="33"/>
        <v>#NUM!</v>
      </c>
      <c r="E211" s="171" t="e">
        <f t="shared" si="34"/>
        <v>#NUM!</v>
      </c>
      <c r="F211" s="171" t="e">
        <f t="shared" si="35"/>
        <v>#NUM!</v>
      </c>
      <c r="G211" s="186">
        <f>IF('prijem_zahranicie - viac-dom'!$I$121=TRUE,IF($C$11&gt;0,0.00025*C210,0),IF('prijem_zahranicie - viac-dom'!$I$122=TRUE,IF('prijem_zahranicie - viac-dom'!$F$122&gt;0,0.00025*C210,0),0))</f>
        <v>0</v>
      </c>
      <c r="L211" s="89">
        <v>195</v>
      </c>
      <c r="M211" s="186" t="e">
        <f t="shared" si="36"/>
        <v>#DIV/0!</v>
      </c>
      <c r="N211" s="171" t="e">
        <f t="shared" si="37"/>
        <v>#DIV/0!</v>
      </c>
      <c r="O211" s="171" t="e">
        <f t="shared" si="30"/>
        <v>#DIV/0!</v>
      </c>
      <c r="P211" s="171" t="e">
        <f t="shared" si="38"/>
        <v>#DIV/0!</v>
      </c>
      <c r="Q211" s="171" t="e">
        <f t="shared" si="39"/>
        <v>#DIV/0!</v>
      </c>
      <c r="R211" s="186">
        <f>IF('prijem_zahranicie - viac-dom'!$I$121=TRUE,IF($C$11&gt;0,0.00025*N210,0),IF('prijem_zahranicie - viac-dom'!$I$122=TRUE,IF('prijem_zahranicie - viac-dom'!$F$122&gt;0,0.00025*N210*-1,0),0))</f>
        <v>0</v>
      </c>
    </row>
    <row r="212" spans="1:18" x14ac:dyDescent="0.2">
      <c r="A212" s="89">
        <v>196</v>
      </c>
      <c r="B212" s="186" t="e">
        <f t="shared" si="31"/>
        <v>#NUM!</v>
      </c>
      <c r="C212" s="171" t="e">
        <f t="shared" si="32"/>
        <v>#NUM!</v>
      </c>
      <c r="D212" s="171" t="e">
        <f t="shared" si="33"/>
        <v>#NUM!</v>
      </c>
      <c r="E212" s="171" t="e">
        <f t="shared" si="34"/>
        <v>#NUM!</v>
      </c>
      <c r="F212" s="171" t="e">
        <f t="shared" si="35"/>
        <v>#NUM!</v>
      </c>
      <c r="G212" s="186">
        <f>IF('prijem_zahranicie - viac-dom'!$I$121=TRUE,IF($C$11&gt;0,0.00025*C211,0),IF('prijem_zahranicie - viac-dom'!$I$122=TRUE,IF('prijem_zahranicie - viac-dom'!$F$122&gt;0,0.00025*C211,0),0))</f>
        <v>0</v>
      </c>
      <c r="L212" s="89">
        <v>196</v>
      </c>
      <c r="M212" s="186" t="e">
        <f t="shared" si="36"/>
        <v>#DIV/0!</v>
      </c>
      <c r="N212" s="171" t="e">
        <f t="shared" si="37"/>
        <v>#DIV/0!</v>
      </c>
      <c r="O212" s="171" t="e">
        <f t="shared" si="30"/>
        <v>#DIV/0!</v>
      </c>
      <c r="P212" s="171" t="e">
        <f t="shared" si="38"/>
        <v>#DIV/0!</v>
      </c>
      <c r="Q212" s="171" t="e">
        <f t="shared" si="39"/>
        <v>#DIV/0!</v>
      </c>
      <c r="R212" s="186">
        <f>IF('prijem_zahranicie - viac-dom'!$I$121=TRUE,IF($C$11&gt;0,0.00025*N211,0),IF('prijem_zahranicie - viac-dom'!$I$122=TRUE,IF('prijem_zahranicie - viac-dom'!$F$122&gt;0,0.00025*N211*-1,0),0))</f>
        <v>0</v>
      </c>
    </row>
    <row r="213" spans="1:18" x14ac:dyDescent="0.2">
      <c r="A213" s="89">
        <v>197</v>
      </c>
      <c r="B213" s="186" t="e">
        <f t="shared" si="31"/>
        <v>#NUM!</v>
      </c>
      <c r="C213" s="171" t="e">
        <f t="shared" si="32"/>
        <v>#NUM!</v>
      </c>
      <c r="D213" s="171" t="e">
        <f t="shared" si="33"/>
        <v>#NUM!</v>
      </c>
      <c r="E213" s="171" t="e">
        <f t="shared" si="34"/>
        <v>#NUM!</v>
      </c>
      <c r="F213" s="171" t="e">
        <f t="shared" si="35"/>
        <v>#NUM!</v>
      </c>
      <c r="G213" s="186">
        <f>IF('prijem_zahranicie - viac-dom'!$I$121=TRUE,IF($C$11&gt;0,0.00025*C212,0),IF('prijem_zahranicie - viac-dom'!$I$122=TRUE,IF('prijem_zahranicie - viac-dom'!$F$122&gt;0,0.00025*C212,0),0))</f>
        <v>0</v>
      </c>
      <c r="L213" s="89">
        <v>197</v>
      </c>
      <c r="M213" s="186" t="e">
        <f t="shared" si="36"/>
        <v>#DIV/0!</v>
      </c>
      <c r="N213" s="171" t="e">
        <f t="shared" si="37"/>
        <v>#DIV/0!</v>
      </c>
      <c r="O213" s="171" t="e">
        <f t="shared" si="30"/>
        <v>#DIV/0!</v>
      </c>
      <c r="P213" s="171" t="e">
        <f t="shared" si="38"/>
        <v>#DIV/0!</v>
      </c>
      <c r="Q213" s="171" t="e">
        <f t="shared" si="39"/>
        <v>#DIV/0!</v>
      </c>
      <c r="R213" s="186">
        <f>IF('prijem_zahranicie - viac-dom'!$I$121=TRUE,IF($C$11&gt;0,0.00025*N212,0),IF('prijem_zahranicie - viac-dom'!$I$122=TRUE,IF('prijem_zahranicie - viac-dom'!$F$122&gt;0,0.00025*N212*-1,0),0))</f>
        <v>0</v>
      </c>
    </row>
    <row r="214" spans="1:18" x14ac:dyDescent="0.2">
      <c r="A214" s="89">
        <v>198</v>
      </c>
      <c r="B214" s="186" t="e">
        <f t="shared" si="31"/>
        <v>#NUM!</v>
      </c>
      <c r="C214" s="171" t="e">
        <f t="shared" si="32"/>
        <v>#NUM!</v>
      </c>
      <c r="D214" s="171" t="e">
        <f t="shared" si="33"/>
        <v>#NUM!</v>
      </c>
      <c r="E214" s="171" t="e">
        <f t="shared" si="34"/>
        <v>#NUM!</v>
      </c>
      <c r="F214" s="171" t="e">
        <f t="shared" si="35"/>
        <v>#NUM!</v>
      </c>
      <c r="G214" s="186">
        <f>IF('prijem_zahranicie - viac-dom'!$I$121=TRUE,IF($C$11&gt;0,0.00025*C213,0),IF('prijem_zahranicie - viac-dom'!$I$122=TRUE,IF('prijem_zahranicie - viac-dom'!$F$122&gt;0,0.00025*C213,0),0))</f>
        <v>0</v>
      </c>
      <c r="L214" s="89">
        <v>198</v>
      </c>
      <c r="M214" s="186" t="e">
        <f t="shared" si="36"/>
        <v>#DIV/0!</v>
      </c>
      <c r="N214" s="171" t="e">
        <f t="shared" si="37"/>
        <v>#DIV/0!</v>
      </c>
      <c r="O214" s="171" t="e">
        <f t="shared" si="30"/>
        <v>#DIV/0!</v>
      </c>
      <c r="P214" s="171" t="e">
        <f t="shared" si="38"/>
        <v>#DIV/0!</v>
      </c>
      <c r="Q214" s="171" t="e">
        <f t="shared" si="39"/>
        <v>#DIV/0!</v>
      </c>
      <c r="R214" s="186">
        <f>IF('prijem_zahranicie - viac-dom'!$I$121=TRUE,IF($C$11&gt;0,0.00025*N213,0),IF('prijem_zahranicie - viac-dom'!$I$122=TRUE,IF('prijem_zahranicie - viac-dom'!$F$122&gt;0,0.00025*N213*-1,0),0))</f>
        <v>0</v>
      </c>
    </row>
    <row r="215" spans="1:18" x14ac:dyDescent="0.2">
      <c r="A215" s="89">
        <v>199</v>
      </c>
      <c r="B215" s="186" t="e">
        <f t="shared" si="31"/>
        <v>#NUM!</v>
      </c>
      <c r="C215" s="171" t="e">
        <f t="shared" si="32"/>
        <v>#NUM!</v>
      </c>
      <c r="D215" s="171" t="e">
        <f t="shared" si="33"/>
        <v>#NUM!</v>
      </c>
      <c r="E215" s="171" t="e">
        <f t="shared" si="34"/>
        <v>#NUM!</v>
      </c>
      <c r="F215" s="171" t="e">
        <f t="shared" si="35"/>
        <v>#NUM!</v>
      </c>
      <c r="G215" s="186">
        <f>IF('prijem_zahranicie - viac-dom'!$I$121=TRUE,IF($C$11&gt;0,0.00025*C214,0),IF('prijem_zahranicie - viac-dom'!$I$122=TRUE,IF('prijem_zahranicie - viac-dom'!$F$122&gt;0,0.00025*C214,0),0))</f>
        <v>0</v>
      </c>
      <c r="L215" s="89">
        <v>199</v>
      </c>
      <c r="M215" s="186" t="e">
        <f t="shared" si="36"/>
        <v>#DIV/0!</v>
      </c>
      <c r="N215" s="171" t="e">
        <f t="shared" si="37"/>
        <v>#DIV/0!</v>
      </c>
      <c r="O215" s="171" t="e">
        <f t="shared" si="30"/>
        <v>#DIV/0!</v>
      </c>
      <c r="P215" s="171" t="e">
        <f t="shared" si="38"/>
        <v>#DIV/0!</v>
      </c>
      <c r="Q215" s="171" t="e">
        <f t="shared" si="39"/>
        <v>#DIV/0!</v>
      </c>
      <c r="R215" s="186">
        <f>IF('prijem_zahranicie - viac-dom'!$I$121=TRUE,IF($C$11&gt;0,0.00025*N214,0),IF('prijem_zahranicie - viac-dom'!$I$122=TRUE,IF('prijem_zahranicie - viac-dom'!$F$122&gt;0,0.00025*N214*-1,0),0))</f>
        <v>0</v>
      </c>
    </row>
    <row r="216" spans="1:18" x14ac:dyDescent="0.2">
      <c r="A216" s="89">
        <v>200</v>
      </c>
      <c r="B216" s="186" t="e">
        <f t="shared" si="31"/>
        <v>#NUM!</v>
      </c>
      <c r="C216" s="171" t="e">
        <f t="shared" si="32"/>
        <v>#NUM!</v>
      </c>
      <c r="D216" s="171" t="e">
        <f t="shared" si="33"/>
        <v>#NUM!</v>
      </c>
      <c r="E216" s="171" t="e">
        <f t="shared" si="34"/>
        <v>#NUM!</v>
      </c>
      <c r="F216" s="171" t="e">
        <f t="shared" si="35"/>
        <v>#NUM!</v>
      </c>
      <c r="G216" s="186">
        <f>IF('prijem_zahranicie - viac-dom'!$I$121=TRUE,IF($C$11&gt;0,0.00025*C215,0),IF('prijem_zahranicie - viac-dom'!$I$122=TRUE,IF('prijem_zahranicie - viac-dom'!$F$122&gt;0,0.00025*C215,0),0))</f>
        <v>0</v>
      </c>
      <c r="L216" s="89">
        <v>200</v>
      </c>
      <c r="M216" s="186" t="e">
        <f t="shared" si="36"/>
        <v>#DIV/0!</v>
      </c>
      <c r="N216" s="171" t="e">
        <f t="shared" si="37"/>
        <v>#DIV/0!</v>
      </c>
      <c r="O216" s="171" t="e">
        <f t="shared" si="30"/>
        <v>#DIV/0!</v>
      </c>
      <c r="P216" s="171" t="e">
        <f t="shared" si="38"/>
        <v>#DIV/0!</v>
      </c>
      <c r="Q216" s="171" t="e">
        <f t="shared" si="39"/>
        <v>#DIV/0!</v>
      </c>
      <c r="R216" s="186">
        <f>IF('prijem_zahranicie - viac-dom'!$I$121=TRUE,IF($C$11&gt;0,0.00025*N215,0),IF('prijem_zahranicie - viac-dom'!$I$122=TRUE,IF('prijem_zahranicie - viac-dom'!$F$122&gt;0,0.00025*N215*-1,0),0))</f>
        <v>0</v>
      </c>
    </row>
    <row r="217" spans="1:18" x14ac:dyDescent="0.2">
      <c r="A217" s="89">
        <v>201</v>
      </c>
      <c r="B217" s="186" t="e">
        <f t="shared" si="31"/>
        <v>#NUM!</v>
      </c>
      <c r="C217" s="171" t="e">
        <f t="shared" si="32"/>
        <v>#NUM!</v>
      </c>
      <c r="D217" s="171" t="e">
        <f t="shared" si="33"/>
        <v>#NUM!</v>
      </c>
      <c r="E217" s="171" t="e">
        <f t="shared" si="34"/>
        <v>#NUM!</v>
      </c>
      <c r="F217" s="171" t="e">
        <f t="shared" si="35"/>
        <v>#NUM!</v>
      </c>
      <c r="G217" s="186">
        <f>IF('prijem_zahranicie - viac-dom'!$I$121=TRUE,IF($C$11&gt;0,0.00025*C216,0),IF('prijem_zahranicie - viac-dom'!$I$122=TRUE,IF('prijem_zahranicie - viac-dom'!$F$122&gt;0,0.00025*C216,0),0))</f>
        <v>0</v>
      </c>
      <c r="L217" s="89">
        <v>201</v>
      </c>
      <c r="M217" s="186" t="e">
        <f t="shared" si="36"/>
        <v>#DIV/0!</v>
      </c>
      <c r="N217" s="171" t="e">
        <f t="shared" si="37"/>
        <v>#DIV/0!</v>
      </c>
      <c r="O217" s="171" t="e">
        <f t="shared" si="30"/>
        <v>#DIV/0!</v>
      </c>
      <c r="P217" s="171" t="e">
        <f t="shared" si="38"/>
        <v>#DIV/0!</v>
      </c>
      <c r="Q217" s="171" t="e">
        <f t="shared" si="39"/>
        <v>#DIV/0!</v>
      </c>
      <c r="R217" s="186">
        <f>IF('prijem_zahranicie - viac-dom'!$I$121=TRUE,IF($C$11&gt;0,0.00025*N216,0),IF('prijem_zahranicie - viac-dom'!$I$122=TRUE,IF('prijem_zahranicie - viac-dom'!$F$122&gt;0,0.00025*N216*-1,0),0))</f>
        <v>0</v>
      </c>
    </row>
    <row r="218" spans="1:18" x14ac:dyDescent="0.2">
      <c r="A218" s="89">
        <v>202</v>
      </c>
      <c r="B218" s="186" t="e">
        <f t="shared" si="31"/>
        <v>#NUM!</v>
      </c>
      <c r="C218" s="171" t="e">
        <f t="shared" si="32"/>
        <v>#NUM!</v>
      </c>
      <c r="D218" s="171" t="e">
        <f t="shared" si="33"/>
        <v>#NUM!</v>
      </c>
      <c r="E218" s="171" t="e">
        <f t="shared" si="34"/>
        <v>#NUM!</v>
      </c>
      <c r="F218" s="171" t="e">
        <f t="shared" si="35"/>
        <v>#NUM!</v>
      </c>
      <c r="G218" s="186">
        <f>IF('prijem_zahranicie - viac-dom'!$I$121=TRUE,IF($C$11&gt;0,0.00025*C217,0),IF('prijem_zahranicie - viac-dom'!$I$122=TRUE,IF('prijem_zahranicie - viac-dom'!$F$122&gt;0,0.00025*C217,0),0))</f>
        <v>0</v>
      </c>
      <c r="L218" s="89">
        <v>202</v>
      </c>
      <c r="M218" s="186" t="e">
        <f t="shared" si="36"/>
        <v>#DIV/0!</v>
      </c>
      <c r="N218" s="171" t="e">
        <f t="shared" si="37"/>
        <v>#DIV/0!</v>
      </c>
      <c r="O218" s="171" t="e">
        <f t="shared" si="30"/>
        <v>#DIV/0!</v>
      </c>
      <c r="P218" s="171" t="e">
        <f t="shared" si="38"/>
        <v>#DIV/0!</v>
      </c>
      <c r="Q218" s="171" t="e">
        <f t="shared" si="39"/>
        <v>#DIV/0!</v>
      </c>
      <c r="R218" s="186">
        <f>IF('prijem_zahranicie - viac-dom'!$I$121=TRUE,IF($C$11&gt;0,0.00025*N217,0),IF('prijem_zahranicie - viac-dom'!$I$122=TRUE,IF('prijem_zahranicie - viac-dom'!$F$122&gt;0,0.00025*N217*-1,0),0))</f>
        <v>0</v>
      </c>
    </row>
    <row r="219" spans="1:18" x14ac:dyDescent="0.2">
      <c r="A219" s="89">
        <v>203</v>
      </c>
      <c r="B219" s="186" t="e">
        <f t="shared" si="31"/>
        <v>#NUM!</v>
      </c>
      <c r="C219" s="171" t="e">
        <f t="shared" si="32"/>
        <v>#NUM!</v>
      </c>
      <c r="D219" s="171" t="e">
        <f t="shared" si="33"/>
        <v>#NUM!</v>
      </c>
      <c r="E219" s="171" t="e">
        <f t="shared" si="34"/>
        <v>#NUM!</v>
      </c>
      <c r="F219" s="171" t="e">
        <f t="shared" si="35"/>
        <v>#NUM!</v>
      </c>
      <c r="G219" s="186">
        <f>IF('prijem_zahranicie - viac-dom'!$I$121=TRUE,IF($C$11&gt;0,0.00025*C218,0),IF('prijem_zahranicie - viac-dom'!$I$122=TRUE,IF('prijem_zahranicie - viac-dom'!$F$122&gt;0,0.00025*C218,0),0))</f>
        <v>0</v>
      </c>
      <c r="L219" s="89">
        <v>203</v>
      </c>
      <c r="M219" s="186" t="e">
        <f t="shared" si="36"/>
        <v>#DIV/0!</v>
      </c>
      <c r="N219" s="171" t="e">
        <f t="shared" si="37"/>
        <v>#DIV/0!</v>
      </c>
      <c r="O219" s="171" t="e">
        <f t="shared" si="30"/>
        <v>#DIV/0!</v>
      </c>
      <c r="P219" s="171" t="e">
        <f t="shared" si="38"/>
        <v>#DIV/0!</v>
      </c>
      <c r="Q219" s="171" t="e">
        <f t="shared" si="39"/>
        <v>#DIV/0!</v>
      </c>
      <c r="R219" s="186">
        <f>IF('prijem_zahranicie - viac-dom'!$I$121=TRUE,IF($C$11&gt;0,0.00025*N218,0),IF('prijem_zahranicie - viac-dom'!$I$122=TRUE,IF('prijem_zahranicie - viac-dom'!$F$122&gt;0,0.00025*N218*-1,0),0))</f>
        <v>0</v>
      </c>
    </row>
    <row r="220" spans="1:18" x14ac:dyDescent="0.2">
      <c r="A220" s="89">
        <v>204</v>
      </c>
      <c r="B220" s="186" t="e">
        <f t="shared" si="31"/>
        <v>#NUM!</v>
      </c>
      <c r="C220" s="171" t="e">
        <f t="shared" si="32"/>
        <v>#NUM!</v>
      </c>
      <c r="D220" s="171" t="e">
        <f t="shared" si="33"/>
        <v>#NUM!</v>
      </c>
      <c r="E220" s="171" t="e">
        <f t="shared" si="34"/>
        <v>#NUM!</v>
      </c>
      <c r="F220" s="171" t="e">
        <f t="shared" si="35"/>
        <v>#NUM!</v>
      </c>
      <c r="G220" s="186">
        <f>IF('prijem_zahranicie - viac-dom'!$I$121=TRUE,IF($C$11&gt;0,0.00025*C219,0),IF('prijem_zahranicie - viac-dom'!$I$122=TRUE,IF('prijem_zahranicie - viac-dom'!$F$122&gt;0,0.00025*C219,0),0))</f>
        <v>0</v>
      </c>
      <c r="L220" s="89">
        <v>204</v>
      </c>
      <c r="M220" s="186" t="e">
        <f t="shared" si="36"/>
        <v>#DIV/0!</v>
      </c>
      <c r="N220" s="171" t="e">
        <f t="shared" si="37"/>
        <v>#DIV/0!</v>
      </c>
      <c r="O220" s="171" t="e">
        <f t="shared" si="30"/>
        <v>#DIV/0!</v>
      </c>
      <c r="P220" s="171" t="e">
        <f t="shared" si="38"/>
        <v>#DIV/0!</v>
      </c>
      <c r="Q220" s="171" t="e">
        <f t="shared" si="39"/>
        <v>#DIV/0!</v>
      </c>
      <c r="R220" s="186">
        <f>IF('prijem_zahranicie - viac-dom'!$I$121=TRUE,IF($C$11&gt;0,0.00025*N219,0),IF('prijem_zahranicie - viac-dom'!$I$122=TRUE,IF('prijem_zahranicie - viac-dom'!$F$122&gt;0,0.00025*N219*-1,0),0))</f>
        <v>0</v>
      </c>
    </row>
    <row r="221" spans="1:18" x14ac:dyDescent="0.2">
      <c r="A221" s="89">
        <v>205</v>
      </c>
      <c r="B221" s="186" t="e">
        <f t="shared" si="31"/>
        <v>#NUM!</v>
      </c>
      <c r="C221" s="171" t="e">
        <f t="shared" si="32"/>
        <v>#NUM!</v>
      </c>
      <c r="D221" s="171" t="e">
        <f t="shared" si="33"/>
        <v>#NUM!</v>
      </c>
      <c r="E221" s="171" t="e">
        <f t="shared" si="34"/>
        <v>#NUM!</v>
      </c>
      <c r="F221" s="171" t="e">
        <f t="shared" si="35"/>
        <v>#NUM!</v>
      </c>
      <c r="G221" s="186">
        <f>IF('prijem_zahranicie - viac-dom'!$I$121=TRUE,IF($C$11&gt;0,0.00025*C220,0),IF('prijem_zahranicie - viac-dom'!$I$122=TRUE,IF('prijem_zahranicie - viac-dom'!$F$122&gt;0,0.00025*C220,0),0))</f>
        <v>0</v>
      </c>
      <c r="L221" s="89">
        <v>205</v>
      </c>
      <c r="M221" s="186" t="e">
        <f t="shared" si="36"/>
        <v>#DIV/0!</v>
      </c>
      <c r="N221" s="171" t="e">
        <f t="shared" si="37"/>
        <v>#DIV/0!</v>
      </c>
      <c r="O221" s="171" t="e">
        <f t="shared" si="30"/>
        <v>#DIV/0!</v>
      </c>
      <c r="P221" s="171" t="e">
        <f t="shared" si="38"/>
        <v>#DIV/0!</v>
      </c>
      <c r="Q221" s="171" t="e">
        <f t="shared" si="39"/>
        <v>#DIV/0!</v>
      </c>
      <c r="R221" s="186">
        <f>IF('prijem_zahranicie - viac-dom'!$I$121=TRUE,IF($C$11&gt;0,0.00025*N220,0),IF('prijem_zahranicie - viac-dom'!$I$122=TRUE,IF('prijem_zahranicie - viac-dom'!$F$122&gt;0,0.00025*N220*-1,0),0))</f>
        <v>0</v>
      </c>
    </row>
    <row r="222" spans="1:18" x14ac:dyDescent="0.2">
      <c r="A222" s="89">
        <v>206</v>
      </c>
      <c r="B222" s="186" t="e">
        <f t="shared" si="31"/>
        <v>#NUM!</v>
      </c>
      <c r="C222" s="171" t="e">
        <f t="shared" si="32"/>
        <v>#NUM!</v>
      </c>
      <c r="D222" s="171" t="e">
        <f t="shared" si="33"/>
        <v>#NUM!</v>
      </c>
      <c r="E222" s="171" t="e">
        <f t="shared" si="34"/>
        <v>#NUM!</v>
      </c>
      <c r="F222" s="171" t="e">
        <f t="shared" si="35"/>
        <v>#NUM!</v>
      </c>
      <c r="G222" s="186">
        <f>IF('prijem_zahranicie - viac-dom'!$I$121=TRUE,IF($C$11&gt;0,0.00025*C221,0),IF('prijem_zahranicie - viac-dom'!$I$122=TRUE,IF('prijem_zahranicie - viac-dom'!$F$122&gt;0,0.00025*C221,0),0))</f>
        <v>0</v>
      </c>
      <c r="L222" s="89">
        <v>206</v>
      </c>
      <c r="M222" s="186" t="e">
        <f t="shared" si="36"/>
        <v>#DIV/0!</v>
      </c>
      <c r="N222" s="171" t="e">
        <f t="shared" si="37"/>
        <v>#DIV/0!</v>
      </c>
      <c r="O222" s="171" t="e">
        <f t="shared" si="30"/>
        <v>#DIV/0!</v>
      </c>
      <c r="P222" s="171" t="e">
        <f t="shared" si="38"/>
        <v>#DIV/0!</v>
      </c>
      <c r="Q222" s="171" t="e">
        <f t="shared" si="39"/>
        <v>#DIV/0!</v>
      </c>
      <c r="R222" s="186">
        <f>IF('prijem_zahranicie - viac-dom'!$I$121=TRUE,IF($C$11&gt;0,0.00025*N221,0),IF('prijem_zahranicie - viac-dom'!$I$122=TRUE,IF('prijem_zahranicie - viac-dom'!$F$122&gt;0,0.00025*N221*-1,0),0))</f>
        <v>0</v>
      </c>
    </row>
    <row r="223" spans="1:18" x14ac:dyDescent="0.2">
      <c r="A223" s="89">
        <v>207</v>
      </c>
      <c r="B223" s="186" t="e">
        <f t="shared" si="31"/>
        <v>#NUM!</v>
      </c>
      <c r="C223" s="171" t="e">
        <f t="shared" si="32"/>
        <v>#NUM!</v>
      </c>
      <c r="D223" s="171" t="e">
        <f t="shared" si="33"/>
        <v>#NUM!</v>
      </c>
      <c r="E223" s="171" t="e">
        <f t="shared" si="34"/>
        <v>#NUM!</v>
      </c>
      <c r="F223" s="171" t="e">
        <f t="shared" si="35"/>
        <v>#NUM!</v>
      </c>
      <c r="G223" s="186">
        <f>IF('prijem_zahranicie - viac-dom'!$I$121=TRUE,IF($C$11&gt;0,0.00025*C222,0),IF('prijem_zahranicie - viac-dom'!$I$122=TRUE,IF('prijem_zahranicie - viac-dom'!$F$122&gt;0,0.00025*C222,0),0))</f>
        <v>0</v>
      </c>
      <c r="L223" s="89">
        <v>207</v>
      </c>
      <c r="M223" s="186" t="e">
        <f t="shared" si="36"/>
        <v>#DIV/0!</v>
      </c>
      <c r="N223" s="171" t="e">
        <f t="shared" si="37"/>
        <v>#DIV/0!</v>
      </c>
      <c r="O223" s="171" t="e">
        <f t="shared" si="30"/>
        <v>#DIV/0!</v>
      </c>
      <c r="P223" s="171" t="e">
        <f t="shared" si="38"/>
        <v>#DIV/0!</v>
      </c>
      <c r="Q223" s="171" t="e">
        <f t="shared" si="39"/>
        <v>#DIV/0!</v>
      </c>
      <c r="R223" s="186">
        <f>IF('prijem_zahranicie - viac-dom'!$I$121=TRUE,IF($C$11&gt;0,0.00025*N222,0),IF('prijem_zahranicie - viac-dom'!$I$122=TRUE,IF('prijem_zahranicie - viac-dom'!$F$122&gt;0,0.00025*N222*-1,0),0))</f>
        <v>0</v>
      </c>
    </row>
    <row r="224" spans="1:18" x14ac:dyDescent="0.2">
      <c r="A224" s="89">
        <v>208</v>
      </c>
      <c r="B224" s="186" t="e">
        <f t="shared" si="31"/>
        <v>#NUM!</v>
      </c>
      <c r="C224" s="171" t="e">
        <f t="shared" si="32"/>
        <v>#NUM!</v>
      </c>
      <c r="D224" s="171" t="e">
        <f t="shared" si="33"/>
        <v>#NUM!</v>
      </c>
      <c r="E224" s="171" t="e">
        <f t="shared" si="34"/>
        <v>#NUM!</v>
      </c>
      <c r="F224" s="171" t="e">
        <f t="shared" si="35"/>
        <v>#NUM!</v>
      </c>
      <c r="G224" s="186">
        <f>IF('prijem_zahranicie - viac-dom'!$I$121=TRUE,IF($C$11&gt;0,0.00025*C223,0),IF('prijem_zahranicie - viac-dom'!$I$122=TRUE,IF('prijem_zahranicie - viac-dom'!$F$122&gt;0,0.00025*C223,0),0))</f>
        <v>0</v>
      </c>
      <c r="L224" s="89">
        <v>208</v>
      </c>
      <c r="M224" s="186" t="e">
        <f t="shared" si="36"/>
        <v>#DIV/0!</v>
      </c>
      <c r="N224" s="171" t="e">
        <f t="shared" si="37"/>
        <v>#DIV/0!</v>
      </c>
      <c r="O224" s="171" t="e">
        <f t="shared" si="30"/>
        <v>#DIV/0!</v>
      </c>
      <c r="P224" s="171" t="e">
        <f t="shared" si="38"/>
        <v>#DIV/0!</v>
      </c>
      <c r="Q224" s="171" t="e">
        <f t="shared" si="39"/>
        <v>#DIV/0!</v>
      </c>
      <c r="R224" s="186">
        <f>IF('prijem_zahranicie - viac-dom'!$I$121=TRUE,IF($C$11&gt;0,0.00025*N223,0),IF('prijem_zahranicie - viac-dom'!$I$122=TRUE,IF('prijem_zahranicie - viac-dom'!$F$122&gt;0,0.00025*N223*-1,0),0))</f>
        <v>0</v>
      </c>
    </row>
    <row r="225" spans="1:18" x14ac:dyDescent="0.2">
      <c r="A225" s="89">
        <v>209</v>
      </c>
      <c r="B225" s="186" t="e">
        <f t="shared" si="31"/>
        <v>#NUM!</v>
      </c>
      <c r="C225" s="171" t="e">
        <f t="shared" si="32"/>
        <v>#NUM!</v>
      </c>
      <c r="D225" s="171" t="e">
        <f t="shared" si="33"/>
        <v>#NUM!</v>
      </c>
      <c r="E225" s="171" t="e">
        <f t="shared" si="34"/>
        <v>#NUM!</v>
      </c>
      <c r="F225" s="171" t="e">
        <f t="shared" si="35"/>
        <v>#NUM!</v>
      </c>
      <c r="G225" s="186">
        <f>IF('prijem_zahranicie - viac-dom'!$I$121=TRUE,IF($C$11&gt;0,0.00025*C224,0),IF('prijem_zahranicie - viac-dom'!$I$122=TRUE,IF('prijem_zahranicie - viac-dom'!$F$122&gt;0,0.00025*C224,0),0))</f>
        <v>0</v>
      </c>
      <c r="L225" s="89">
        <v>209</v>
      </c>
      <c r="M225" s="186" t="e">
        <f t="shared" si="36"/>
        <v>#DIV/0!</v>
      </c>
      <c r="N225" s="171" t="e">
        <f t="shared" si="37"/>
        <v>#DIV/0!</v>
      </c>
      <c r="O225" s="171" t="e">
        <f t="shared" si="30"/>
        <v>#DIV/0!</v>
      </c>
      <c r="P225" s="171" t="e">
        <f t="shared" si="38"/>
        <v>#DIV/0!</v>
      </c>
      <c r="Q225" s="171" t="e">
        <f t="shared" si="39"/>
        <v>#DIV/0!</v>
      </c>
      <c r="R225" s="186">
        <f>IF('prijem_zahranicie - viac-dom'!$I$121=TRUE,IF($C$11&gt;0,0.00025*N224,0),IF('prijem_zahranicie - viac-dom'!$I$122=TRUE,IF('prijem_zahranicie - viac-dom'!$F$122&gt;0,0.00025*N224*-1,0),0))</f>
        <v>0</v>
      </c>
    </row>
    <row r="226" spans="1:18" x14ac:dyDescent="0.2">
      <c r="A226" s="89">
        <v>210</v>
      </c>
      <c r="B226" s="186" t="e">
        <f t="shared" si="31"/>
        <v>#NUM!</v>
      </c>
      <c r="C226" s="171" t="e">
        <f t="shared" si="32"/>
        <v>#NUM!</v>
      </c>
      <c r="D226" s="171" t="e">
        <f t="shared" si="33"/>
        <v>#NUM!</v>
      </c>
      <c r="E226" s="171" t="e">
        <f t="shared" si="34"/>
        <v>#NUM!</v>
      </c>
      <c r="F226" s="171" t="e">
        <f t="shared" si="35"/>
        <v>#NUM!</v>
      </c>
      <c r="G226" s="186">
        <f>IF('prijem_zahranicie - viac-dom'!$I$121=TRUE,IF($C$11&gt;0,0.00025*C225,0),IF('prijem_zahranicie - viac-dom'!$I$122=TRUE,IF('prijem_zahranicie - viac-dom'!$F$122&gt;0,0.00025*C225,0),0))</f>
        <v>0</v>
      </c>
      <c r="L226" s="89">
        <v>210</v>
      </c>
      <c r="M226" s="186" t="e">
        <f t="shared" si="36"/>
        <v>#DIV/0!</v>
      </c>
      <c r="N226" s="171" t="e">
        <f t="shared" si="37"/>
        <v>#DIV/0!</v>
      </c>
      <c r="O226" s="171" t="e">
        <f t="shared" si="30"/>
        <v>#DIV/0!</v>
      </c>
      <c r="P226" s="171" t="e">
        <f t="shared" si="38"/>
        <v>#DIV/0!</v>
      </c>
      <c r="Q226" s="171" t="e">
        <f t="shared" si="39"/>
        <v>#DIV/0!</v>
      </c>
      <c r="R226" s="186">
        <f>IF('prijem_zahranicie - viac-dom'!$I$121=TRUE,IF($C$11&gt;0,0.00025*N225,0),IF('prijem_zahranicie - viac-dom'!$I$122=TRUE,IF('prijem_zahranicie - viac-dom'!$F$122&gt;0,0.00025*N225*-1,0),0))</f>
        <v>0</v>
      </c>
    </row>
    <row r="227" spans="1:18" x14ac:dyDescent="0.2">
      <c r="A227" s="89">
        <v>211</v>
      </c>
      <c r="B227" s="186" t="e">
        <f t="shared" si="31"/>
        <v>#NUM!</v>
      </c>
      <c r="C227" s="171" t="e">
        <f t="shared" si="32"/>
        <v>#NUM!</v>
      </c>
      <c r="D227" s="171" t="e">
        <f t="shared" si="33"/>
        <v>#NUM!</v>
      </c>
      <c r="E227" s="171" t="e">
        <f t="shared" si="34"/>
        <v>#NUM!</v>
      </c>
      <c r="F227" s="171" t="e">
        <f t="shared" si="35"/>
        <v>#NUM!</v>
      </c>
      <c r="G227" s="186">
        <f>IF('prijem_zahranicie - viac-dom'!$I$121=TRUE,IF($C$11&gt;0,0.00025*C226,0),IF('prijem_zahranicie - viac-dom'!$I$122=TRUE,IF('prijem_zahranicie - viac-dom'!$F$122&gt;0,0.00025*C226,0),0))</f>
        <v>0</v>
      </c>
      <c r="L227" s="89">
        <v>211</v>
      </c>
      <c r="M227" s="186" t="e">
        <f t="shared" si="36"/>
        <v>#DIV/0!</v>
      </c>
      <c r="N227" s="171" t="e">
        <f t="shared" si="37"/>
        <v>#DIV/0!</v>
      </c>
      <c r="O227" s="171" t="e">
        <f t="shared" si="30"/>
        <v>#DIV/0!</v>
      </c>
      <c r="P227" s="171" t="e">
        <f t="shared" si="38"/>
        <v>#DIV/0!</v>
      </c>
      <c r="Q227" s="171" t="e">
        <f t="shared" si="39"/>
        <v>#DIV/0!</v>
      </c>
      <c r="R227" s="186">
        <f>IF('prijem_zahranicie - viac-dom'!$I$121=TRUE,IF($C$11&gt;0,0.00025*N226,0),IF('prijem_zahranicie - viac-dom'!$I$122=TRUE,IF('prijem_zahranicie - viac-dom'!$F$122&gt;0,0.00025*N226*-1,0),0))</f>
        <v>0</v>
      </c>
    </row>
    <row r="228" spans="1:18" x14ac:dyDescent="0.2">
      <c r="A228" s="89">
        <v>212</v>
      </c>
      <c r="B228" s="186" t="e">
        <f t="shared" si="31"/>
        <v>#NUM!</v>
      </c>
      <c r="C228" s="171" t="e">
        <f t="shared" si="32"/>
        <v>#NUM!</v>
      </c>
      <c r="D228" s="171" t="e">
        <f t="shared" si="33"/>
        <v>#NUM!</v>
      </c>
      <c r="E228" s="171" t="e">
        <f t="shared" si="34"/>
        <v>#NUM!</v>
      </c>
      <c r="F228" s="171" t="e">
        <f t="shared" si="35"/>
        <v>#NUM!</v>
      </c>
      <c r="G228" s="186">
        <f>IF('prijem_zahranicie - viac-dom'!$I$121=TRUE,IF($C$11&gt;0,0.00025*C227,0),IF('prijem_zahranicie - viac-dom'!$I$122=TRUE,IF('prijem_zahranicie - viac-dom'!$F$122&gt;0,0.00025*C227,0),0))</f>
        <v>0</v>
      </c>
      <c r="L228" s="89">
        <v>212</v>
      </c>
      <c r="M228" s="186" t="e">
        <f t="shared" si="36"/>
        <v>#DIV/0!</v>
      </c>
      <c r="N228" s="171" t="e">
        <f t="shared" si="37"/>
        <v>#DIV/0!</v>
      </c>
      <c r="O228" s="171" t="e">
        <f t="shared" si="30"/>
        <v>#DIV/0!</v>
      </c>
      <c r="P228" s="171" t="e">
        <f t="shared" si="38"/>
        <v>#DIV/0!</v>
      </c>
      <c r="Q228" s="171" t="e">
        <f t="shared" si="39"/>
        <v>#DIV/0!</v>
      </c>
      <c r="R228" s="186">
        <f>IF('prijem_zahranicie - viac-dom'!$I$121=TRUE,IF($C$11&gt;0,0.00025*N227,0),IF('prijem_zahranicie - viac-dom'!$I$122=TRUE,IF('prijem_zahranicie - viac-dom'!$F$122&gt;0,0.00025*N227*-1,0),0))</f>
        <v>0</v>
      </c>
    </row>
    <row r="229" spans="1:18" x14ac:dyDescent="0.2">
      <c r="A229" s="89">
        <v>213</v>
      </c>
      <c r="B229" s="186" t="e">
        <f t="shared" si="31"/>
        <v>#NUM!</v>
      </c>
      <c r="C229" s="171" t="e">
        <f t="shared" si="32"/>
        <v>#NUM!</v>
      </c>
      <c r="D229" s="171" t="e">
        <f t="shared" si="33"/>
        <v>#NUM!</v>
      </c>
      <c r="E229" s="171" t="e">
        <f t="shared" si="34"/>
        <v>#NUM!</v>
      </c>
      <c r="F229" s="171" t="e">
        <f t="shared" si="35"/>
        <v>#NUM!</v>
      </c>
      <c r="G229" s="186">
        <f>IF('prijem_zahranicie - viac-dom'!$I$121=TRUE,IF($C$11&gt;0,0.00025*C228,0),IF('prijem_zahranicie - viac-dom'!$I$122=TRUE,IF('prijem_zahranicie - viac-dom'!$F$122&gt;0,0.00025*C228,0),0))</f>
        <v>0</v>
      </c>
      <c r="L229" s="89">
        <v>213</v>
      </c>
      <c r="M229" s="186" t="e">
        <f t="shared" si="36"/>
        <v>#DIV/0!</v>
      </c>
      <c r="N229" s="171" t="e">
        <f t="shared" si="37"/>
        <v>#DIV/0!</v>
      </c>
      <c r="O229" s="171" t="e">
        <f t="shared" si="30"/>
        <v>#DIV/0!</v>
      </c>
      <c r="P229" s="171" t="e">
        <f t="shared" si="38"/>
        <v>#DIV/0!</v>
      </c>
      <c r="Q229" s="171" t="e">
        <f t="shared" si="39"/>
        <v>#DIV/0!</v>
      </c>
      <c r="R229" s="186">
        <f>IF('prijem_zahranicie - viac-dom'!$I$121=TRUE,IF($C$11&gt;0,0.00025*N228,0),IF('prijem_zahranicie - viac-dom'!$I$122=TRUE,IF('prijem_zahranicie - viac-dom'!$F$122&gt;0,0.00025*N228*-1,0),0))</f>
        <v>0</v>
      </c>
    </row>
    <row r="230" spans="1:18" x14ac:dyDescent="0.2">
      <c r="A230" s="89">
        <v>214</v>
      </c>
      <c r="B230" s="186" t="e">
        <f t="shared" si="31"/>
        <v>#NUM!</v>
      </c>
      <c r="C230" s="171" t="e">
        <f t="shared" si="32"/>
        <v>#NUM!</v>
      </c>
      <c r="D230" s="171" t="e">
        <f t="shared" si="33"/>
        <v>#NUM!</v>
      </c>
      <c r="E230" s="171" t="e">
        <f t="shared" si="34"/>
        <v>#NUM!</v>
      </c>
      <c r="F230" s="171" t="e">
        <f t="shared" si="35"/>
        <v>#NUM!</v>
      </c>
      <c r="G230" s="186">
        <f>IF('prijem_zahranicie - viac-dom'!$I$121=TRUE,IF($C$11&gt;0,0.00025*C229,0),IF('prijem_zahranicie - viac-dom'!$I$122=TRUE,IF('prijem_zahranicie - viac-dom'!$F$122&gt;0,0.00025*C229,0),0))</f>
        <v>0</v>
      </c>
      <c r="L230" s="89">
        <v>214</v>
      </c>
      <c r="M230" s="186" t="e">
        <f t="shared" si="36"/>
        <v>#DIV/0!</v>
      </c>
      <c r="N230" s="171" t="e">
        <f t="shared" si="37"/>
        <v>#DIV/0!</v>
      </c>
      <c r="O230" s="171" t="e">
        <f t="shared" si="30"/>
        <v>#DIV/0!</v>
      </c>
      <c r="P230" s="171" t="e">
        <f t="shared" si="38"/>
        <v>#DIV/0!</v>
      </c>
      <c r="Q230" s="171" t="e">
        <f t="shared" si="39"/>
        <v>#DIV/0!</v>
      </c>
      <c r="R230" s="186">
        <f>IF('prijem_zahranicie - viac-dom'!$I$121=TRUE,IF($C$11&gt;0,0.00025*N229,0),IF('prijem_zahranicie - viac-dom'!$I$122=TRUE,IF('prijem_zahranicie - viac-dom'!$F$122&gt;0,0.00025*N229*-1,0),0))</f>
        <v>0</v>
      </c>
    </row>
    <row r="231" spans="1:18" x14ac:dyDescent="0.2">
      <c r="A231" s="89">
        <v>215</v>
      </c>
      <c r="B231" s="186" t="e">
        <f t="shared" si="31"/>
        <v>#NUM!</v>
      </c>
      <c r="C231" s="171" t="e">
        <f t="shared" si="32"/>
        <v>#NUM!</v>
      </c>
      <c r="D231" s="171" t="e">
        <f t="shared" si="33"/>
        <v>#NUM!</v>
      </c>
      <c r="E231" s="171" t="e">
        <f t="shared" si="34"/>
        <v>#NUM!</v>
      </c>
      <c r="F231" s="171" t="e">
        <f t="shared" si="35"/>
        <v>#NUM!</v>
      </c>
      <c r="G231" s="186">
        <f>IF('prijem_zahranicie - viac-dom'!$I$121=TRUE,IF($C$11&gt;0,0.00025*C230,0),IF('prijem_zahranicie - viac-dom'!$I$122=TRUE,IF('prijem_zahranicie - viac-dom'!$F$122&gt;0,0.00025*C230,0),0))</f>
        <v>0</v>
      </c>
      <c r="L231" s="89">
        <v>215</v>
      </c>
      <c r="M231" s="186" t="e">
        <f t="shared" si="36"/>
        <v>#DIV/0!</v>
      </c>
      <c r="N231" s="171" t="e">
        <f t="shared" si="37"/>
        <v>#DIV/0!</v>
      </c>
      <c r="O231" s="171" t="e">
        <f t="shared" si="30"/>
        <v>#DIV/0!</v>
      </c>
      <c r="P231" s="171" t="e">
        <f t="shared" si="38"/>
        <v>#DIV/0!</v>
      </c>
      <c r="Q231" s="171" t="e">
        <f t="shared" si="39"/>
        <v>#DIV/0!</v>
      </c>
      <c r="R231" s="186">
        <f>IF('prijem_zahranicie - viac-dom'!$I$121=TRUE,IF($C$11&gt;0,0.00025*N230,0),IF('prijem_zahranicie - viac-dom'!$I$122=TRUE,IF('prijem_zahranicie - viac-dom'!$F$122&gt;0,0.00025*N230*-1,0),0))</f>
        <v>0</v>
      </c>
    </row>
    <row r="232" spans="1:18" x14ac:dyDescent="0.2">
      <c r="A232" s="89">
        <v>216</v>
      </c>
      <c r="B232" s="186" t="e">
        <f t="shared" si="31"/>
        <v>#NUM!</v>
      </c>
      <c r="C232" s="171" t="e">
        <f t="shared" si="32"/>
        <v>#NUM!</v>
      </c>
      <c r="D232" s="171" t="e">
        <f t="shared" si="33"/>
        <v>#NUM!</v>
      </c>
      <c r="E232" s="171" t="e">
        <f t="shared" si="34"/>
        <v>#NUM!</v>
      </c>
      <c r="F232" s="171" t="e">
        <f t="shared" si="35"/>
        <v>#NUM!</v>
      </c>
      <c r="G232" s="186">
        <f>IF('prijem_zahranicie - viac-dom'!$I$121=TRUE,IF($C$11&gt;0,0.00025*C231,0),IF('prijem_zahranicie - viac-dom'!$I$122=TRUE,IF('prijem_zahranicie - viac-dom'!$F$122&gt;0,0.00025*C231,0),0))</f>
        <v>0</v>
      </c>
      <c r="L232" s="89">
        <v>216</v>
      </c>
      <c r="M232" s="186" t="e">
        <f t="shared" si="36"/>
        <v>#DIV/0!</v>
      </c>
      <c r="N232" s="171" t="e">
        <f t="shared" si="37"/>
        <v>#DIV/0!</v>
      </c>
      <c r="O232" s="171" t="e">
        <f t="shared" si="30"/>
        <v>#DIV/0!</v>
      </c>
      <c r="P232" s="171" t="e">
        <f t="shared" si="38"/>
        <v>#DIV/0!</v>
      </c>
      <c r="Q232" s="171" t="e">
        <f t="shared" si="39"/>
        <v>#DIV/0!</v>
      </c>
      <c r="R232" s="186">
        <f>IF('prijem_zahranicie - viac-dom'!$I$121=TRUE,IF($C$11&gt;0,0.00025*N231,0),IF('prijem_zahranicie - viac-dom'!$I$122=TRUE,IF('prijem_zahranicie - viac-dom'!$F$122&gt;0,0.00025*N231*-1,0),0))</f>
        <v>0</v>
      </c>
    </row>
    <row r="233" spans="1:18" x14ac:dyDescent="0.2">
      <c r="A233" s="89">
        <v>217</v>
      </c>
      <c r="B233" s="186" t="e">
        <f t="shared" si="31"/>
        <v>#NUM!</v>
      </c>
      <c r="C233" s="171" t="e">
        <f t="shared" si="32"/>
        <v>#NUM!</v>
      </c>
      <c r="D233" s="171" t="e">
        <f t="shared" si="33"/>
        <v>#NUM!</v>
      </c>
      <c r="E233" s="171" t="e">
        <f t="shared" si="34"/>
        <v>#NUM!</v>
      </c>
      <c r="F233" s="171" t="e">
        <f t="shared" si="35"/>
        <v>#NUM!</v>
      </c>
      <c r="G233" s="186">
        <f>IF('prijem_zahranicie - viac-dom'!$I$121=TRUE,IF($C$11&gt;0,0.00025*C232,0),IF('prijem_zahranicie - viac-dom'!$I$122=TRUE,IF('prijem_zahranicie - viac-dom'!$F$122&gt;0,0.00025*C232,0),0))</f>
        <v>0</v>
      </c>
      <c r="L233" s="89">
        <v>217</v>
      </c>
      <c r="M233" s="186" t="e">
        <f t="shared" si="36"/>
        <v>#DIV/0!</v>
      </c>
      <c r="N233" s="171" t="e">
        <f t="shared" si="37"/>
        <v>#DIV/0!</v>
      </c>
      <c r="O233" s="171" t="e">
        <f t="shared" si="30"/>
        <v>#DIV/0!</v>
      </c>
      <c r="P233" s="171" t="e">
        <f t="shared" si="38"/>
        <v>#DIV/0!</v>
      </c>
      <c r="Q233" s="171" t="e">
        <f t="shared" si="39"/>
        <v>#DIV/0!</v>
      </c>
      <c r="R233" s="186">
        <f>IF('prijem_zahranicie - viac-dom'!$I$121=TRUE,IF($C$11&gt;0,0.00025*N232,0),IF('prijem_zahranicie - viac-dom'!$I$122=TRUE,IF('prijem_zahranicie - viac-dom'!$F$122&gt;0,0.00025*N232*-1,0),0))</f>
        <v>0</v>
      </c>
    </row>
    <row r="234" spans="1:18" x14ac:dyDescent="0.2">
      <c r="A234" s="89">
        <v>218</v>
      </c>
      <c r="B234" s="186" t="e">
        <f t="shared" si="31"/>
        <v>#NUM!</v>
      </c>
      <c r="C234" s="171" t="e">
        <f t="shared" si="32"/>
        <v>#NUM!</v>
      </c>
      <c r="D234" s="171" t="e">
        <f t="shared" si="33"/>
        <v>#NUM!</v>
      </c>
      <c r="E234" s="171" t="e">
        <f t="shared" si="34"/>
        <v>#NUM!</v>
      </c>
      <c r="F234" s="171" t="e">
        <f t="shared" si="35"/>
        <v>#NUM!</v>
      </c>
      <c r="G234" s="186">
        <f>IF('prijem_zahranicie - viac-dom'!$I$121=TRUE,IF($C$11&gt;0,0.00025*C233,0),IF('prijem_zahranicie - viac-dom'!$I$122=TRUE,IF('prijem_zahranicie - viac-dom'!$F$122&gt;0,0.00025*C233,0),0))</f>
        <v>0</v>
      </c>
      <c r="L234" s="89">
        <v>218</v>
      </c>
      <c r="M234" s="186" t="e">
        <f t="shared" si="36"/>
        <v>#DIV/0!</v>
      </c>
      <c r="N234" s="171" t="e">
        <f t="shared" si="37"/>
        <v>#DIV/0!</v>
      </c>
      <c r="O234" s="171" t="e">
        <f t="shared" si="30"/>
        <v>#DIV/0!</v>
      </c>
      <c r="P234" s="171" t="e">
        <f t="shared" si="38"/>
        <v>#DIV/0!</v>
      </c>
      <c r="Q234" s="171" t="e">
        <f t="shared" si="39"/>
        <v>#DIV/0!</v>
      </c>
      <c r="R234" s="186">
        <f>IF('prijem_zahranicie - viac-dom'!$I$121=TRUE,IF($C$11&gt;0,0.00025*N233,0),IF('prijem_zahranicie - viac-dom'!$I$122=TRUE,IF('prijem_zahranicie - viac-dom'!$F$122&gt;0,0.00025*N233*-1,0),0))</f>
        <v>0</v>
      </c>
    </row>
    <row r="235" spans="1:18" x14ac:dyDescent="0.2">
      <c r="A235" s="89">
        <v>219</v>
      </c>
      <c r="B235" s="186" t="e">
        <f t="shared" si="31"/>
        <v>#NUM!</v>
      </c>
      <c r="C235" s="171" t="e">
        <f t="shared" si="32"/>
        <v>#NUM!</v>
      </c>
      <c r="D235" s="171" t="e">
        <f t="shared" si="33"/>
        <v>#NUM!</v>
      </c>
      <c r="E235" s="171" t="e">
        <f t="shared" si="34"/>
        <v>#NUM!</v>
      </c>
      <c r="F235" s="171" t="e">
        <f t="shared" si="35"/>
        <v>#NUM!</v>
      </c>
      <c r="G235" s="186">
        <f>IF('prijem_zahranicie - viac-dom'!$I$121=TRUE,IF($C$11&gt;0,0.00025*C234,0),IF('prijem_zahranicie - viac-dom'!$I$122=TRUE,IF('prijem_zahranicie - viac-dom'!$F$122&gt;0,0.00025*C234,0),0))</f>
        <v>0</v>
      </c>
      <c r="L235" s="89">
        <v>219</v>
      </c>
      <c r="M235" s="186" t="e">
        <f t="shared" si="36"/>
        <v>#DIV/0!</v>
      </c>
      <c r="N235" s="171" t="e">
        <f t="shared" si="37"/>
        <v>#DIV/0!</v>
      </c>
      <c r="O235" s="171" t="e">
        <f t="shared" si="30"/>
        <v>#DIV/0!</v>
      </c>
      <c r="P235" s="171" t="e">
        <f t="shared" si="38"/>
        <v>#DIV/0!</v>
      </c>
      <c r="Q235" s="171" t="e">
        <f t="shared" si="39"/>
        <v>#DIV/0!</v>
      </c>
      <c r="R235" s="186">
        <f>IF('prijem_zahranicie - viac-dom'!$I$121=TRUE,IF($C$11&gt;0,0.00025*N234,0),IF('prijem_zahranicie - viac-dom'!$I$122=TRUE,IF('prijem_zahranicie - viac-dom'!$F$122&gt;0,0.00025*N234*-1,0),0))</f>
        <v>0</v>
      </c>
    </row>
    <row r="236" spans="1:18" x14ac:dyDescent="0.2">
      <c r="A236" s="89">
        <v>220</v>
      </c>
      <c r="B236" s="186" t="e">
        <f t="shared" si="31"/>
        <v>#NUM!</v>
      </c>
      <c r="C236" s="171" t="e">
        <f t="shared" si="32"/>
        <v>#NUM!</v>
      </c>
      <c r="D236" s="171" t="e">
        <f t="shared" si="33"/>
        <v>#NUM!</v>
      </c>
      <c r="E236" s="171" t="e">
        <f t="shared" si="34"/>
        <v>#NUM!</v>
      </c>
      <c r="F236" s="171" t="e">
        <f t="shared" si="35"/>
        <v>#NUM!</v>
      </c>
      <c r="G236" s="186">
        <f>IF('prijem_zahranicie - viac-dom'!$I$121=TRUE,IF($C$11&gt;0,0.00025*C235,0),IF('prijem_zahranicie - viac-dom'!$I$122=TRUE,IF('prijem_zahranicie - viac-dom'!$F$122&gt;0,0.00025*C235,0),0))</f>
        <v>0</v>
      </c>
      <c r="L236" s="89">
        <v>220</v>
      </c>
      <c r="M236" s="186" t="e">
        <f t="shared" si="36"/>
        <v>#DIV/0!</v>
      </c>
      <c r="N236" s="171" t="e">
        <f t="shared" si="37"/>
        <v>#DIV/0!</v>
      </c>
      <c r="O236" s="171" t="e">
        <f t="shared" si="30"/>
        <v>#DIV/0!</v>
      </c>
      <c r="P236" s="171" t="e">
        <f t="shared" si="38"/>
        <v>#DIV/0!</v>
      </c>
      <c r="Q236" s="171" t="e">
        <f t="shared" si="39"/>
        <v>#DIV/0!</v>
      </c>
      <c r="R236" s="186">
        <f>IF('prijem_zahranicie - viac-dom'!$I$121=TRUE,IF($C$11&gt;0,0.00025*N235,0),IF('prijem_zahranicie - viac-dom'!$I$122=TRUE,IF('prijem_zahranicie - viac-dom'!$F$122&gt;0,0.00025*N235*-1,0),0))</f>
        <v>0</v>
      </c>
    </row>
    <row r="237" spans="1:18" x14ac:dyDescent="0.2">
      <c r="A237" s="89">
        <v>221</v>
      </c>
      <c r="B237" s="186" t="e">
        <f t="shared" si="31"/>
        <v>#NUM!</v>
      </c>
      <c r="C237" s="171" t="e">
        <f t="shared" si="32"/>
        <v>#NUM!</v>
      </c>
      <c r="D237" s="171" t="e">
        <f t="shared" si="33"/>
        <v>#NUM!</v>
      </c>
      <c r="E237" s="171" t="e">
        <f t="shared" si="34"/>
        <v>#NUM!</v>
      </c>
      <c r="F237" s="171" t="e">
        <f t="shared" si="35"/>
        <v>#NUM!</v>
      </c>
      <c r="G237" s="186">
        <f>IF('prijem_zahranicie - viac-dom'!$I$121=TRUE,IF($C$11&gt;0,0.00025*C236,0),IF('prijem_zahranicie - viac-dom'!$I$122=TRUE,IF('prijem_zahranicie - viac-dom'!$F$122&gt;0,0.00025*C236,0),0))</f>
        <v>0</v>
      </c>
      <c r="L237" s="89">
        <v>221</v>
      </c>
      <c r="M237" s="186" t="e">
        <f t="shared" si="36"/>
        <v>#DIV/0!</v>
      </c>
      <c r="N237" s="171" t="e">
        <f t="shared" si="37"/>
        <v>#DIV/0!</v>
      </c>
      <c r="O237" s="171" t="e">
        <f t="shared" si="30"/>
        <v>#DIV/0!</v>
      </c>
      <c r="P237" s="171" t="e">
        <f t="shared" si="38"/>
        <v>#DIV/0!</v>
      </c>
      <c r="Q237" s="171" t="e">
        <f t="shared" si="39"/>
        <v>#DIV/0!</v>
      </c>
      <c r="R237" s="186">
        <f>IF('prijem_zahranicie - viac-dom'!$I$121=TRUE,IF($C$11&gt;0,0.00025*N236,0),IF('prijem_zahranicie - viac-dom'!$I$122=TRUE,IF('prijem_zahranicie - viac-dom'!$F$122&gt;0,0.00025*N236*-1,0),0))</f>
        <v>0</v>
      </c>
    </row>
    <row r="238" spans="1:18" x14ac:dyDescent="0.2">
      <c r="A238" s="89">
        <v>222</v>
      </c>
      <c r="B238" s="186" t="e">
        <f t="shared" si="31"/>
        <v>#NUM!</v>
      </c>
      <c r="C238" s="171" t="e">
        <f t="shared" si="32"/>
        <v>#NUM!</v>
      </c>
      <c r="D238" s="171" t="e">
        <f t="shared" si="33"/>
        <v>#NUM!</v>
      </c>
      <c r="E238" s="171" t="e">
        <f t="shared" si="34"/>
        <v>#NUM!</v>
      </c>
      <c r="F238" s="171" t="e">
        <f t="shared" si="35"/>
        <v>#NUM!</v>
      </c>
      <c r="G238" s="186">
        <f>IF('prijem_zahranicie - viac-dom'!$I$121=TRUE,IF($C$11&gt;0,0.00025*C237,0),IF('prijem_zahranicie - viac-dom'!$I$122=TRUE,IF('prijem_zahranicie - viac-dom'!$F$122&gt;0,0.00025*C237,0),0))</f>
        <v>0</v>
      </c>
      <c r="L238" s="89">
        <v>222</v>
      </c>
      <c r="M238" s="186" t="e">
        <f t="shared" si="36"/>
        <v>#DIV/0!</v>
      </c>
      <c r="N238" s="171" t="e">
        <f t="shared" si="37"/>
        <v>#DIV/0!</v>
      </c>
      <c r="O238" s="171" t="e">
        <f t="shared" si="30"/>
        <v>#DIV/0!</v>
      </c>
      <c r="P238" s="171" t="e">
        <f t="shared" si="38"/>
        <v>#DIV/0!</v>
      </c>
      <c r="Q238" s="171" t="e">
        <f t="shared" si="39"/>
        <v>#DIV/0!</v>
      </c>
      <c r="R238" s="186">
        <f>IF('prijem_zahranicie - viac-dom'!$I$121=TRUE,IF($C$11&gt;0,0.00025*N237,0),IF('prijem_zahranicie - viac-dom'!$I$122=TRUE,IF('prijem_zahranicie - viac-dom'!$F$122&gt;0,0.00025*N237*-1,0),0))</f>
        <v>0</v>
      </c>
    </row>
    <row r="239" spans="1:18" x14ac:dyDescent="0.2">
      <c r="A239" s="89">
        <v>223</v>
      </c>
      <c r="B239" s="186" t="e">
        <f t="shared" si="31"/>
        <v>#NUM!</v>
      </c>
      <c r="C239" s="171" t="e">
        <f t="shared" si="32"/>
        <v>#NUM!</v>
      </c>
      <c r="D239" s="171" t="e">
        <f t="shared" si="33"/>
        <v>#NUM!</v>
      </c>
      <c r="E239" s="171" t="e">
        <f t="shared" si="34"/>
        <v>#NUM!</v>
      </c>
      <c r="F239" s="171" t="e">
        <f t="shared" si="35"/>
        <v>#NUM!</v>
      </c>
      <c r="G239" s="186">
        <f>IF('prijem_zahranicie - viac-dom'!$I$121=TRUE,IF($C$11&gt;0,0.00025*C238,0),IF('prijem_zahranicie - viac-dom'!$I$122=TRUE,IF('prijem_zahranicie - viac-dom'!$F$122&gt;0,0.00025*C238,0),0))</f>
        <v>0</v>
      </c>
      <c r="L239" s="89">
        <v>223</v>
      </c>
      <c r="M239" s="186" t="e">
        <f t="shared" si="36"/>
        <v>#DIV/0!</v>
      </c>
      <c r="N239" s="171" t="e">
        <f t="shared" si="37"/>
        <v>#DIV/0!</v>
      </c>
      <c r="O239" s="171" t="e">
        <f t="shared" si="30"/>
        <v>#DIV/0!</v>
      </c>
      <c r="P239" s="171" t="e">
        <f t="shared" si="38"/>
        <v>#DIV/0!</v>
      </c>
      <c r="Q239" s="171" t="e">
        <f t="shared" si="39"/>
        <v>#DIV/0!</v>
      </c>
      <c r="R239" s="186">
        <f>IF('prijem_zahranicie - viac-dom'!$I$121=TRUE,IF($C$11&gt;0,0.00025*N238,0),IF('prijem_zahranicie - viac-dom'!$I$122=TRUE,IF('prijem_zahranicie - viac-dom'!$F$122&gt;0,0.00025*N238*-1,0),0))</f>
        <v>0</v>
      </c>
    </row>
    <row r="240" spans="1:18" x14ac:dyDescent="0.2">
      <c r="A240" s="89">
        <v>224</v>
      </c>
      <c r="B240" s="186" t="e">
        <f t="shared" si="31"/>
        <v>#NUM!</v>
      </c>
      <c r="C240" s="171" t="e">
        <f t="shared" si="32"/>
        <v>#NUM!</v>
      </c>
      <c r="D240" s="171" t="e">
        <f t="shared" si="33"/>
        <v>#NUM!</v>
      </c>
      <c r="E240" s="171" t="e">
        <f t="shared" si="34"/>
        <v>#NUM!</v>
      </c>
      <c r="F240" s="171" t="e">
        <f t="shared" si="35"/>
        <v>#NUM!</v>
      </c>
      <c r="G240" s="186">
        <f>IF('prijem_zahranicie - viac-dom'!$I$121=TRUE,IF($C$11&gt;0,0.00025*C239,0),IF('prijem_zahranicie - viac-dom'!$I$122=TRUE,IF('prijem_zahranicie - viac-dom'!$F$122&gt;0,0.00025*C239,0),0))</f>
        <v>0</v>
      </c>
      <c r="L240" s="89">
        <v>224</v>
      </c>
      <c r="M240" s="186" t="e">
        <f t="shared" si="36"/>
        <v>#DIV/0!</v>
      </c>
      <c r="N240" s="171" t="e">
        <f t="shared" si="37"/>
        <v>#DIV/0!</v>
      </c>
      <c r="O240" s="171" t="e">
        <f t="shared" si="30"/>
        <v>#DIV/0!</v>
      </c>
      <c r="P240" s="171" t="e">
        <f t="shared" si="38"/>
        <v>#DIV/0!</v>
      </c>
      <c r="Q240" s="171" t="e">
        <f t="shared" si="39"/>
        <v>#DIV/0!</v>
      </c>
      <c r="R240" s="186">
        <f>IF('prijem_zahranicie - viac-dom'!$I$121=TRUE,IF($C$11&gt;0,0.00025*N239,0),IF('prijem_zahranicie - viac-dom'!$I$122=TRUE,IF('prijem_zahranicie - viac-dom'!$F$122&gt;0,0.00025*N239*-1,0),0))</f>
        <v>0</v>
      </c>
    </row>
    <row r="241" spans="1:18" x14ac:dyDescent="0.2">
      <c r="A241" s="89">
        <v>225</v>
      </c>
      <c r="B241" s="186" t="e">
        <f t="shared" si="31"/>
        <v>#NUM!</v>
      </c>
      <c r="C241" s="171" t="e">
        <f t="shared" si="32"/>
        <v>#NUM!</v>
      </c>
      <c r="D241" s="171" t="e">
        <f t="shared" si="33"/>
        <v>#NUM!</v>
      </c>
      <c r="E241" s="171" t="e">
        <f t="shared" si="34"/>
        <v>#NUM!</v>
      </c>
      <c r="F241" s="171" t="e">
        <f t="shared" si="35"/>
        <v>#NUM!</v>
      </c>
      <c r="G241" s="186">
        <f>IF('prijem_zahranicie - viac-dom'!$I$121=TRUE,IF($C$11&gt;0,0.00025*C240,0),IF('prijem_zahranicie - viac-dom'!$I$122=TRUE,IF('prijem_zahranicie - viac-dom'!$F$122&gt;0,0.00025*C240,0),0))</f>
        <v>0</v>
      </c>
      <c r="L241" s="89">
        <v>225</v>
      </c>
      <c r="M241" s="186" t="e">
        <f t="shared" si="36"/>
        <v>#DIV/0!</v>
      </c>
      <c r="N241" s="171" t="e">
        <f t="shared" si="37"/>
        <v>#DIV/0!</v>
      </c>
      <c r="O241" s="171" t="e">
        <f t="shared" si="30"/>
        <v>#DIV/0!</v>
      </c>
      <c r="P241" s="171" t="e">
        <f t="shared" si="38"/>
        <v>#DIV/0!</v>
      </c>
      <c r="Q241" s="171" t="e">
        <f t="shared" si="39"/>
        <v>#DIV/0!</v>
      </c>
      <c r="R241" s="186">
        <f>IF('prijem_zahranicie - viac-dom'!$I$121=TRUE,IF($C$11&gt;0,0.00025*N240,0),IF('prijem_zahranicie - viac-dom'!$I$122=TRUE,IF('prijem_zahranicie - viac-dom'!$F$122&gt;0,0.00025*N240*-1,0),0))</f>
        <v>0</v>
      </c>
    </row>
    <row r="242" spans="1:18" x14ac:dyDescent="0.2">
      <c r="A242" s="89">
        <v>226</v>
      </c>
      <c r="B242" s="186" t="e">
        <f t="shared" si="31"/>
        <v>#NUM!</v>
      </c>
      <c r="C242" s="171" t="e">
        <f t="shared" si="32"/>
        <v>#NUM!</v>
      </c>
      <c r="D242" s="171" t="e">
        <f t="shared" si="33"/>
        <v>#NUM!</v>
      </c>
      <c r="E242" s="171" t="e">
        <f t="shared" si="34"/>
        <v>#NUM!</v>
      </c>
      <c r="F242" s="171" t="e">
        <f t="shared" si="35"/>
        <v>#NUM!</v>
      </c>
      <c r="G242" s="186">
        <f>IF('prijem_zahranicie - viac-dom'!$I$121=TRUE,IF($C$11&gt;0,0.00025*C241,0),IF('prijem_zahranicie - viac-dom'!$I$122=TRUE,IF('prijem_zahranicie - viac-dom'!$F$122&gt;0,0.00025*C241,0),0))</f>
        <v>0</v>
      </c>
      <c r="L242" s="89">
        <v>226</v>
      </c>
      <c r="M242" s="186" t="e">
        <f t="shared" si="36"/>
        <v>#DIV/0!</v>
      </c>
      <c r="N242" s="171" t="e">
        <f t="shared" si="37"/>
        <v>#DIV/0!</v>
      </c>
      <c r="O242" s="171" t="e">
        <f t="shared" si="30"/>
        <v>#DIV/0!</v>
      </c>
      <c r="P242" s="171" t="e">
        <f t="shared" si="38"/>
        <v>#DIV/0!</v>
      </c>
      <c r="Q242" s="171" t="e">
        <f t="shared" si="39"/>
        <v>#DIV/0!</v>
      </c>
      <c r="R242" s="186">
        <f>IF('prijem_zahranicie - viac-dom'!$I$121=TRUE,IF($C$11&gt;0,0.00025*N241,0),IF('prijem_zahranicie - viac-dom'!$I$122=TRUE,IF('prijem_zahranicie - viac-dom'!$F$122&gt;0,0.00025*N241*-1,0),0))</f>
        <v>0</v>
      </c>
    </row>
    <row r="243" spans="1:18" x14ac:dyDescent="0.2">
      <c r="A243" s="89">
        <v>227</v>
      </c>
      <c r="B243" s="186" t="e">
        <f t="shared" si="31"/>
        <v>#NUM!</v>
      </c>
      <c r="C243" s="171" t="e">
        <f t="shared" si="32"/>
        <v>#NUM!</v>
      </c>
      <c r="D243" s="171" t="e">
        <f t="shared" si="33"/>
        <v>#NUM!</v>
      </c>
      <c r="E243" s="171" t="e">
        <f t="shared" si="34"/>
        <v>#NUM!</v>
      </c>
      <c r="F243" s="171" t="e">
        <f t="shared" si="35"/>
        <v>#NUM!</v>
      </c>
      <c r="G243" s="186">
        <f>IF('prijem_zahranicie - viac-dom'!$I$121=TRUE,IF($C$11&gt;0,0.00025*C242,0),IF('prijem_zahranicie - viac-dom'!$I$122=TRUE,IF('prijem_zahranicie - viac-dom'!$F$122&gt;0,0.00025*C242,0),0))</f>
        <v>0</v>
      </c>
      <c r="L243" s="89">
        <v>227</v>
      </c>
      <c r="M243" s="186" t="e">
        <f t="shared" si="36"/>
        <v>#DIV/0!</v>
      </c>
      <c r="N243" s="171" t="e">
        <f t="shared" si="37"/>
        <v>#DIV/0!</v>
      </c>
      <c r="O243" s="171" t="e">
        <f t="shared" si="30"/>
        <v>#DIV/0!</v>
      </c>
      <c r="P243" s="171" t="e">
        <f t="shared" si="38"/>
        <v>#DIV/0!</v>
      </c>
      <c r="Q243" s="171" t="e">
        <f t="shared" si="39"/>
        <v>#DIV/0!</v>
      </c>
      <c r="R243" s="186">
        <f>IF('prijem_zahranicie - viac-dom'!$I$121=TRUE,IF($C$11&gt;0,0.00025*N242,0),IF('prijem_zahranicie - viac-dom'!$I$122=TRUE,IF('prijem_zahranicie - viac-dom'!$F$122&gt;0,0.00025*N242*-1,0),0))</f>
        <v>0</v>
      </c>
    </row>
    <row r="244" spans="1:18" x14ac:dyDescent="0.2">
      <c r="A244" s="89">
        <v>228</v>
      </c>
      <c r="B244" s="186" t="e">
        <f t="shared" si="31"/>
        <v>#NUM!</v>
      </c>
      <c r="C244" s="171" t="e">
        <f t="shared" si="32"/>
        <v>#NUM!</v>
      </c>
      <c r="D244" s="171" t="e">
        <f t="shared" si="33"/>
        <v>#NUM!</v>
      </c>
      <c r="E244" s="171" t="e">
        <f t="shared" si="34"/>
        <v>#NUM!</v>
      </c>
      <c r="F244" s="171" t="e">
        <f t="shared" si="35"/>
        <v>#NUM!</v>
      </c>
      <c r="G244" s="186">
        <f>IF('prijem_zahranicie - viac-dom'!$I$121=TRUE,IF($C$11&gt;0,0.00025*C243,0),IF('prijem_zahranicie - viac-dom'!$I$122=TRUE,IF('prijem_zahranicie - viac-dom'!$F$122&gt;0,0.00025*C243,0),0))</f>
        <v>0</v>
      </c>
      <c r="L244" s="89">
        <v>228</v>
      </c>
      <c r="M244" s="186" t="e">
        <f t="shared" si="36"/>
        <v>#DIV/0!</v>
      </c>
      <c r="N244" s="171" t="e">
        <f t="shared" si="37"/>
        <v>#DIV/0!</v>
      </c>
      <c r="O244" s="171" t="e">
        <f t="shared" si="30"/>
        <v>#DIV/0!</v>
      </c>
      <c r="P244" s="171" t="e">
        <f t="shared" si="38"/>
        <v>#DIV/0!</v>
      </c>
      <c r="Q244" s="171" t="e">
        <f t="shared" si="39"/>
        <v>#DIV/0!</v>
      </c>
      <c r="R244" s="186">
        <f>IF('prijem_zahranicie - viac-dom'!$I$121=TRUE,IF($C$11&gt;0,0.00025*N243,0),IF('prijem_zahranicie - viac-dom'!$I$122=TRUE,IF('prijem_zahranicie - viac-dom'!$F$122&gt;0,0.00025*N243*-1,0),0))</f>
        <v>0</v>
      </c>
    </row>
    <row r="245" spans="1:18" x14ac:dyDescent="0.2">
      <c r="A245" s="89">
        <v>229</v>
      </c>
      <c r="B245" s="186" t="e">
        <f t="shared" si="31"/>
        <v>#NUM!</v>
      </c>
      <c r="C245" s="171" t="e">
        <f t="shared" si="32"/>
        <v>#NUM!</v>
      </c>
      <c r="D245" s="171" t="e">
        <f t="shared" si="33"/>
        <v>#NUM!</v>
      </c>
      <c r="E245" s="171" t="e">
        <f t="shared" si="34"/>
        <v>#NUM!</v>
      </c>
      <c r="F245" s="171" t="e">
        <f t="shared" si="35"/>
        <v>#NUM!</v>
      </c>
      <c r="G245" s="186">
        <f>IF('prijem_zahranicie - viac-dom'!$I$121=TRUE,IF($C$11&gt;0,0.00025*C244,0),IF('prijem_zahranicie - viac-dom'!$I$122=TRUE,IF('prijem_zahranicie - viac-dom'!$F$122&gt;0,0.00025*C244,0),0))</f>
        <v>0</v>
      </c>
      <c r="L245" s="89">
        <v>229</v>
      </c>
      <c r="M245" s="186" t="e">
        <f t="shared" si="36"/>
        <v>#DIV/0!</v>
      </c>
      <c r="N245" s="171" t="e">
        <f t="shared" si="37"/>
        <v>#DIV/0!</v>
      </c>
      <c r="O245" s="171" t="e">
        <f t="shared" si="30"/>
        <v>#DIV/0!</v>
      </c>
      <c r="P245" s="171" t="e">
        <f t="shared" si="38"/>
        <v>#DIV/0!</v>
      </c>
      <c r="Q245" s="171" t="e">
        <f t="shared" si="39"/>
        <v>#DIV/0!</v>
      </c>
      <c r="R245" s="186">
        <f>IF('prijem_zahranicie - viac-dom'!$I$121=TRUE,IF($C$11&gt;0,0.00025*N244,0),IF('prijem_zahranicie - viac-dom'!$I$122=TRUE,IF('prijem_zahranicie - viac-dom'!$F$122&gt;0,0.00025*N244*-1,0),0))</f>
        <v>0</v>
      </c>
    </row>
    <row r="246" spans="1:18" x14ac:dyDescent="0.2">
      <c r="A246" s="89">
        <v>230</v>
      </c>
      <c r="B246" s="186" t="e">
        <f t="shared" si="31"/>
        <v>#NUM!</v>
      </c>
      <c r="C246" s="171" t="e">
        <f t="shared" si="32"/>
        <v>#NUM!</v>
      </c>
      <c r="D246" s="171" t="e">
        <f t="shared" si="33"/>
        <v>#NUM!</v>
      </c>
      <c r="E246" s="171" t="e">
        <f t="shared" si="34"/>
        <v>#NUM!</v>
      </c>
      <c r="F246" s="171" t="e">
        <f t="shared" si="35"/>
        <v>#NUM!</v>
      </c>
      <c r="G246" s="186">
        <f>IF('prijem_zahranicie - viac-dom'!$I$121=TRUE,IF($C$11&gt;0,0.00025*C245,0),IF('prijem_zahranicie - viac-dom'!$I$122=TRUE,IF('prijem_zahranicie - viac-dom'!$F$122&gt;0,0.00025*C245,0),0))</f>
        <v>0</v>
      </c>
      <c r="L246" s="89">
        <v>230</v>
      </c>
      <c r="M246" s="186" t="e">
        <f t="shared" si="36"/>
        <v>#DIV/0!</v>
      </c>
      <c r="N246" s="171" t="e">
        <f t="shared" si="37"/>
        <v>#DIV/0!</v>
      </c>
      <c r="O246" s="171" t="e">
        <f t="shared" si="30"/>
        <v>#DIV/0!</v>
      </c>
      <c r="P246" s="171" t="e">
        <f t="shared" si="38"/>
        <v>#DIV/0!</v>
      </c>
      <c r="Q246" s="171" t="e">
        <f t="shared" si="39"/>
        <v>#DIV/0!</v>
      </c>
      <c r="R246" s="186">
        <f>IF('prijem_zahranicie - viac-dom'!$I$121=TRUE,IF($C$11&gt;0,0.00025*N245,0),IF('prijem_zahranicie - viac-dom'!$I$122=TRUE,IF('prijem_zahranicie - viac-dom'!$F$122&gt;0,0.00025*N245*-1,0),0))</f>
        <v>0</v>
      </c>
    </row>
    <row r="247" spans="1:18" x14ac:dyDescent="0.2">
      <c r="A247" s="89">
        <v>231</v>
      </c>
      <c r="B247" s="186" t="e">
        <f t="shared" si="31"/>
        <v>#NUM!</v>
      </c>
      <c r="C247" s="171" t="e">
        <f t="shared" si="32"/>
        <v>#NUM!</v>
      </c>
      <c r="D247" s="171" t="e">
        <f t="shared" si="33"/>
        <v>#NUM!</v>
      </c>
      <c r="E247" s="171" t="e">
        <f t="shared" si="34"/>
        <v>#NUM!</v>
      </c>
      <c r="F247" s="171" t="e">
        <f t="shared" si="35"/>
        <v>#NUM!</v>
      </c>
      <c r="G247" s="186">
        <f>IF('prijem_zahranicie - viac-dom'!$I$121=TRUE,IF($C$11&gt;0,0.00025*C246,0),IF('prijem_zahranicie - viac-dom'!$I$122=TRUE,IF('prijem_zahranicie - viac-dom'!$F$122&gt;0,0.00025*C246,0),0))</f>
        <v>0</v>
      </c>
      <c r="L247" s="89">
        <v>231</v>
      </c>
      <c r="M247" s="186" t="e">
        <f t="shared" si="36"/>
        <v>#DIV/0!</v>
      </c>
      <c r="N247" s="171" t="e">
        <f t="shared" si="37"/>
        <v>#DIV/0!</v>
      </c>
      <c r="O247" s="171" t="e">
        <f t="shared" si="30"/>
        <v>#DIV/0!</v>
      </c>
      <c r="P247" s="171" t="e">
        <f t="shared" si="38"/>
        <v>#DIV/0!</v>
      </c>
      <c r="Q247" s="171" t="e">
        <f t="shared" si="39"/>
        <v>#DIV/0!</v>
      </c>
      <c r="R247" s="186">
        <f>IF('prijem_zahranicie - viac-dom'!$I$121=TRUE,IF($C$11&gt;0,0.00025*N246,0),IF('prijem_zahranicie - viac-dom'!$I$122=TRUE,IF('prijem_zahranicie - viac-dom'!$F$122&gt;0,0.00025*N246*-1,0),0))</f>
        <v>0</v>
      </c>
    </row>
    <row r="248" spans="1:18" x14ac:dyDescent="0.2">
      <c r="A248" s="89">
        <v>232</v>
      </c>
      <c r="B248" s="186" t="e">
        <f t="shared" si="31"/>
        <v>#NUM!</v>
      </c>
      <c r="C248" s="171" t="e">
        <f t="shared" si="32"/>
        <v>#NUM!</v>
      </c>
      <c r="D248" s="171" t="e">
        <f t="shared" si="33"/>
        <v>#NUM!</v>
      </c>
      <c r="E248" s="171" t="e">
        <f t="shared" si="34"/>
        <v>#NUM!</v>
      </c>
      <c r="F248" s="171" t="e">
        <f t="shared" si="35"/>
        <v>#NUM!</v>
      </c>
      <c r="G248" s="186">
        <f>IF('prijem_zahranicie - viac-dom'!$I$121=TRUE,IF($C$11&gt;0,0.00025*C247,0),IF('prijem_zahranicie - viac-dom'!$I$122=TRUE,IF('prijem_zahranicie - viac-dom'!$F$122&gt;0,0.00025*C247,0),0))</f>
        <v>0</v>
      </c>
      <c r="L248" s="89">
        <v>232</v>
      </c>
      <c r="M248" s="186" t="e">
        <f t="shared" si="36"/>
        <v>#DIV/0!</v>
      </c>
      <c r="N248" s="171" t="e">
        <f t="shared" si="37"/>
        <v>#DIV/0!</v>
      </c>
      <c r="O248" s="171" t="e">
        <f t="shared" si="30"/>
        <v>#DIV/0!</v>
      </c>
      <c r="P248" s="171" t="e">
        <f t="shared" si="38"/>
        <v>#DIV/0!</v>
      </c>
      <c r="Q248" s="171" t="e">
        <f t="shared" si="39"/>
        <v>#DIV/0!</v>
      </c>
      <c r="R248" s="186">
        <f>IF('prijem_zahranicie - viac-dom'!$I$121=TRUE,IF($C$11&gt;0,0.00025*N247,0),IF('prijem_zahranicie - viac-dom'!$I$122=TRUE,IF('prijem_zahranicie - viac-dom'!$F$122&gt;0,0.00025*N247*-1,0),0))</f>
        <v>0</v>
      </c>
    </row>
    <row r="249" spans="1:18" x14ac:dyDescent="0.2">
      <c r="A249" s="89">
        <v>233</v>
      </c>
      <c r="B249" s="186" t="e">
        <f t="shared" si="31"/>
        <v>#NUM!</v>
      </c>
      <c r="C249" s="171" t="e">
        <f t="shared" si="32"/>
        <v>#NUM!</v>
      </c>
      <c r="D249" s="171" t="e">
        <f t="shared" si="33"/>
        <v>#NUM!</v>
      </c>
      <c r="E249" s="171" t="e">
        <f t="shared" si="34"/>
        <v>#NUM!</v>
      </c>
      <c r="F249" s="171" t="e">
        <f t="shared" si="35"/>
        <v>#NUM!</v>
      </c>
      <c r="G249" s="186">
        <f>IF('prijem_zahranicie - viac-dom'!$I$121=TRUE,IF($C$11&gt;0,0.00025*C248,0),IF('prijem_zahranicie - viac-dom'!$I$122=TRUE,IF('prijem_zahranicie - viac-dom'!$F$122&gt;0,0.00025*C248,0),0))</f>
        <v>0</v>
      </c>
      <c r="L249" s="89">
        <v>233</v>
      </c>
      <c r="M249" s="186" t="e">
        <f t="shared" si="36"/>
        <v>#DIV/0!</v>
      </c>
      <c r="N249" s="171" t="e">
        <f t="shared" si="37"/>
        <v>#DIV/0!</v>
      </c>
      <c r="O249" s="171" t="e">
        <f t="shared" si="30"/>
        <v>#DIV/0!</v>
      </c>
      <c r="P249" s="171" t="e">
        <f t="shared" si="38"/>
        <v>#DIV/0!</v>
      </c>
      <c r="Q249" s="171" t="e">
        <f t="shared" si="39"/>
        <v>#DIV/0!</v>
      </c>
      <c r="R249" s="186">
        <f>IF('prijem_zahranicie - viac-dom'!$I$121=TRUE,IF($C$11&gt;0,0.00025*N248,0),IF('prijem_zahranicie - viac-dom'!$I$122=TRUE,IF('prijem_zahranicie - viac-dom'!$F$122&gt;0,0.00025*N248*-1,0),0))</f>
        <v>0</v>
      </c>
    </row>
    <row r="250" spans="1:18" x14ac:dyDescent="0.2">
      <c r="A250" s="89">
        <v>234</v>
      </c>
      <c r="B250" s="186" t="e">
        <f t="shared" si="31"/>
        <v>#NUM!</v>
      </c>
      <c r="C250" s="171" t="e">
        <f t="shared" si="32"/>
        <v>#NUM!</v>
      </c>
      <c r="D250" s="171" t="e">
        <f t="shared" si="33"/>
        <v>#NUM!</v>
      </c>
      <c r="E250" s="171" t="e">
        <f t="shared" si="34"/>
        <v>#NUM!</v>
      </c>
      <c r="F250" s="171" t="e">
        <f t="shared" si="35"/>
        <v>#NUM!</v>
      </c>
      <c r="G250" s="186">
        <f>IF('prijem_zahranicie - viac-dom'!$I$121=TRUE,IF($C$11&gt;0,0.00025*C249,0),IF('prijem_zahranicie - viac-dom'!$I$122=TRUE,IF('prijem_zahranicie - viac-dom'!$F$122&gt;0,0.00025*C249,0),0))</f>
        <v>0</v>
      </c>
      <c r="L250" s="89">
        <v>234</v>
      </c>
      <c r="M250" s="186" t="e">
        <f t="shared" si="36"/>
        <v>#DIV/0!</v>
      </c>
      <c r="N250" s="171" t="e">
        <f t="shared" si="37"/>
        <v>#DIV/0!</v>
      </c>
      <c r="O250" s="171" t="e">
        <f t="shared" si="30"/>
        <v>#DIV/0!</v>
      </c>
      <c r="P250" s="171" t="e">
        <f t="shared" si="38"/>
        <v>#DIV/0!</v>
      </c>
      <c r="Q250" s="171" t="e">
        <f t="shared" si="39"/>
        <v>#DIV/0!</v>
      </c>
      <c r="R250" s="186">
        <f>IF('prijem_zahranicie - viac-dom'!$I$121=TRUE,IF($C$11&gt;0,0.00025*N249,0),IF('prijem_zahranicie - viac-dom'!$I$122=TRUE,IF('prijem_zahranicie - viac-dom'!$F$122&gt;0,0.00025*N249*-1,0),0))</f>
        <v>0</v>
      </c>
    </row>
    <row r="251" spans="1:18" x14ac:dyDescent="0.2">
      <c r="A251" s="89">
        <v>235</v>
      </c>
      <c r="B251" s="186" t="e">
        <f t="shared" si="31"/>
        <v>#NUM!</v>
      </c>
      <c r="C251" s="171" t="e">
        <f t="shared" si="32"/>
        <v>#NUM!</v>
      </c>
      <c r="D251" s="171" t="e">
        <f t="shared" si="33"/>
        <v>#NUM!</v>
      </c>
      <c r="E251" s="171" t="e">
        <f t="shared" si="34"/>
        <v>#NUM!</v>
      </c>
      <c r="F251" s="171" t="e">
        <f t="shared" si="35"/>
        <v>#NUM!</v>
      </c>
      <c r="G251" s="186">
        <f>IF('prijem_zahranicie - viac-dom'!$I$121=TRUE,IF($C$11&gt;0,0.00025*C250,0),IF('prijem_zahranicie - viac-dom'!$I$122=TRUE,IF('prijem_zahranicie - viac-dom'!$F$122&gt;0,0.00025*C250,0),0))</f>
        <v>0</v>
      </c>
      <c r="L251" s="89">
        <v>235</v>
      </c>
      <c r="M251" s="186" t="e">
        <f t="shared" si="36"/>
        <v>#DIV/0!</v>
      </c>
      <c r="N251" s="171" t="e">
        <f t="shared" si="37"/>
        <v>#DIV/0!</v>
      </c>
      <c r="O251" s="171" t="e">
        <f t="shared" si="30"/>
        <v>#DIV/0!</v>
      </c>
      <c r="P251" s="171" t="e">
        <f t="shared" si="38"/>
        <v>#DIV/0!</v>
      </c>
      <c r="Q251" s="171" t="e">
        <f t="shared" si="39"/>
        <v>#DIV/0!</v>
      </c>
      <c r="R251" s="186">
        <f>IF('prijem_zahranicie - viac-dom'!$I$121=TRUE,IF($C$11&gt;0,0.00025*N250,0),IF('prijem_zahranicie - viac-dom'!$I$122=TRUE,IF('prijem_zahranicie - viac-dom'!$F$122&gt;0,0.00025*N250*-1,0),0))</f>
        <v>0</v>
      </c>
    </row>
    <row r="252" spans="1:18" x14ac:dyDescent="0.2">
      <c r="A252" s="89">
        <v>236</v>
      </c>
      <c r="B252" s="186" t="e">
        <f t="shared" si="31"/>
        <v>#NUM!</v>
      </c>
      <c r="C252" s="171" t="e">
        <f t="shared" si="32"/>
        <v>#NUM!</v>
      </c>
      <c r="D252" s="171" t="e">
        <f t="shared" si="33"/>
        <v>#NUM!</v>
      </c>
      <c r="E252" s="171" t="e">
        <f t="shared" si="34"/>
        <v>#NUM!</v>
      </c>
      <c r="F252" s="171" t="e">
        <f t="shared" si="35"/>
        <v>#NUM!</v>
      </c>
      <c r="G252" s="186">
        <f>IF('prijem_zahranicie - viac-dom'!$I$121=TRUE,IF($C$11&gt;0,0.00025*C251,0),IF('prijem_zahranicie - viac-dom'!$I$122=TRUE,IF('prijem_zahranicie - viac-dom'!$F$122&gt;0,0.00025*C251,0),0))</f>
        <v>0</v>
      </c>
      <c r="L252" s="89">
        <v>236</v>
      </c>
      <c r="M252" s="186" t="e">
        <f t="shared" si="36"/>
        <v>#DIV/0!</v>
      </c>
      <c r="N252" s="171" t="e">
        <f t="shared" si="37"/>
        <v>#DIV/0!</v>
      </c>
      <c r="O252" s="171" t="e">
        <f t="shared" si="30"/>
        <v>#DIV/0!</v>
      </c>
      <c r="P252" s="171" t="e">
        <f t="shared" si="38"/>
        <v>#DIV/0!</v>
      </c>
      <c r="Q252" s="171" t="e">
        <f t="shared" si="39"/>
        <v>#DIV/0!</v>
      </c>
      <c r="R252" s="186">
        <f>IF('prijem_zahranicie - viac-dom'!$I$121=TRUE,IF($C$11&gt;0,0.00025*N251,0),IF('prijem_zahranicie - viac-dom'!$I$122=TRUE,IF('prijem_zahranicie - viac-dom'!$F$122&gt;0,0.00025*N251*-1,0),0))</f>
        <v>0</v>
      </c>
    </row>
    <row r="253" spans="1:18" x14ac:dyDescent="0.2">
      <c r="A253" s="89">
        <v>237</v>
      </c>
      <c r="B253" s="186" t="e">
        <f t="shared" si="31"/>
        <v>#NUM!</v>
      </c>
      <c r="C253" s="171" t="e">
        <f t="shared" si="32"/>
        <v>#NUM!</v>
      </c>
      <c r="D253" s="171" t="e">
        <f t="shared" si="33"/>
        <v>#NUM!</v>
      </c>
      <c r="E253" s="171" t="e">
        <f t="shared" si="34"/>
        <v>#NUM!</v>
      </c>
      <c r="F253" s="171" t="e">
        <f t="shared" si="35"/>
        <v>#NUM!</v>
      </c>
      <c r="G253" s="186">
        <f>IF('prijem_zahranicie - viac-dom'!$I$121=TRUE,IF($C$11&gt;0,0.00025*C252,0),IF('prijem_zahranicie - viac-dom'!$I$122=TRUE,IF('prijem_zahranicie - viac-dom'!$F$122&gt;0,0.00025*C252,0),0))</f>
        <v>0</v>
      </c>
      <c r="L253" s="89">
        <v>237</v>
      </c>
      <c r="M253" s="186" t="e">
        <f t="shared" si="36"/>
        <v>#DIV/0!</v>
      </c>
      <c r="N253" s="171" t="e">
        <f t="shared" si="37"/>
        <v>#DIV/0!</v>
      </c>
      <c r="O253" s="171" t="e">
        <f t="shared" si="30"/>
        <v>#DIV/0!</v>
      </c>
      <c r="P253" s="171" t="e">
        <f t="shared" si="38"/>
        <v>#DIV/0!</v>
      </c>
      <c r="Q253" s="171" t="e">
        <f t="shared" si="39"/>
        <v>#DIV/0!</v>
      </c>
      <c r="R253" s="186">
        <f>IF('prijem_zahranicie - viac-dom'!$I$121=TRUE,IF($C$11&gt;0,0.00025*N252,0),IF('prijem_zahranicie - viac-dom'!$I$122=TRUE,IF('prijem_zahranicie - viac-dom'!$F$122&gt;0,0.00025*N252*-1,0),0))</f>
        <v>0</v>
      </c>
    </row>
    <row r="254" spans="1:18" x14ac:dyDescent="0.2">
      <c r="A254" s="89">
        <v>238</v>
      </c>
      <c r="B254" s="186" t="e">
        <f t="shared" si="31"/>
        <v>#NUM!</v>
      </c>
      <c r="C254" s="171" t="e">
        <f t="shared" si="32"/>
        <v>#NUM!</v>
      </c>
      <c r="D254" s="171" t="e">
        <f t="shared" si="33"/>
        <v>#NUM!</v>
      </c>
      <c r="E254" s="171" t="e">
        <f t="shared" si="34"/>
        <v>#NUM!</v>
      </c>
      <c r="F254" s="171" t="e">
        <f t="shared" si="35"/>
        <v>#NUM!</v>
      </c>
      <c r="G254" s="186">
        <f>IF('prijem_zahranicie - viac-dom'!$I$121=TRUE,IF($C$11&gt;0,0.00025*C253,0),IF('prijem_zahranicie - viac-dom'!$I$122=TRUE,IF('prijem_zahranicie - viac-dom'!$F$122&gt;0,0.00025*C253,0),0))</f>
        <v>0</v>
      </c>
      <c r="L254" s="89">
        <v>238</v>
      </c>
      <c r="M254" s="186" t="e">
        <f t="shared" si="36"/>
        <v>#DIV/0!</v>
      </c>
      <c r="N254" s="171" t="e">
        <f t="shared" si="37"/>
        <v>#DIV/0!</v>
      </c>
      <c r="O254" s="171" t="e">
        <f t="shared" si="30"/>
        <v>#DIV/0!</v>
      </c>
      <c r="P254" s="171" t="e">
        <f t="shared" si="38"/>
        <v>#DIV/0!</v>
      </c>
      <c r="Q254" s="171" t="e">
        <f t="shared" si="39"/>
        <v>#DIV/0!</v>
      </c>
      <c r="R254" s="186">
        <f>IF('prijem_zahranicie - viac-dom'!$I$121=TRUE,IF($C$11&gt;0,0.00025*N253,0),IF('prijem_zahranicie - viac-dom'!$I$122=TRUE,IF('prijem_zahranicie - viac-dom'!$F$122&gt;0,0.00025*N253*-1,0),0))</f>
        <v>0</v>
      </c>
    </row>
    <row r="255" spans="1:18" x14ac:dyDescent="0.2">
      <c r="A255" s="89">
        <v>239</v>
      </c>
      <c r="B255" s="186" t="e">
        <f t="shared" si="31"/>
        <v>#NUM!</v>
      </c>
      <c r="C255" s="171" t="e">
        <f t="shared" si="32"/>
        <v>#NUM!</v>
      </c>
      <c r="D255" s="171" t="e">
        <f t="shared" si="33"/>
        <v>#NUM!</v>
      </c>
      <c r="E255" s="171" t="e">
        <f t="shared" si="34"/>
        <v>#NUM!</v>
      </c>
      <c r="F255" s="171" t="e">
        <f t="shared" si="35"/>
        <v>#NUM!</v>
      </c>
      <c r="G255" s="186">
        <f>IF('prijem_zahranicie - viac-dom'!$I$121=TRUE,IF($C$11&gt;0,0.00025*C254,0),IF('prijem_zahranicie - viac-dom'!$I$122=TRUE,IF('prijem_zahranicie - viac-dom'!$F$122&gt;0,0.00025*C254,0),0))</f>
        <v>0</v>
      </c>
      <c r="L255" s="89">
        <v>239</v>
      </c>
      <c r="M255" s="186" t="e">
        <f t="shared" si="36"/>
        <v>#DIV/0!</v>
      </c>
      <c r="N255" s="171" t="e">
        <f t="shared" si="37"/>
        <v>#DIV/0!</v>
      </c>
      <c r="O255" s="171" t="e">
        <f t="shared" si="30"/>
        <v>#DIV/0!</v>
      </c>
      <c r="P255" s="171" t="e">
        <f t="shared" si="38"/>
        <v>#DIV/0!</v>
      </c>
      <c r="Q255" s="171" t="e">
        <f t="shared" si="39"/>
        <v>#DIV/0!</v>
      </c>
      <c r="R255" s="186">
        <f>IF('prijem_zahranicie - viac-dom'!$I$121=TRUE,IF($C$11&gt;0,0.00025*N254,0),IF('prijem_zahranicie - viac-dom'!$I$122=TRUE,IF('prijem_zahranicie - viac-dom'!$F$122&gt;0,0.00025*N254*-1,0),0))</f>
        <v>0</v>
      </c>
    </row>
    <row r="256" spans="1:18" x14ac:dyDescent="0.2">
      <c r="A256" s="89">
        <v>240</v>
      </c>
      <c r="B256" s="186" t="e">
        <f t="shared" si="31"/>
        <v>#NUM!</v>
      </c>
      <c r="C256" s="171" t="e">
        <f t="shared" si="32"/>
        <v>#NUM!</v>
      </c>
      <c r="D256" s="171" t="e">
        <f t="shared" si="33"/>
        <v>#NUM!</v>
      </c>
      <c r="E256" s="171" t="e">
        <f t="shared" si="34"/>
        <v>#NUM!</v>
      </c>
      <c r="F256" s="171" t="e">
        <f t="shared" si="35"/>
        <v>#NUM!</v>
      </c>
      <c r="G256" s="186">
        <f>IF('prijem_zahranicie - viac-dom'!$I$121=TRUE,IF($C$11&gt;0,0.00025*C255,0),IF('prijem_zahranicie - viac-dom'!$I$122=TRUE,IF('prijem_zahranicie - viac-dom'!$F$122&gt;0,0.00025*C255,0),0))</f>
        <v>0</v>
      </c>
      <c r="L256" s="89">
        <v>240</v>
      </c>
      <c r="M256" s="186" t="e">
        <f t="shared" si="36"/>
        <v>#DIV/0!</v>
      </c>
      <c r="N256" s="171" t="e">
        <f t="shared" si="37"/>
        <v>#DIV/0!</v>
      </c>
      <c r="O256" s="171" t="e">
        <f t="shared" si="30"/>
        <v>#DIV/0!</v>
      </c>
      <c r="P256" s="171" t="e">
        <f t="shared" si="38"/>
        <v>#DIV/0!</v>
      </c>
      <c r="Q256" s="171" t="e">
        <f t="shared" si="39"/>
        <v>#DIV/0!</v>
      </c>
      <c r="R256" s="186">
        <f>IF('prijem_zahranicie - viac-dom'!$I$121=TRUE,IF($C$11&gt;0,0.00025*N255,0),IF('prijem_zahranicie - viac-dom'!$I$122=TRUE,IF('prijem_zahranicie - viac-dom'!$F$122&gt;0,0.00025*N255*-1,0),0))</f>
        <v>0</v>
      </c>
    </row>
    <row r="257" spans="1:18" x14ac:dyDescent="0.2">
      <c r="A257" s="89">
        <v>241</v>
      </c>
      <c r="B257" s="186" t="e">
        <f t="shared" si="31"/>
        <v>#NUM!</v>
      </c>
      <c r="C257" s="171" t="e">
        <f t="shared" si="32"/>
        <v>#NUM!</v>
      </c>
      <c r="D257" s="171" t="e">
        <f t="shared" si="33"/>
        <v>#NUM!</v>
      </c>
      <c r="E257" s="171" t="e">
        <f t="shared" si="34"/>
        <v>#NUM!</v>
      </c>
      <c r="F257" s="171" t="e">
        <f t="shared" si="35"/>
        <v>#NUM!</v>
      </c>
      <c r="G257" s="186">
        <f>IF('prijem_zahranicie - viac-dom'!$I$121=TRUE,IF($C$11&gt;0,0.00025*C256,0),IF('prijem_zahranicie - viac-dom'!$I$122=TRUE,IF('prijem_zahranicie - viac-dom'!$F$122&gt;0,0.00025*C256,0),0))</f>
        <v>0</v>
      </c>
      <c r="L257" s="89">
        <v>241</v>
      </c>
      <c r="M257" s="186" t="e">
        <f t="shared" si="36"/>
        <v>#DIV/0!</v>
      </c>
      <c r="N257" s="171" t="e">
        <f t="shared" si="37"/>
        <v>#DIV/0!</v>
      </c>
      <c r="O257" s="171" t="e">
        <f t="shared" si="30"/>
        <v>#DIV/0!</v>
      </c>
      <c r="P257" s="171" t="e">
        <f t="shared" si="38"/>
        <v>#DIV/0!</v>
      </c>
      <c r="Q257" s="171" t="e">
        <f t="shared" si="39"/>
        <v>#DIV/0!</v>
      </c>
      <c r="R257" s="186">
        <f>IF('prijem_zahranicie - viac-dom'!$I$121=TRUE,IF($C$11&gt;0,0.00025*N256,0),IF('prijem_zahranicie - viac-dom'!$I$122=TRUE,IF('prijem_zahranicie - viac-dom'!$F$122&gt;0,0.00025*N256*-1,0),0))</f>
        <v>0</v>
      </c>
    </row>
    <row r="258" spans="1:18" x14ac:dyDescent="0.2">
      <c r="A258" s="89">
        <v>242</v>
      </c>
      <c r="B258" s="186" t="e">
        <f t="shared" si="31"/>
        <v>#NUM!</v>
      </c>
      <c r="C258" s="171" t="e">
        <f t="shared" si="32"/>
        <v>#NUM!</v>
      </c>
      <c r="D258" s="171" t="e">
        <f t="shared" si="33"/>
        <v>#NUM!</v>
      </c>
      <c r="E258" s="171" t="e">
        <f t="shared" si="34"/>
        <v>#NUM!</v>
      </c>
      <c r="F258" s="171" t="e">
        <f t="shared" si="35"/>
        <v>#NUM!</v>
      </c>
      <c r="G258" s="186">
        <f>IF('prijem_zahranicie - viac-dom'!$I$121=TRUE,IF($C$11&gt;0,0.00025*C257,0),IF('prijem_zahranicie - viac-dom'!$I$122=TRUE,IF('prijem_zahranicie - viac-dom'!$F$122&gt;0,0.00025*C257,0),0))</f>
        <v>0</v>
      </c>
      <c r="L258" s="89">
        <v>242</v>
      </c>
      <c r="M258" s="186" t="e">
        <f t="shared" si="36"/>
        <v>#DIV/0!</v>
      </c>
      <c r="N258" s="171" t="e">
        <f t="shared" si="37"/>
        <v>#DIV/0!</v>
      </c>
      <c r="O258" s="171" t="e">
        <f t="shared" si="30"/>
        <v>#DIV/0!</v>
      </c>
      <c r="P258" s="171" t="e">
        <f t="shared" si="38"/>
        <v>#DIV/0!</v>
      </c>
      <c r="Q258" s="171" t="e">
        <f t="shared" si="39"/>
        <v>#DIV/0!</v>
      </c>
      <c r="R258" s="186">
        <f>IF('prijem_zahranicie - viac-dom'!$I$121=TRUE,IF($C$11&gt;0,0.00025*N257,0),IF('prijem_zahranicie - viac-dom'!$I$122=TRUE,IF('prijem_zahranicie - viac-dom'!$F$122&gt;0,0.00025*N257*-1,0),0))</f>
        <v>0</v>
      </c>
    </row>
    <row r="259" spans="1:18" x14ac:dyDescent="0.2">
      <c r="A259" s="89">
        <v>243</v>
      </c>
      <c r="B259" s="186" t="e">
        <f t="shared" si="31"/>
        <v>#NUM!</v>
      </c>
      <c r="C259" s="171" t="e">
        <f t="shared" si="32"/>
        <v>#NUM!</v>
      </c>
      <c r="D259" s="171" t="e">
        <f t="shared" si="33"/>
        <v>#NUM!</v>
      </c>
      <c r="E259" s="171" t="e">
        <f t="shared" si="34"/>
        <v>#NUM!</v>
      </c>
      <c r="F259" s="171" t="e">
        <f t="shared" si="35"/>
        <v>#NUM!</v>
      </c>
      <c r="G259" s="186">
        <f>IF('prijem_zahranicie - viac-dom'!$I$121=TRUE,IF($C$11&gt;0,0.00025*C258,0),IF('prijem_zahranicie - viac-dom'!$I$122=TRUE,IF('prijem_zahranicie - viac-dom'!$F$122&gt;0,0.00025*C258,0),0))</f>
        <v>0</v>
      </c>
      <c r="L259" s="89">
        <v>243</v>
      </c>
      <c r="M259" s="186" t="e">
        <f t="shared" si="36"/>
        <v>#DIV/0!</v>
      </c>
      <c r="N259" s="171" t="e">
        <f t="shared" si="37"/>
        <v>#DIV/0!</v>
      </c>
      <c r="O259" s="171" t="e">
        <f t="shared" si="30"/>
        <v>#DIV/0!</v>
      </c>
      <c r="P259" s="171" t="e">
        <f t="shared" si="38"/>
        <v>#DIV/0!</v>
      </c>
      <c r="Q259" s="171" t="e">
        <f t="shared" si="39"/>
        <v>#DIV/0!</v>
      </c>
      <c r="R259" s="186">
        <f>IF('prijem_zahranicie - viac-dom'!$I$121=TRUE,IF($C$11&gt;0,0.00025*N258,0),IF('prijem_zahranicie - viac-dom'!$I$122=TRUE,IF('prijem_zahranicie - viac-dom'!$F$122&gt;0,0.00025*N258*-1,0),0))</f>
        <v>0</v>
      </c>
    </row>
    <row r="260" spans="1:18" x14ac:dyDescent="0.2">
      <c r="A260" s="89">
        <v>244</v>
      </c>
      <c r="B260" s="186" t="e">
        <f t="shared" si="31"/>
        <v>#NUM!</v>
      </c>
      <c r="C260" s="171" t="e">
        <f t="shared" si="32"/>
        <v>#NUM!</v>
      </c>
      <c r="D260" s="171" t="e">
        <f t="shared" si="33"/>
        <v>#NUM!</v>
      </c>
      <c r="E260" s="171" t="e">
        <f t="shared" si="34"/>
        <v>#NUM!</v>
      </c>
      <c r="F260" s="171" t="e">
        <f t="shared" si="35"/>
        <v>#NUM!</v>
      </c>
      <c r="G260" s="186">
        <f>IF('prijem_zahranicie - viac-dom'!$I$121=TRUE,IF($C$11&gt;0,0.00025*C259,0),IF('prijem_zahranicie - viac-dom'!$I$122=TRUE,IF('prijem_zahranicie - viac-dom'!$F$122&gt;0,0.00025*C259,0),0))</f>
        <v>0</v>
      </c>
      <c r="L260" s="89">
        <v>244</v>
      </c>
      <c r="M260" s="186" t="e">
        <f t="shared" si="36"/>
        <v>#DIV/0!</v>
      </c>
      <c r="N260" s="171" t="e">
        <f t="shared" si="37"/>
        <v>#DIV/0!</v>
      </c>
      <c r="O260" s="171" t="e">
        <f t="shared" si="30"/>
        <v>#DIV/0!</v>
      </c>
      <c r="P260" s="171" t="e">
        <f t="shared" si="38"/>
        <v>#DIV/0!</v>
      </c>
      <c r="Q260" s="171" t="e">
        <f t="shared" si="39"/>
        <v>#DIV/0!</v>
      </c>
      <c r="R260" s="186">
        <f>IF('prijem_zahranicie - viac-dom'!$I$121=TRUE,IF($C$11&gt;0,0.00025*N259,0),IF('prijem_zahranicie - viac-dom'!$I$122=TRUE,IF('prijem_zahranicie - viac-dom'!$F$122&gt;0,0.00025*N259*-1,0),0))</f>
        <v>0</v>
      </c>
    </row>
    <row r="261" spans="1:18" x14ac:dyDescent="0.2">
      <c r="A261" s="89">
        <v>245</v>
      </c>
      <c r="B261" s="186" t="e">
        <f t="shared" si="31"/>
        <v>#NUM!</v>
      </c>
      <c r="C261" s="171" t="e">
        <f t="shared" si="32"/>
        <v>#NUM!</v>
      </c>
      <c r="D261" s="171" t="e">
        <f t="shared" si="33"/>
        <v>#NUM!</v>
      </c>
      <c r="E261" s="171" t="e">
        <f t="shared" si="34"/>
        <v>#NUM!</v>
      </c>
      <c r="F261" s="171" t="e">
        <f t="shared" si="35"/>
        <v>#NUM!</v>
      </c>
      <c r="G261" s="186">
        <f>IF('prijem_zahranicie - viac-dom'!$I$121=TRUE,IF($C$11&gt;0,0.00025*C260,0),IF('prijem_zahranicie - viac-dom'!$I$122=TRUE,IF('prijem_zahranicie - viac-dom'!$F$122&gt;0,0.00025*C260,0),0))</f>
        <v>0</v>
      </c>
      <c r="L261" s="89">
        <v>245</v>
      </c>
      <c r="M261" s="186" t="e">
        <f t="shared" si="36"/>
        <v>#DIV/0!</v>
      </c>
      <c r="N261" s="171" t="e">
        <f t="shared" si="37"/>
        <v>#DIV/0!</v>
      </c>
      <c r="O261" s="171" t="e">
        <f t="shared" si="30"/>
        <v>#DIV/0!</v>
      </c>
      <c r="P261" s="171" t="e">
        <f t="shared" si="38"/>
        <v>#DIV/0!</v>
      </c>
      <c r="Q261" s="171" t="e">
        <f t="shared" si="39"/>
        <v>#DIV/0!</v>
      </c>
      <c r="R261" s="186">
        <f>IF('prijem_zahranicie - viac-dom'!$I$121=TRUE,IF($C$11&gt;0,0.00025*N260,0),IF('prijem_zahranicie - viac-dom'!$I$122=TRUE,IF('prijem_zahranicie - viac-dom'!$F$122&gt;0,0.00025*N260*-1,0),0))</f>
        <v>0</v>
      </c>
    </row>
    <row r="262" spans="1:18" x14ac:dyDescent="0.2">
      <c r="A262" s="89">
        <v>246</v>
      </c>
      <c r="B262" s="186" t="e">
        <f t="shared" si="31"/>
        <v>#NUM!</v>
      </c>
      <c r="C262" s="171" t="e">
        <f t="shared" si="32"/>
        <v>#NUM!</v>
      </c>
      <c r="D262" s="171" t="e">
        <f t="shared" si="33"/>
        <v>#NUM!</v>
      </c>
      <c r="E262" s="171" t="e">
        <f t="shared" si="34"/>
        <v>#NUM!</v>
      </c>
      <c r="F262" s="171" t="e">
        <f t="shared" si="35"/>
        <v>#NUM!</v>
      </c>
      <c r="G262" s="186">
        <f>IF('prijem_zahranicie - viac-dom'!$I$121=TRUE,IF($C$11&gt;0,0.00025*C261,0),IF('prijem_zahranicie - viac-dom'!$I$122=TRUE,IF('prijem_zahranicie - viac-dom'!$F$122&gt;0,0.00025*C261,0),0))</f>
        <v>0</v>
      </c>
      <c r="L262" s="89">
        <v>246</v>
      </c>
      <c r="M262" s="186" t="e">
        <f t="shared" si="36"/>
        <v>#DIV/0!</v>
      </c>
      <c r="N262" s="171" t="e">
        <f t="shared" si="37"/>
        <v>#DIV/0!</v>
      </c>
      <c r="O262" s="171" t="e">
        <f t="shared" si="30"/>
        <v>#DIV/0!</v>
      </c>
      <c r="P262" s="171" t="e">
        <f t="shared" si="38"/>
        <v>#DIV/0!</v>
      </c>
      <c r="Q262" s="171" t="e">
        <f t="shared" si="39"/>
        <v>#DIV/0!</v>
      </c>
      <c r="R262" s="186">
        <f>IF('prijem_zahranicie - viac-dom'!$I$121=TRUE,IF($C$11&gt;0,0.00025*N261,0),IF('prijem_zahranicie - viac-dom'!$I$122=TRUE,IF('prijem_zahranicie - viac-dom'!$F$122&gt;0,0.00025*N261*-1,0),0))</f>
        <v>0</v>
      </c>
    </row>
    <row r="263" spans="1:18" x14ac:dyDescent="0.2">
      <c r="A263" s="89">
        <v>247</v>
      </c>
      <c r="B263" s="186" t="e">
        <f t="shared" si="31"/>
        <v>#NUM!</v>
      </c>
      <c r="C263" s="171" t="e">
        <f t="shared" si="32"/>
        <v>#NUM!</v>
      </c>
      <c r="D263" s="171" t="e">
        <f t="shared" si="33"/>
        <v>#NUM!</v>
      </c>
      <c r="E263" s="171" t="e">
        <f t="shared" si="34"/>
        <v>#NUM!</v>
      </c>
      <c r="F263" s="171" t="e">
        <f t="shared" si="35"/>
        <v>#NUM!</v>
      </c>
      <c r="G263" s="186">
        <f>IF('prijem_zahranicie - viac-dom'!$I$121=TRUE,IF($C$11&gt;0,0.00025*C262,0),IF('prijem_zahranicie - viac-dom'!$I$122=TRUE,IF('prijem_zahranicie - viac-dom'!$F$122&gt;0,0.00025*C262,0),0))</f>
        <v>0</v>
      </c>
      <c r="L263" s="89">
        <v>247</v>
      </c>
      <c r="M263" s="186" t="e">
        <f t="shared" si="36"/>
        <v>#DIV/0!</v>
      </c>
      <c r="N263" s="171" t="e">
        <f t="shared" si="37"/>
        <v>#DIV/0!</v>
      </c>
      <c r="O263" s="171" t="e">
        <f t="shared" si="30"/>
        <v>#DIV/0!</v>
      </c>
      <c r="P263" s="171" t="e">
        <f t="shared" si="38"/>
        <v>#DIV/0!</v>
      </c>
      <c r="Q263" s="171" t="e">
        <f t="shared" si="39"/>
        <v>#DIV/0!</v>
      </c>
      <c r="R263" s="186">
        <f>IF('prijem_zahranicie - viac-dom'!$I$121=TRUE,IF($C$11&gt;0,0.00025*N262,0),IF('prijem_zahranicie - viac-dom'!$I$122=TRUE,IF('prijem_zahranicie - viac-dom'!$F$122&gt;0,0.00025*N262*-1,0),0))</f>
        <v>0</v>
      </c>
    </row>
    <row r="264" spans="1:18" x14ac:dyDescent="0.2">
      <c r="A264" s="89">
        <v>248</v>
      </c>
      <c r="B264" s="186" t="e">
        <f t="shared" si="31"/>
        <v>#NUM!</v>
      </c>
      <c r="C264" s="171" t="e">
        <f t="shared" si="32"/>
        <v>#NUM!</v>
      </c>
      <c r="D264" s="171" t="e">
        <f t="shared" si="33"/>
        <v>#NUM!</v>
      </c>
      <c r="E264" s="171" t="e">
        <f t="shared" si="34"/>
        <v>#NUM!</v>
      </c>
      <c r="F264" s="171" t="e">
        <f t="shared" si="35"/>
        <v>#NUM!</v>
      </c>
      <c r="G264" s="186">
        <f>IF('prijem_zahranicie - viac-dom'!$I$121=TRUE,IF($C$11&gt;0,0.00025*C263,0),IF('prijem_zahranicie - viac-dom'!$I$122=TRUE,IF('prijem_zahranicie - viac-dom'!$F$122&gt;0,0.00025*C263,0),0))</f>
        <v>0</v>
      </c>
      <c r="L264" s="89">
        <v>248</v>
      </c>
      <c r="M264" s="186" t="e">
        <f t="shared" si="36"/>
        <v>#DIV/0!</v>
      </c>
      <c r="N264" s="171" t="e">
        <f t="shared" si="37"/>
        <v>#DIV/0!</v>
      </c>
      <c r="O264" s="171" t="e">
        <f t="shared" si="30"/>
        <v>#DIV/0!</v>
      </c>
      <c r="P264" s="171" t="e">
        <f t="shared" si="38"/>
        <v>#DIV/0!</v>
      </c>
      <c r="Q264" s="171" t="e">
        <f t="shared" si="39"/>
        <v>#DIV/0!</v>
      </c>
      <c r="R264" s="186">
        <f>IF('prijem_zahranicie - viac-dom'!$I$121=TRUE,IF($C$11&gt;0,0.00025*N263,0),IF('prijem_zahranicie - viac-dom'!$I$122=TRUE,IF('prijem_zahranicie - viac-dom'!$F$122&gt;0,0.00025*N263*-1,0),0))</f>
        <v>0</v>
      </c>
    </row>
    <row r="265" spans="1:18" x14ac:dyDescent="0.2">
      <c r="A265" s="89">
        <v>249</v>
      </c>
      <c r="B265" s="186" t="e">
        <f t="shared" si="31"/>
        <v>#NUM!</v>
      </c>
      <c r="C265" s="171" t="e">
        <f t="shared" si="32"/>
        <v>#NUM!</v>
      </c>
      <c r="D265" s="171" t="e">
        <f t="shared" si="33"/>
        <v>#NUM!</v>
      </c>
      <c r="E265" s="171" t="e">
        <f t="shared" si="34"/>
        <v>#NUM!</v>
      </c>
      <c r="F265" s="171" t="e">
        <f t="shared" si="35"/>
        <v>#NUM!</v>
      </c>
      <c r="G265" s="186">
        <f>IF('prijem_zahranicie - viac-dom'!$I$121=TRUE,IF($C$11&gt;0,0.00025*C264,0),IF('prijem_zahranicie - viac-dom'!$I$122=TRUE,IF('prijem_zahranicie - viac-dom'!$F$122&gt;0,0.00025*C264,0),0))</f>
        <v>0</v>
      </c>
      <c r="L265" s="89">
        <v>249</v>
      </c>
      <c r="M265" s="186" t="e">
        <f t="shared" si="36"/>
        <v>#DIV/0!</v>
      </c>
      <c r="N265" s="171" t="e">
        <f t="shared" si="37"/>
        <v>#DIV/0!</v>
      </c>
      <c r="O265" s="171" t="e">
        <f t="shared" si="30"/>
        <v>#DIV/0!</v>
      </c>
      <c r="P265" s="171" t="e">
        <f t="shared" si="38"/>
        <v>#DIV/0!</v>
      </c>
      <c r="Q265" s="171" t="e">
        <f t="shared" si="39"/>
        <v>#DIV/0!</v>
      </c>
      <c r="R265" s="186">
        <f>IF('prijem_zahranicie - viac-dom'!$I$121=TRUE,IF($C$11&gt;0,0.00025*N264,0),IF('prijem_zahranicie - viac-dom'!$I$122=TRUE,IF('prijem_zahranicie - viac-dom'!$F$122&gt;0,0.00025*N264*-1,0),0))</f>
        <v>0</v>
      </c>
    </row>
    <row r="266" spans="1:18" x14ac:dyDescent="0.2">
      <c r="A266" s="89">
        <v>250</v>
      </c>
      <c r="B266" s="186" t="e">
        <f t="shared" si="31"/>
        <v>#NUM!</v>
      </c>
      <c r="C266" s="171" t="e">
        <f t="shared" si="32"/>
        <v>#NUM!</v>
      </c>
      <c r="D266" s="171" t="e">
        <f t="shared" si="33"/>
        <v>#NUM!</v>
      </c>
      <c r="E266" s="171" t="e">
        <f t="shared" si="34"/>
        <v>#NUM!</v>
      </c>
      <c r="F266" s="171" t="e">
        <f t="shared" si="35"/>
        <v>#NUM!</v>
      </c>
      <c r="G266" s="186">
        <f>IF('prijem_zahranicie - viac-dom'!$I$121=TRUE,IF($C$11&gt;0,0.00025*C265,0),IF('prijem_zahranicie - viac-dom'!$I$122=TRUE,IF('prijem_zahranicie - viac-dom'!$F$122&gt;0,0.00025*C265,0),0))</f>
        <v>0</v>
      </c>
      <c r="L266" s="89">
        <v>250</v>
      </c>
      <c r="M266" s="186" t="e">
        <f t="shared" si="36"/>
        <v>#DIV/0!</v>
      </c>
      <c r="N266" s="171" t="e">
        <f t="shared" si="37"/>
        <v>#DIV/0!</v>
      </c>
      <c r="O266" s="171" t="e">
        <f t="shared" si="30"/>
        <v>#DIV/0!</v>
      </c>
      <c r="P266" s="171" t="e">
        <f t="shared" si="38"/>
        <v>#DIV/0!</v>
      </c>
      <c r="Q266" s="171" t="e">
        <f t="shared" si="39"/>
        <v>#DIV/0!</v>
      </c>
      <c r="R266" s="186">
        <f>IF('prijem_zahranicie - viac-dom'!$I$121=TRUE,IF($C$11&gt;0,0.00025*N265,0),IF('prijem_zahranicie - viac-dom'!$I$122=TRUE,IF('prijem_zahranicie - viac-dom'!$F$122&gt;0,0.00025*N265*-1,0),0))</f>
        <v>0</v>
      </c>
    </row>
    <row r="267" spans="1:18" x14ac:dyDescent="0.2">
      <c r="A267" s="89">
        <v>251</v>
      </c>
      <c r="B267" s="186" t="e">
        <f t="shared" si="31"/>
        <v>#NUM!</v>
      </c>
      <c r="C267" s="171" t="e">
        <f t="shared" si="32"/>
        <v>#NUM!</v>
      </c>
      <c r="D267" s="171" t="e">
        <f t="shared" si="33"/>
        <v>#NUM!</v>
      </c>
      <c r="E267" s="171" t="e">
        <f t="shared" si="34"/>
        <v>#NUM!</v>
      </c>
      <c r="F267" s="171" t="e">
        <f t="shared" si="35"/>
        <v>#NUM!</v>
      </c>
      <c r="G267" s="186">
        <f>IF('prijem_zahranicie - viac-dom'!$I$121=TRUE,IF($C$11&gt;0,0.00025*C266,0),IF('prijem_zahranicie - viac-dom'!$I$122=TRUE,IF('prijem_zahranicie - viac-dom'!$F$122&gt;0,0.00025*C266,0),0))</f>
        <v>0</v>
      </c>
      <c r="L267" s="89">
        <v>251</v>
      </c>
      <c r="M267" s="186" t="e">
        <f t="shared" si="36"/>
        <v>#DIV/0!</v>
      </c>
      <c r="N267" s="171" t="e">
        <f t="shared" si="37"/>
        <v>#DIV/0!</v>
      </c>
      <c r="O267" s="171" t="e">
        <f t="shared" si="30"/>
        <v>#DIV/0!</v>
      </c>
      <c r="P267" s="171" t="e">
        <f t="shared" si="38"/>
        <v>#DIV/0!</v>
      </c>
      <c r="Q267" s="171" t="e">
        <f t="shared" si="39"/>
        <v>#DIV/0!</v>
      </c>
      <c r="R267" s="186">
        <f>IF('prijem_zahranicie - viac-dom'!$I$121=TRUE,IF($C$11&gt;0,0.00025*N266,0),IF('prijem_zahranicie - viac-dom'!$I$122=TRUE,IF('prijem_zahranicie - viac-dom'!$F$122&gt;0,0.00025*N266*-1,0),0))</f>
        <v>0</v>
      </c>
    </row>
    <row r="268" spans="1:18" x14ac:dyDescent="0.2">
      <c r="A268" s="89">
        <v>252</v>
      </c>
      <c r="B268" s="186" t="e">
        <f t="shared" si="31"/>
        <v>#NUM!</v>
      </c>
      <c r="C268" s="171" t="e">
        <f t="shared" si="32"/>
        <v>#NUM!</v>
      </c>
      <c r="D268" s="171" t="e">
        <f t="shared" si="33"/>
        <v>#NUM!</v>
      </c>
      <c r="E268" s="171" t="e">
        <f t="shared" si="34"/>
        <v>#NUM!</v>
      </c>
      <c r="F268" s="171" t="e">
        <f t="shared" si="35"/>
        <v>#NUM!</v>
      </c>
      <c r="G268" s="186">
        <f>IF('prijem_zahranicie - viac-dom'!$I$121=TRUE,IF($C$11&gt;0,0.00025*C267,0),IF('prijem_zahranicie - viac-dom'!$I$122=TRUE,IF('prijem_zahranicie - viac-dom'!$F$122&gt;0,0.00025*C267,0),0))</f>
        <v>0</v>
      </c>
      <c r="L268" s="89">
        <v>252</v>
      </c>
      <c r="M268" s="186" t="e">
        <f t="shared" si="36"/>
        <v>#DIV/0!</v>
      </c>
      <c r="N268" s="171" t="e">
        <f t="shared" si="37"/>
        <v>#DIV/0!</v>
      </c>
      <c r="O268" s="171" t="e">
        <f t="shared" si="30"/>
        <v>#DIV/0!</v>
      </c>
      <c r="P268" s="171" t="e">
        <f t="shared" si="38"/>
        <v>#DIV/0!</v>
      </c>
      <c r="Q268" s="171" t="e">
        <f t="shared" si="39"/>
        <v>#DIV/0!</v>
      </c>
      <c r="R268" s="186">
        <f>IF('prijem_zahranicie - viac-dom'!$I$121=TRUE,IF($C$11&gt;0,0.00025*N267,0),IF('prijem_zahranicie - viac-dom'!$I$122=TRUE,IF('prijem_zahranicie - viac-dom'!$F$122&gt;0,0.00025*N267*-1,0),0))</f>
        <v>0</v>
      </c>
    </row>
    <row r="269" spans="1:18" x14ac:dyDescent="0.2">
      <c r="A269" s="89">
        <v>253</v>
      </c>
      <c r="B269" s="186" t="e">
        <f t="shared" si="31"/>
        <v>#NUM!</v>
      </c>
      <c r="C269" s="171" t="e">
        <f t="shared" si="32"/>
        <v>#NUM!</v>
      </c>
      <c r="D269" s="171" t="e">
        <f t="shared" si="33"/>
        <v>#NUM!</v>
      </c>
      <c r="E269" s="171" t="e">
        <f t="shared" si="34"/>
        <v>#NUM!</v>
      </c>
      <c r="F269" s="171" t="e">
        <f t="shared" si="35"/>
        <v>#NUM!</v>
      </c>
      <c r="G269" s="186">
        <f>IF('prijem_zahranicie - viac-dom'!$I$121=TRUE,IF($C$11&gt;0,0.00025*C268,0),IF('prijem_zahranicie - viac-dom'!$I$122=TRUE,IF('prijem_zahranicie - viac-dom'!$F$122&gt;0,0.00025*C268,0),0))</f>
        <v>0</v>
      </c>
      <c r="L269" s="89">
        <v>253</v>
      </c>
      <c r="M269" s="186" t="e">
        <f t="shared" si="36"/>
        <v>#DIV/0!</v>
      </c>
      <c r="N269" s="171" t="e">
        <f t="shared" si="37"/>
        <v>#DIV/0!</v>
      </c>
      <c r="O269" s="171" t="e">
        <f t="shared" si="30"/>
        <v>#DIV/0!</v>
      </c>
      <c r="P269" s="171" t="e">
        <f t="shared" si="38"/>
        <v>#DIV/0!</v>
      </c>
      <c r="Q269" s="171" t="e">
        <f t="shared" si="39"/>
        <v>#DIV/0!</v>
      </c>
      <c r="R269" s="186">
        <f>IF('prijem_zahranicie - viac-dom'!$I$121=TRUE,IF($C$11&gt;0,0.00025*N268,0),IF('prijem_zahranicie - viac-dom'!$I$122=TRUE,IF('prijem_zahranicie - viac-dom'!$F$122&gt;0,0.00025*N268*-1,0),0))</f>
        <v>0</v>
      </c>
    </row>
    <row r="270" spans="1:18" x14ac:dyDescent="0.2">
      <c r="A270" s="89">
        <v>254</v>
      </c>
      <c r="B270" s="186" t="e">
        <f t="shared" si="31"/>
        <v>#NUM!</v>
      </c>
      <c r="C270" s="171" t="e">
        <f t="shared" si="32"/>
        <v>#NUM!</v>
      </c>
      <c r="D270" s="171" t="e">
        <f t="shared" si="33"/>
        <v>#NUM!</v>
      </c>
      <c r="E270" s="171" t="e">
        <f t="shared" si="34"/>
        <v>#NUM!</v>
      </c>
      <c r="F270" s="171" t="e">
        <f t="shared" si="35"/>
        <v>#NUM!</v>
      </c>
      <c r="G270" s="186">
        <f>IF('prijem_zahranicie - viac-dom'!$I$121=TRUE,IF($C$11&gt;0,0.00025*C269,0),IF('prijem_zahranicie - viac-dom'!$I$122=TRUE,IF('prijem_zahranicie - viac-dom'!$F$122&gt;0,0.00025*C269,0),0))</f>
        <v>0</v>
      </c>
      <c r="L270" s="89">
        <v>254</v>
      </c>
      <c r="M270" s="186" t="e">
        <f t="shared" si="36"/>
        <v>#DIV/0!</v>
      </c>
      <c r="N270" s="171" t="e">
        <f t="shared" si="37"/>
        <v>#DIV/0!</v>
      </c>
      <c r="O270" s="171" t="e">
        <f t="shared" si="30"/>
        <v>#DIV/0!</v>
      </c>
      <c r="P270" s="171" t="e">
        <f t="shared" si="38"/>
        <v>#DIV/0!</v>
      </c>
      <c r="Q270" s="171" t="e">
        <f t="shared" si="39"/>
        <v>#DIV/0!</v>
      </c>
      <c r="R270" s="186">
        <f>IF('prijem_zahranicie - viac-dom'!$I$121=TRUE,IF($C$11&gt;0,0.00025*N269,0),IF('prijem_zahranicie - viac-dom'!$I$122=TRUE,IF('prijem_zahranicie - viac-dom'!$F$122&gt;0,0.00025*N269*-1,0),0))</f>
        <v>0</v>
      </c>
    </row>
    <row r="271" spans="1:18" x14ac:dyDescent="0.2">
      <c r="A271" s="89">
        <v>255</v>
      </c>
      <c r="B271" s="186" t="e">
        <f t="shared" si="31"/>
        <v>#NUM!</v>
      </c>
      <c r="C271" s="171" t="e">
        <f t="shared" si="32"/>
        <v>#NUM!</v>
      </c>
      <c r="D271" s="171" t="e">
        <f t="shared" si="33"/>
        <v>#NUM!</v>
      </c>
      <c r="E271" s="171" t="e">
        <f t="shared" si="34"/>
        <v>#NUM!</v>
      </c>
      <c r="F271" s="171" t="e">
        <f t="shared" si="35"/>
        <v>#NUM!</v>
      </c>
      <c r="G271" s="186">
        <f>IF('prijem_zahranicie - viac-dom'!$I$121=TRUE,IF($C$11&gt;0,0.00025*C270,0),IF('prijem_zahranicie - viac-dom'!$I$122=TRUE,IF('prijem_zahranicie - viac-dom'!$F$122&gt;0,0.00025*C270,0),0))</f>
        <v>0</v>
      </c>
      <c r="L271" s="89">
        <v>255</v>
      </c>
      <c r="M271" s="186" t="e">
        <f t="shared" si="36"/>
        <v>#DIV/0!</v>
      </c>
      <c r="N271" s="171" t="e">
        <f t="shared" si="37"/>
        <v>#DIV/0!</v>
      </c>
      <c r="O271" s="171" t="e">
        <f t="shared" si="30"/>
        <v>#DIV/0!</v>
      </c>
      <c r="P271" s="171" t="e">
        <f t="shared" si="38"/>
        <v>#DIV/0!</v>
      </c>
      <c r="Q271" s="171" t="e">
        <f t="shared" si="39"/>
        <v>#DIV/0!</v>
      </c>
      <c r="R271" s="186">
        <f>IF('prijem_zahranicie - viac-dom'!$I$121=TRUE,IF($C$11&gt;0,0.00025*N270,0),IF('prijem_zahranicie - viac-dom'!$I$122=TRUE,IF('prijem_zahranicie - viac-dom'!$F$122&gt;0,0.00025*N270*-1,0),0))</f>
        <v>0</v>
      </c>
    </row>
    <row r="272" spans="1:18" x14ac:dyDescent="0.2">
      <c r="A272" s="89">
        <v>256</v>
      </c>
      <c r="B272" s="186" t="e">
        <f t="shared" si="31"/>
        <v>#NUM!</v>
      </c>
      <c r="C272" s="171" t="e">
        <f t="shared" si="32"/>
        <v>#NUM!</v>
      </c>
      <c r="D272" s="171" t="e">
        <f t="shared" si="33"/>
        <v>#NUM!</v>
      </c>
      <c r="E272" s="171" t="e">
        <f t="shared" si="34"/>
        <v>#NUM!</v>
      </c>
      <c r="F272" s="171" t="e">
        <f t="shared" si="35"/>
        <v>#NUM!</v>
      </c>
      <c r="G272" s="186">
        <f>IF('prijem_zahranicie - viac-dom'!$I$121=TRUE,IF($C$11&gt;0,0.00025*C271,0),IF('prijem_zahranicie - viac-dom'!$I$122=TRUE,IF('prijem_zahranicie - viac-dom'!$F$122&gt;0,0.00025*C271,0),0))</f>
        <v>0</v>
      </c>
      <c r="L272" s="89">
        <v>256</v>
      </c>
      <c r="M272" s="186" t="e">
        <f t="shared" si="36"/>
        <v>#DIV/0!</v>
      </c>
      <c r="N272" s="171" t="e">
        <f t="shared" si="37"/>
        <v>#DIV/0!</v>
      </c>
      <c r="O272" s="171" t="e">
        <f t="shared" si="30"/>
        <v>#DIV/0!</v>
      </c>
      <c r="P272" s="171" t="e">
        <f t="shared" si="38"/>
        <v>#DIV/0!</v>
      </c>
      <c r="Q272" s="171" t="e">
        <f t="shared" si="39"/>
        <v>#DIV/0!</v>
      </c>
      <c r="R272" s="186">
        <f>IF('prijem_zahranicie - viac-dom'!$I$121=TRUE,IF($C$11&gt;0,0.00025*N271,0),IF('prijem_zahranicie - viac-dom'!$I$122=TRUE,IF('prijem_zahranicie - viac-dom'!$F$122&gt;0,0.00025*N271*-1,0),0))</f>
        <v>0</v>
      </c>
    </row>
    <row r="273" spans="1:18" x14ac:dyDescent="0.2">
      <c r="A273" s="89">
        <v>257</v>
      </c>
      <c r="B273" s="186" t="e">
        <f t="shared" si="31"/>
        <v>#NUM!</v>
      </c>
      <c r="C273" s="171" t="e">
        <f t="shared" si="32"/>
        <v>#NUM!</v>
      </c>
      <c r="D273" s="171" t="e">
        <f t="shared" si="33"/>
        <v>#NUM!</v>
      </c>
      <c r="E273" s="171" t="e">
        <f t="shared" si="34"/>
        <v>#NUM!</v>
      </c>
      <c r="F273" s="171" t="e">
        <f t="shared" si="35"/>
        <v>#NUM!</v>
      </c>
      <c r="G273" s="186">
        <f>IF('prijem_zahranicie - viac-dom'!$I$121=TRUE,IF($C$11&gt;0,0.00025*C272,0),IF('prijem_zahranicie - viac-dom'!$I$122=TRUE,IF('prijem_zahranicie - viac-dom'!$F$122&gt;0,0.00025*C272,0),0))</f>
        <v>0</v>
      </c>
      <c r="L273" s="89">
        <v>257</v>
      </c>
      <c r="M273" s="186" t="e">
        <f t="shared" si="36"/>
        <v>#DIV/0!</v>
      </c>
      <c r="N273" s="171" t="e">
        <f t="shared" si="37"/>
        <v>#DIV/0!</v>
      </c>
      <c r="O273" s="171" t="e">
        <f t="shared" ref="O273:O336" si="40">$N$16/$N$5</f>
        <v>#DIV/0!</v>
      </c>
      <c r="P273" s="171" t="e">
        <f t="shared" si="38"/>
        <v>#DIV/0!</v>
      </c>
      <c r="Q273" s="171" t="e">
        <f t="shared" si="39"/>
        <v>#DIV/0!</v>
      </c>
      <c r="R273" s="186">
        <f>IF('prijem_zahranicie - viac-dom'!$I$121=TRUE,IF($C$11&gt;0,0.00025*N272,0),IF('prijem_zahranicie - viac-dom'!$I$122=TRUE,IF('prijem_zahranicie - viac-dom'!$F$122&gt;0,0.00025*N272*-1,0),0))</f>
        <v>0</v>
      </c>
    </row>
    <row r="274" spans="1:18" x14ac:dyDescent="0.2">
      <c r="A274" s="89">
        <v>258</v>
      </c>
      <c r="B274" s="186" t="e">
        <f t="shared" ref="B274:B337" si="41">IF(C273&gt;0.00001,F274-G274,0)</f>
        <v>#NUM!</v>
      </c>
      <c r="C274" s="171" t="e">
        <f t="shared" ref="C274:C337" si="42">MAX(C273-D274,0)</f>
        <v>#NUM!</v>
      </c>
      <c r="D274" s="171" t="e">
        <f t="shared" ref="D274:D337" si="43">(F274-E274)*-1</f>
        <v>#NUM!</v>
      </c>
      <c r="E274" s="171" t="e">
        <f t="shared" ref="E274:E337" si="44">IPMT($C$4/12,1,$C$5,C273)</f>
        <v>#NUM!</v>
      </c>
      <c r="F274" s="171" t="e">
        <f t="shared" ref="F274:F337" si="45">PMT($C$4/12,$C$5,$C$3)</f>
        <v>#NUM!</v>
      </c>
      <c r="G274" s="186">
        <f>IF('prijem_zahranicie - viac-dom'!$I$121=TRUE,IF($C$11&gt;0,0.00025*C273,0),IF('prijem_zahranicie - viac-dom'!$I$122=TRUE,IF('prijem_zahranicie - viac-dom'!$F$122&gt;0,0.00025*C273,0),0))</f>
        <v>0</v>
      </c>
      <c r="L274" s="89">
        <v>258</v>
      </c>
      <c r="M274" s="186" t="e">
        <f t="shared" ref="M274:M337" si="46">IF(N273&gt;0.00001,Q274-R274,0)*-1</f>
        <v>#DIV/0!</v>
      </c>
      <c r="N274" s="171" t="e">
        <f t="shared" ref="N274:N337" si="47">MAX(N273-O274,0)</f>
        <v>#DIV/0!</v>
      </c>
      <c r="O274" s="171" t="e">
        <f t="shared" si="40"/>
        <v>#DIV/0!</v>
      </c>
      <c r="P274" s="171" t="e">
        <f t="shared" ref="P274:P337" si="48">N273*$N$4/12</f>
        <v>#DIV/0!</v>
      </c>
      <c r="Q274" s="171" t="e">
        <f t="shared" ref="Q274:Q337" si="49">P274+O274</f>
        <v>#DIV/0!</v>
      </c>
      <c r="R274" s="186">
        <f>IF('prijem_zahranicie - viac-dom'!$I$121=TRUE,IF($C$11&gt;0,0.00025*N273,0),IF('prijem_zahranicie - viac-dom'!$I$122=TRUE,IF('prijem_zahranicie - viac-dom'!$F$122&gt;0,0.00025*N273*-1,0),0))</f>
        <v>0</v>
      </c>
    </row>
    <row r="275" spans="1:18" x14ac:dyDescent="0.2">
      <c r="A275" s="89">
        <v>259</v>
      </c>
      <c r="B275" s="186" t="e">
        <f t="shared" si="41"/>
        <v>#NUM!</v>
      </c>
      <c r="C275" s="171" t="e">
        <f t="shared" si="42"/>
        <v>#NUM!</v>
      </c>
      <c r="D275" s="171" t="e">
        <f t="shared" si="43"/>
        <v>#NUM!</v>
      </c>
      <c r="E275" s="171" t="e">
        <f t="shared" si="44"/>
        <v>#NUM!</v>
      </c>
      <c r="F275" s="171" t="e">
        <f t="shared" si="45"/>
        <v>#NUM!</v>
      </c>
      <c r="G275" s="186">
        <f>IF('prijem_zahranicie - viac-dom'!$I$121=TRUE,IF($C$11&gt;0,0.00025*C274,0),IF('prijem_zahranicie - viac-dom'!$I$122=TRUE,IF('prijem_zahranicie - viac-dom'!$F$122&gt;0,0.00025*C274,0),0))</f>
        <v>0</v>
      </c>
      <c r="L275" s="89">
        <v>259</v>
      </c>
      <c r="M275" s="186" t="e">
        <f t="shared" si="46"/>
        <v>#DIV/0!</v>
      </c>
      <c r="N275" s="171" t="e">
        <f t="shared" si="47"/>
        <v>#DIV/0!</v>
      </c>
      <c r="O275" s="171" t="e">
        <f t="shared" si="40"/>
        <v>#DIV/0!</v>
      </c>
      <c r="P275" s="171" t="e">
        <f t="shared" si="48"/>
        <v>#DIV/0!</v>
      </c>
      <c r="Q275" s="171" t="e">
        <f t="shared" si="49"/>
        <v>#DIV/0!</v>
      </c>
      <c r="R275" s="186">
        <f>IF('prijem_zahranicie - viac-dom'!$I$121=TRUE,IF($C$11&gt;0,0.00025*N274,0),IF('prijem_zahranicie - viac-dom'!$I$122=TRUE,IF('prijem_zahranicie - viac-dom'!$F$122&gt;0,0.00025*N274*-1,0),0))</f>
        <v>0</v>
      </c>
    </row>
    <row r="276" spans="1:18" x14ac:dyDescent="0.2">
      <c r="A276" s="89">
        <v>260</v>
      </c>
      <c r="B276" s="186" t="e">
        <f t="shared" si="41"/>
        <v>#NUM!</v>
      </c>
      <c r="C276" s="171" t="e">
        <f t="shared" si="42"/>
        <v>#NUM!</v>
      </c>
      <c r="D276" s="171" t="e">
        <f t="shared" si="43"/>
        <v>#NUM!</v>
      </c>
      <c r="E276" s="171" t="e">
        <f t="shared" si="44"/>
        <v>#NUM!</v>
      </c>
      <c r="F276" s="171" t="e">
        <f t="shared" si="45"/>
        <v>#NUM!</v>
      </c>
      <c r="G276" s="186">
        <f>IF('prijem_zahranicie - viac-dom'!$I$121=TRUE,IF($C$11&gt;0,0.00025*C275,0),IF('prijem_zahranicie - viac-dom'!$I$122=TRUE,IF('prijem_zahranicie - viac-dom'!$F$122&gt;0,0.00025*C275,0),0))</f>
        <v>0</v>
      </c>
      <c r="L276" s="89">
        <v>260</v>
      </c>
      <c r="M276" s="186" t="e">
        <f t="shared" si="46"/>
        <v>#DIV/0!</v>
      </c>
      <c r="N276" s="171" t="e">
        <f t="shared" si="47"/>
        <v>#DIV/0!</v>
      </c>
      <c r="O276" s="171" t="e">
        <f t="shared" si="40"/>
        <v>#DIV/0!</v>
      </c>
      <c r="P276" s="171" t="e">
        <f t="shared" si="48"/>
        <v>#DIV/0!</v>
      </c>
      <c r="Q276" s="171" t="e">
        <f t="shared" si="49"/>
        <v>#DIV/0!</v>
      </c>
      <c r="R276" s="186">
        <f>IF('prijem_zahranicie - viac-dom'!$I$121=TRUE,IF($C$11&gt;0,0.00025*N275,0),IF('prijem_zahranicie - viac-dom'!$I$122=TRUE,IF('prijem_zahranicie - viac-dom'!$F$122&gt;0,0.00025*N275*-1,0),0))</f>
        <v>0</v>
      </c>
    </row>
    <row r="277" spans="1:18" x14ac:dyDescent="0.2">
      <c r="A277" s="89">
        <v>261</v>
      </c>
      <c r="B277" s="186" t="e">
        <f t="shared" si="41"/>
        <v>#NUM!</v>
      </c>
      <c r="C277" s="171" t="e">
        <f t="shared" si="42"/>
        <v>#NUM!</v>
      </c>
      <c r="D277" s="171" t="e">
        <f t="shared" si="43"/>
        <v>#NUM!</v>
      </c>
      <c r="E277" s="171" t="e">
        <f t="shared" si="44"/>
        <v>#NUM!</v>
      </c>
      <c r="F277" s="171" t="e">
        <f t="shared" si="45"/>
        <v>#NUM!</v>
      </c>
      <c r="G277" s="186">
        <f>IF('prijem_zahranicie - viac-dom'!$I$121=TRUE,IF($C$11&gt;0,0.00025*C276,0),IF('prijem_zahranicie - viac-dom'!$I$122=TRUE,IF('prijem_zahranicie - viac-dom'!$F$122&gt;0,0.00025*C276,0),0))</f>
        <v>0</v>
      </c>
      <c r="L277" s="89">
        <v>261</v>
      </c>
      <c r="M277" s="186" t="e">
        <f t="shared" si="46"/>
        <v>#DIV/0!</v>
      </c>
      <c r="N277" s="171" t="e">
        <f t="shared" si="47"/>
        <v>#DIV/0!</v>
      </c>
      <c r="O277" s="171" t="e">
        <f t="shared" si="40"/>
        <v>#DIV/0!</v>
      </c>
      <c r="P277" s="171" t="e">
        <f t="shared" si="48"/>
        <v>#DIV/0!</v>
      </c>
      <c r="Q277" s="171" t="e">
        <f t="shared" si="49"/>
        <v>#DIV/0!</v>
      </c>
      <c r="R277" s="186">
        <f>IF('prijem_zahranicie - viac-dom'!$I$121=TRUE,IF($C$11&gt;0,0.00025*N276,0),IF('prijem_zahranicie - viac-dom'!$I$122=TRUE,IF('prijem_zahranicie - viac-dom'!$F$122&gt;0,0.00025*N276*-1,0),0))</f>
        <v>0</v>
      </c>
    </row>
    <row r="278" spans="1:18" x14ac:dyDescent="0.2">
      <c r="A278" s="89">
        <v>262</v>
      </c>
      <c r="B278" s="186" t="e">
        <f t="shared" si="41"/>
        <v>#NUM!</v>
      </c>
      <c r="C278" s="171" t="e">
        <f t="shared" si="42"/>
        <v>#NUM!</v>
      </c>
      <c r="D278" s="171" t="e">
        <f t="shared" si="43"/>
        <v>#NUM!</v>
      </c>
      <c r="E278" s="171" t="e">
        <f t="shared" si="44"/>
        <v>#NUM!</v>
      </c>
      <c r="F278" s="171" t="e">
        <f t="shared" si="45"/>
        <v>#NUM!</v>
      </c>
      <c r="G278" s="186">
        <f>IF('prijem_zahranicie - viac-dom'!$I$121=TRUE,IF($C$11&gt;0,0.00025*C277,0),IF('prijem_zahranicie - viac-dom'!$I$122=TRUE,IF('prijem_zahranicie - viac-dom'!$F$122&gt;0,0.00025*C277,0),0))</f>
        <v>0</v>
      </c>
      <c r="L278" s="89">
        <v>262</v>
      </c>
      <c r="M278" s="186" t="e">
        <f t="shared" si="46"/>
        <v>#DIV/0!</v>
      </c>
      <c r="N278" s="171" t="e">
        <f t="shared" si="47"/>
        <v>#DIV/0!</v>
      </c>
      <c r="O278" s="171" t="e">
        <f t="shared" si="40"/>
        <v>#DIV/0!</v>
      </c>
      <c r="P278" s="171" t="e">
        <f t="shared" si="48"/>
        <v>#DIV/0!</v>
      </c>
      <c r="Q278" s="171" t="e">
        <f t="shared" si="49"/>
        <v>#DIV/0!</v>
      </c>
      <c r="R278" s="186">
        <f>IF('prijem_zahranicie - viac-dom'!$I$121=TRUE,IF($C$11&gt;0,0.00025*N277,0),IF('prijem_zahranicie - viac-dom'!$I$122=TRUE,IF('prijem_zahranicie - viac-dom'!$F$122&gt;0,0.00025*N277*-1,0),0))</f>
        <v>0</v>
      </c>
    </row>
    <row r="279" spans="1:18" x14ac:dyDescent="0.2">
      <c r="A279" s="89">
        <v>263</v>
      </c>
      <c r="B279" s="186" t="e">
        <f t="shared" si="41"/>
        <v>#NUM!</v>
      </c>
      <c r="C279" s="171" t="e">
        <f t="shared" si="42"/>
        <v>#NUM!</v>
      </c>
      <c r="D279" s="171" t="e">
        <f t="shared" si="43"/>
        <v>#NUM!</v>
      </c>
      <c r="E279" s="171" t="e">
        <f t="shared" si="44"/>
        <v>#NUM!</v>
      </c>
      <c r="F279" s="171" t="e">
        <f t="shared" si="45"/>
        <v>#NUM!</v>
      </c>
      <c r="G279" s="186">
        <f>IF('prijem_zahranicie - viac-dom'!$I$121=TRUE,IF($C$11&gt;0,0.00025*C278,0),IF('prijem_zahranicie - viac-dom'!$I$122=TRUE,IF('prijem_zahranicie - viac-dom'!$F$122&gt;0,0.00025*C278,0),0))</f>
        <v>0</v>
      </c>
      <c r="L279" s="89">
        <v>263</v>
      </c>
      <c r="M279" s="186" t="e">
        <f t="shared" si="46"/>
        <v>#DIV/0!</v>
      </c>
      <c r="N279" s="171" t="e">
        <f t="shared" si="47"/>
        <v>#DIV/0!</v>
      </c>
      <c r="O279" s="171" t="e">
        <f t="shared" si="40"/>
        <v>#DIV/0!</v>
      </c>
      <c r="P279" s="171" t="e">
        <f t="shared" si="48"/>
        <v>#DIV/0!</v>
      </c>
      <c r="Q279" s="171" t="e">
        <f t="shared" si="49"/>
        <v>#DIV/0!</v>
      </c>
      <c r="R279" s="186">
        <f>IF('prijem_zahranicie - viac-dom'!$I$121=TRUE,IF($C$11&gt;0,0.00025*N278,0),IF('prijem_zahranicie - viac-dom'!$I$122=TRUE,IF('prijem_zahranicie - viac-dom'!$F$122&gt;0,0.00025*N278*-1,0),0))</f>
        <v>0</v>
      </c>
    </row>
    <row r="280" spans="1:18" x14ac:dyDescent="0.2">
      <c r="A280" s="89">
        <v>264</v>
      </c>
      <c r="B280" s="186" t="e">
        <f t="shared" si="41"/>
        <v>#NUM!</v>
      </c>
      <c r="C280" s="171" t="e">
        <f t="shared" si="42"/>
        <v>#NUM!</v>
      </c>
      <c r="D280" s="171" t="e">
        <f t="shared" si="43"/>
        <v>#NUM!</v>
      </c>
      <c r="E280" s="171" t="e">
        <f t="shared" si="44"/>
        <v>#NUM!</v>
      </c>
      <c r="F280" s="171" t="e">
        <f t="shared" si="45"/>
        <v>#NUM!</v>
      </c>
      <c r="G280" s="186">
        <f>IF('prijem_zahranicie - viac-dom'!$I$121=TRUE,IF($C$11&gt;0,0.00025*C279,0),IF('prijem_zahranicie - viac-dom'!$I$122=TRUE,IF('prijem_zahranicie - viac-dom'!$F$122&gt;0,0.00025*C279,0),0))</f>
        <v>0</v>
      </c>
      <c r="L280" s="89">
        <v>264</v>
      </c>
      <c r="M280" s="186" t="e">
        <f t="shared" si="46"/>
        <v>#DIV/0!</v>
      </c>
      <c r="N280" s="171" t="e">
        <f t="shared" si="47"/>
        <v>#DIV/0!</v>
      </c>
      <c r="O280" s="171" t="e">
        <f t="shared" si="40"/>
        <v>#DIV/0!</v>
      </c>
      <c r="P280" s="171" t="e">
        <f t="shared" si="48"/>
        <v>#DIV/0!</v>
      </c>
      <c r="Q280" s="171" t="e">
        <f t="shared" si="49"/>
        <v>#DIV/0!</v>
      </c>
      <c r="R280" s="186">
        <f>IF('prijem_zahranicie - viac-dom'!$I$121=TRUE,IF($C$11&gt;0,0.00025*N279,0),IF('prijem_zahranicie - viac-dom'!$I$122=TRUE,IF('prijem_zahranicie - viac-dom'!$F$122&gt;0,0.00025*N279*-1,0),0))</f>
        <v>0</v>
      </c>
    </row>
    <row r="281" spans="1:18" x14ac:dyDescent="0.2">
      <c r="A281" s="89">
        <v>265</v>
      </c>
      <c r="B281" s="186" t="e">
        <f t="shared" si="41"/>
        <v>#NUM!</v>
      </c>
      <c r="C281" s="171" t="e">
        <f t="shared" si="42"/>
        <v>#NUM!</v>
      </c>
      <c r="D281" s="171" t="e">
        <f t="shared" si="43"/>
        <v>#NUM!</v>
      </c>
      <c r="E281" s="171" t="e">
        <f t="shared" si="44"/>
        <v>#NUM!</v>
      </c>
      <c r="F281" s="171" t="e">
        <f t="shared" si="45"/>
        <v>#NUM!</v>
      </c>
      <c r="G281" s="186">
        <f>IF('prijem_zahranicie - viac-dom'!$I$121=TRUE,IF($C$11&gt;0,0.00025*C280,0),IF('prijem_zahranicie - viac-dom'!$I$122=TRUE,IF('prijem_zahranicie - viac-dom'!$F$122&gt;0,0.00025*C280,0),0))</f>
        <v>0</v>
      </c>
      <c r="L281" s="89">
        <v>265</v>
      </c>
      <c r="M281" s="186" t="e">
        <f t="shared" si="46"/>
        <v>#DIV/0!</v>
      </c>
      <c r="N281" s="171" t="e">
        <f t="shared" si="47"/>
        <v>#DIV/0!</v>
      </c>
      <c r="O281" s="171" t="e">
        <f t="shared" si="40"/>
        <v>#DIV/0!</v>
      </c>
      <c r="P281" s="171" t="e">
        <f t="shared" si="48"/>
        <v>#DIV/0!</v>
      </c>
      <c r="Q281" s="171" t="e">
        <f t="shared" si="49"/>
        <v>#DIV/0!</v>
      </c>
      <c r="R281" s="186">
        <f>IF('prijem_zahranicie - viac-dom'!$I$121=TRUE,IF($C$11&gt;0,0.00025*N280,0),IF('prijem_zahranicie - viac-dom'!$I$122=TRUE,IF('prijem_zahranicie - viac-dom'!$F$122&gt;0,0.00025*N280*-1,0),0))</f>
        <v>0</v>
      </c>
    </row>
    <row r="282" spans="1:18" x14ac:dyDescent="0.2">
      <c r="A282" s="89">
        <v>266</v>
      </c>
      <c r="B282" s="186" t="e">
        <f t="shared" si="41"/>
        <v>#NUM!</v>
      </c>
      <c r="C282" s="171" t="e">
        <f t="shared" si="42"/>
        <v>#NUM!</v>
      </c>
      <c r="D282" s="171" t="e">
        <f t="shared" si="43"/>
        <v>#NUM!</v>
      </c>
      <c r="E282" s="171" t="e">
        <f t="shared" si="44"/>
        <v>#NUM!</v>
      </c>
      <c r="F282" s="171" t="e">
        <f t="shared" si="45"/>
        <v>#NUM!</v>
      </c>
      <c r="G282" s="186">
        <f>IF('prijem_zahranicie - viac-dom'!$I$121=TRUE,IF($C$11&gt;0,0.00025*C281,0),IF('prijem_zahranicie - viac-dom'!$I$122=TRUE,IF('prijem_zahranicie - viac-dom'!$F$122&gt;0,0.00025*C281,0),0))</f>
        <v>0</v>
      </c>
      <c r="L282" s="89">
        <v>266</v>
      </c>
      <c r="M282" s="186" t="e">
        <f t="shared" si="46"/>
        <v>#DIV/0!</v>
      </c>
      <c r="N282" s="171" t="e">
        <f t="shared" si="47"/>
        <v>#DIV/0!</v>
      </c>
      <c r="O282" s="171" t="e">
        <f t="shared" si="40"/>
        <v>#DIV/0!</v>
      </c>
      <c r="P282" s="171" t="e">
        <f t="shared" si="48"/>
        <v>#DIV/0!</v>
      </c>
      <c r="Q282" s="171" t="e">
        <f t="shared" si="49"/>
        <v>#DIV/0!</v>
      </c>
      <c r="R282" s="186">
        <f>IF('prijem_zahranicie - viac-dom'!$I$121=TRUE,IF($C$11&gt;0,0.00025*N281,0),IF('prijem_zahranicie - viac-dom'!$I$122=TRUE,IF('prijem_zahranicie - viac-dom'!$F$122&gt;0,0.00025*N281*-1,0),0))</f>
        <v>0</v>
      </c>
    </row>
    <row r="283" spans="1:18" x14ac:dyDescent="0.2">
      <c r="A283" s="89">
        <v>267</v>
      </c>
      <c r="B283" s="186" t="e">
        <f t="shared" si="41"/>
        <v>#NUM!</v>
      </c>
      <c r="C283" s="171" t="e">
        <f t="shared" si="42"/>
        <v>#NUM!</v>
      </c>
      <c r="D283" s="171" t="e">
        <f t="shared" si="43"/>
        <v>#NUM!</v>
      </c>
      <c r="E283" s="171" t="e">
        <f t="shared" si="44"/>
        <v>#NUM!</v>
      </c>
      <c r="F283" s="171" t="e">
        <f t="shared" si="45"/>
        <v>#NUM!</v>
      </c>
      <c r="G283" s="186">
        <f>IF('prijem_zahranicie - viac-dom'!$I$121=TRUE,IF($C$11&gt;0,0.00025*C282,0),IF('prijem_zahranicie - viac-dom'!$I$122=TRUE,IF('prijem_zahranicie - viac-dom'!$F$122&gt;0,0.00025*C282,0),0))</f>
        <v>0</v>
      </c>
      <c r="L283" s="89">
        <v>267</v>
      </c>
      <c r="M283" s="186" t="e">
        <f t="shared" si="46"/>
        <v>#DIV/0!</v>
      </c>
      <c r="N283" s="171" t="e">
        <f t="shared" si="47"/>
        <v>#DIV/0!</v>
      </c>
      <c r="O283" s="171" t="e">
        <f t="shared" si="40"/>
        <v>#DIV/0!</v>
      </c>
      <c r="P283" s="171" t="e">
        <f t="shared" si="48"/>
        <v>#DIV/0!</v>
      </c>
      <c r="Q283" s="171" t="e">
        <f t="shared" si="49"/>
        <v>#DIV/0!</v>
      </c>
      <c r="R283" s="186">
        <f>IF('prijem_zahranicie - viac-dom'!$I$121=TRUE,IF($C$11&gt;0,0.00025*N282,0),IF('prijem_zahranicie - viac-dom'!$I$122=TRUE,IF('prijem_zahranicie - viac-dom'!$F$122&gt;0,0.00025*N282*-1,0),0))</f>
        <v>0</v>
      </c>
    </row>
    <row r="284" spans="1:18" x14ac:dyDescent="0.2">
      <c r="A284" s="89">
        <v>268</v>
      </c>
      <c r="B284" s="186" t="e">
        <f t="shared" si="41"/>
        <v>#NUM!</v>
      </c>
      <c r="C284" s="171" t="e">
        <f t="shared" si="42"/>
        <v>#NUM!</v>
      </c>
      <c r="D284" s="171" t="e">
        <f t="shared" si="43"/>
        <v>#NUM!</v>
      </c>
      <c r="E284" s="171" t="e">
        <f t="shared" si="44"/>
        <v>#NUM!</v>
      </c>
      <c r="F284" s="171" t="e">
        <f t="shared" si="45"/>
        <v>#NUM!</v>
      </c>
      <c r="G284" s="186">
        <f>IF('prijem_zahranicie - viac-dom'!$I$121=TRUE,IF($C$11&gt;0,0.00025*C283,0),IF('prijem_zahranicie - viac-dom'!$I$122=TRUE,IF('prijem_zahranicie - viac-dom'!$F$122&gt;0,0.00025*C283,0),0))</f>
        <v>0</v>
      </c>
      <c r="L284" s="89">
        <v>268</v>
      </c>
      <c r="M284" s="186" t="e">
        <f t="shared" si="46"/>
        <v>#DIV/0!</v>
      </c>
      <c r="N284" s="171" t="e">
        <f t="shared" si="47"/>
        <v>#DIV/0!</v>
      </c>
      <c r="O284" s="171" t="e">
        <f t="shared" si="40"/>
        <v>#DIV/0!</v>
      </c>
      <c r="P284" s="171" t="e">
        <f t="shared" si="48"/>
        <v>#DIV/0!</v>
      </c>
      <c r="Q284" s="171" t="e">
        <f t="shared" si="49"/>
        <v>#DIV/0!</v>
      </c>
      <c r="R284" s="186">
        <f>IF('prijem_zahranicie - viac-dom'!$I$121=TRUE,IF($C$11&gt;0,0.00025*N283,0),IF('prijem_zahranicie - viac-dom'!$I$122=TRUE,IF('prijem_zahranicie - viac-dom'!$F$122&gt;0,0.00025*N283*-1,0),0))</f>
        <v>0</v>
      </c>
    </row>
    <row r="285" spans="1:18" x14ac:dyDescent="0.2">
      <c r="A285" s="89">
        <v>269</v>
      </c>
      <c r="B285" s="186" t="e">
        <f t="shared" si="41"/>
        <v>#NUM!</v>
      </c>
      <c r="C285" s="171" t="e">
        <f t="shared" si="42"/>
        <v>#NUM!</v>
      </c>
      <c r="D285" s="171" t="e">
        <f t="shared" si="43"/>
        <v>#NUM!</v>
      </c>
      <c r="E285" s="171" t="e">
        <f t="shared" si="44"/>
        <v>#NUM!</v>
      </c>
      <c r="F285" s="171" t="e">
        <f t="shared" si="45"/>
        <v>#NUM!</v>
      </c>
      <c r="G285" s="186">
        <f>IF('prijem_zahranicie - viac-dom'!$I$121=TRUE,IF($C$11&gt;0,0.00025*C284,0),IF('prijem_zahranicie - viac-dom'!$I$122=TRUE,IF('prijem_zahranicie - viac-dom'!$F$122&gt;0,0.00025*C284,0),0))</f>
        <v>0</v>
      </c>
      <c r="L285" s="89">
        <v>269</v>
      </c>
      <c r="M285" s="186" t="e">
        <f t="shared" si="46"/>
        <v>#DIV/0!</v>
      </c>
      <c r="N285" s="171" t="e">
        <f t="shared" si="47"/>
        <v>#DIV/0!</v>
      </c>
      <c r="O285" s="171" t="e">
        <f t="shared" si="40"/>
        <v>#DIV/0!</v>
      </c>
      <c r="P285" s="171" t="e">
        <f t="shared" si="48"/>
        <v>#DIV/0!</v>
      </c>
      <c r="Q285" s="171" t="e">
        <f t="shared" si="49"/>
        <v>#DIV/0!</v>
      </c>
      <c r="R285" s="186">
        <f>IF('prijem_zahranicie - viac-dom'!$I$121=TRUE,IF($C$11&gt;0,0.00025*N284,0),IF('prijem_zahranicie - viac-dom'!$I$122=TRUE,IF('prijem_zahranicie - viac-dom'!$F$122&gt;0,0.00025*N284*-1,0),0))</f>
        <v>0</v>
      </c>
    </row>
    <row r="286" spans="1:18" x14ac:dyDescent="0.2">
      <c r="A286" s="89">
        <v>270</v>
      </c>
      <c r="B286" s="186" t="e">
        <f t="shared" si="41"/>
        <v>#NUM!</v>
      </c>
      <c r="C286" s="171" t="e">
        <f t="shared" si="42"/>
        <v>#NUM!</v>
      </c>
      <c r="D286" s="171" t="e">
        <f t="shared" si="43"/>
        <v>#NUM!</v>
      </c>
      <c r="E286" s="171" t="e">
        <f t="shared" si="44"/>
        <v>#NUM!</v>
      </c>
      <c r="F286" s="171" t="e">
        <f t="shared" si="45"/>
        <v>#NUM!</v>
      </c>
      <c r="G286" s="186">
        <f>IF('prijem_zahranicie - viac-dom'!$I$121=TRUE,IF($C$11&gt;0,0.00025*C285,0),IF('prijem_zahranicie - viac-dom'!$I$122=TRUE,IF('prijem_zahranicie - viac-dom'!$F$122&gt;0,0.00025*C285,0),0))</f>
        <v>0</v>
      </c>
      <c r="L286" s="89">
        <v>270</v>
      </c>
      <c r="M286" s="186" t="e">
        <f t="shared" si="46"/>
        <v>#DIV/0!</v>
      </c>
      <c r="N286" s="171" t="e">
        <f t="shared" si="47"/>
        <v>#DIV/0!</v>
      </c>
      <c r="O286" s="171" t="e">
        <f t="shared" si="40"/>
        <v>#DIV/0!</v>
      </c>
      <c r="P286" s="171" t="e">
        <f t="shared" si="48"/>
        <v>#DIV/0!</v>
      </c>
      <c r="Q286" s="171" t="e">
        <f t="shared" si="49"/>
        <v>#DIV/0!</v>
      </c>
      <c r="R286" s="186">
        <f>IF('prijem_zahranicie - viac-dom'!$I$121=TRUE,IF($C$11&gt;0,0.00025*N285,0),IF('prijem_zahranicie - viac-dom'!$I$122=TRUE,IF('prijem_zahranicie - viac-dom'!$F$122&gt;0,0.00025*N285*-1,0),0))</f>
        <v>0</v>
      </c>
    </row>
    <row r="287" spans="1:18" x14ac:dyDescent="0.2">
      <c r="A287" s="89">
        <v>271</v>
      </c>
      <c r="B287" s="186" t="e">
        <f t="shared" si="41"/>
        <v>#NUM!</v>
      </c>
      <c r="C287" s="171" t="e">
        <f t="shared" si="42"/>
        <v>#NUM!</v>
      </c>
      <c r="D287" s="171" t="e">
        <f t="shared" si="43"/>
        <v>#NUM!</v>
      </c>
      <c r="E287" s="171" t="e">
        <f t="shared" si="44"/>
        <v>#NUM!</v>
      </c>
      <c r="F287" s="171" t="e">
        <f t="shared" si="45"/>
        <v>#NUM!</v>
      </c>
      <c r="G287" s="186">
        <f>IF('prijem_zahranicie - viac-dom'!$I$121=TRUE,IF($C$11&gt;0,0.00025*C286,0),IF('prijem_zahranicie - viac-dom'!$I$122=TRUE,IF('prijem_zahranicie - viac-dom'!$F$122&gt;0,0.00025*C286,0),0))</f>
        <v>0</v>
      </c>
      <c r="L287" s="89">
        <v>271</v>
      </c>
      <c r="M287" s="186" t="e">
        <f t="shared" si="46"/>
        <v>#DIV/0!</v>
      </c>
      <c r="N287" s="171" t="e">
        <f t="shared" si="47"/>
        <v>#DIV/0!</v>
      </c>
      <c r="O287" s="171" t="e">
        <f t="shared" si="40"/>
        <v>#DIV/0!</v>
      </c>
      <c r="P287" s="171" t="e">
        <f t="shared" si="48"/>
        <v>#DIV/0!</v>
      </c>
      <c r="Q287" s="171" t="e">
        <f t="shared" si="49"/>
        <v>#DIV/0!</v>
      </c>
      <c r="R287" s="186">
        <f>IF('prijem_zahranicie - viac-dom'!$I$121=TRUE,IF($C$11&gt;0,0.00025*N286,0),IF('prijem_zahranicie - viac-dom'!$I$122=TRUE,IF('prijem_zahranicie - viac-dom'!$F$122&gt;0,0.00025*N286*-1,0),0))</f>
        <v>0</v>
      </c>
    </row>
    <row r="288" spans="1:18" x14ac:dyDescent="0.2">
      <c r="A288" s="89">
        <v>272</v>
      </c>
      <c r="B288" s="186" t="e">
        <f t="shared" si="41"/>
        <v>#NUM!</v>
      </c>
      <c r="C288" s="171" t="e">
        <f t="shared" si="42"/>
        <v>#NUM!</v>
      </c>
      <c r="D288" s="171" t="e">
        <f t="shared" si="43"/>
        <v>#NUM!</v>
      </c>
      <c r="E288" s="171" t="e">
        <f t="shared" si="44"/>
        <v>#NUM!</v>
      </c>
      <c r="F288" s="171" t="e">
        <f t="shared" si="45"/>
        <v>#NUM!</v>
      </c>
      <c r="G288" s="186">
        <f>IF('prijem_zahranicie - viac-dom'!$I$121=TRUE,IF($C$11&gt;0,0.00025*C287,0),IF('prijem_zahranicie - viac-dom'!$I$122=TRUE,IF('prijem_zahranicie - viac-dom'!$F$122&gt;0,0.00025*C287,0),0))</f>
        <v>0</v>
      </c>
      <c r="L288" s="89">
        <v>272</v>
      </c>
      <c r="M288" s="186" t="e">
        <f t="shared" si="46"/>
        <v>#DIV/0!</v>
      </c>
      <c r="N288" s="171" t="e">
        <f t="shared" si="47"/>
        <v>#DIV/0!</v>
      </c>
      <c r="O288" s="171" t="e">
        <f t="shared" si="40"/>
        <v>#DIV/0!</v>
      </c>
      <c r="P288" s="171" t="e">
        <f t="shared" si="48"/>
        <v>#DIV/0!</v>
      </c>
      <c r="Q288" s="171" t="e">
        <f t="shared" si="49"/>
        <v>#DIV/0!</v>
      </c>
      <c r="R288" s="186">
        <f>IF('prijem_zahranicie - viac-dom'!$I$121=TRUE,IF($C$11&gt;0,0.00025*N287,0),IF('prijem_zahranicie - viac-dom'!$I$122=TRUE,IF('prijem_zahranicie - viac-dom'!$F$122&gt;0,0.00025*N287*-1,0),0))</f>
        <v>0</v>
      </c>
    </row>
    <row r="289" spans="1:18" x14ac:dyDescent="0.2">
      <c r="A289" s="89">
        <v>273</v>
      </c>
      <c r="B289" s="186" t="e">
        <f t="shared" si="41"/>
        <v>#NUM!</v>
      </c>
      <c r="C289" s="171" t="e">
        <f t="shared" si="42"/>
        <v>#NUM!</v>
      </c>
      <c r="D289" s="171" t="e">
        <f t="shared" si="43"/>
        <v>#NUM!</v>
      </c>
      <c r="E289" s="171" t="e">
        <f t="shared" si="44"/>
        <v>#NUM!</v>
      </c>
      <c r="F289" s="171" t="e">
        <f t="shared" si="45"/>
        <v>#NUM!</v>
      </c>
      <c r="G289" s="186">
        <f>IF('prijem_zahranicie - viac-dom'!$I$121=TRUE,IF($C$11&gt;0,0.00025*C288,0),IF('prijem_zahranicie - viac-dom'!$I$122=TRUE,IF('prijem_zahranicie - viac-dom'!$F$122&gt;0,0.00025*C288,0),0))</f>
        <v>0</v>
      </c>
      <c r="L289" s="89">
        <v>273</v>
      </c>
      <c r="M289" s="186" t="e">
        <f t="shared" si="46"/>
        <v>#DIV/0!</v>
      </c>
      <c r="N289" s="171" t="e">
        <f t="shared" si="47"/>
        <v>#DIV/0!</v>
      </c>
      <c r="O289" s="171" t="e">
        <f t="shared" si="40"/>
        <v>#DIV/0!</v>
      </c>
      <c r="P289" s="171" t="e">
        <f t="shared" si="48"/>
        <v>#DIV/0!</v>
      </c>
      <c r="Q289" s="171" t="e">
        <f t="shared" si="49"/>
        <v>#DIV/0!</v>
      </c>
      <c r="R289" s="186">
        <f>IF('prijem_zahranicie - viac-dom'!$I$121=TRUE,IF($C$11&gt;0,0.00025*N288,0),IF('prijem_zahranicie - viac-dom'!$I$122=TRUE,IF('prijem_zahranicie - viac-dom'!$F$122&gt;0,0.00025*N288*-1,0),0))</f>
        <v>0</v>
      </c>
    </row>
    <row r="290" spans="1:18" x14ac:dyDescent="0.2">
      <c r="A290" s="89">
        <v>274</v>
      </c>
      <c r="B290" s="186" t="e">
        <f t="shared" si="41"/>
        <v>#NUM!</v>
      </c>
      <c r="C290" s="171" t="e">
        <f t="shared" si="42"/>
        <v>#NUM!</v>
      </c>
      <c r="D290" s="171" t="e">
        <f t="shared" si="43"/>
        <v>#NUM!</v>
      </c>
      <c r="E290" s="171" t="e">
        <f t="shared" si="44"/>
        <v>#NUM!</v>
      </c>
      <c r="F290" s="171" t="e">
        <f t="shared" si="45"/>
        <v>#NUM!</v>
      </c>
      <c r="G290" s="186">
        <f>IF('prijem_zahranicie - viac-dom'!$I$121=TRUE,IF($C$11&gt;0,0.00025*C289,0),IF('prijem_zahranicie - viac-dom'!$I$122=TRUE,IF('prijem_zahranicie - viac-dom'!$F$122&gt;0,0.00025*C289,0),0))</f>
        <v>0</v>
      </c>
      <c r="L290" s="89">
        <v>274</v>
      </c>
      <c r="M290" s="186" t="e">
        <f t="shared" si="46"/>
        <v>#DIV/0!</v>
      </c>
      <c r="N290" s="171" t="e">
        <f t="shared" si="47"/>
        <v>#DIV/0!</v>
      </c>
      <c r="O290" s="171" t="e">
        <f t="shared" si="40"/>
        <v>#DIV/0!</v>
      </c>
      <c r="P290" s="171" t="e">
        <f t="shared" si="48"/>
        <v>#DIV/0!</v>
      </c>
      <c r="Q290" s="171" t="e">
        <f t="shared" si="49"/>
        <v>#DIV/0!</v>
      </c>
      <c r="R290" s="186">
        <f>IF('prijem_zahranicie - viac-dom'!$I$121=TRUE,IF($C$11&gt;0,0.00025*N289,0),IF('prijem_zahranicie - viac-dom'!$I$122=TRUE,IF('prijem_zahranicie - viac-dom'!$F$122&gt;0,0.00025*N289*-1,0),0))</f>
        <v>0</v>
      </c>
    </row>
    <row r="291" spans="1:18" x14ac:dyDescent="0.2">
      <c r="A291" s="89">
        <v>275</v>
      </c>
      <c r="B291" s="186" t="e">
        <f t="shared" si="41"/>
        <v>#NUM!</v>
      </c>
      <c r="C291" s="171" t="e">
        <f t="shared" si="42"/>
        <v>#NUM!</v>
      </c>
      <c r="D291" s="171" t="e">
        <f t="shared" si="43"/>
        <v>#NUM!</v>
      </c>
      <c r="E291" s="171" t="e">
        <f t="shared" si="44"/>
        <v>#NUM!</v>
      </c>
      <c r="F291" s="171" t="e">
        <f t="shared" si="45"/>
        <v>#NUM!</v>
      </c>
      <c r="G291" s="186">
        <f>IF('prijem_zahranicie - viac-dom'!$I$121=TRUE,IF($C$11&gt;0,0.00025*C290,0),IF('prijem_zahranicie - viac-dom'!$I$122=TRUE,IF('prijem_zahranicie - viac-dom'!$F$122&gt;0,0.00025*C290,0),0))</f>
        <v>0</v>
      </c>
      <c r="L291" s="89">
        <v>275</v>
      </c>
      <c r="M291" s="186" t="e">
        <f t="shared" si="46"/>
        <v>#DIV/0!</v>
      </c>
      <c r="N291" s="171" t="e">
        <f t="shared" si="47"/>
        <v>#DIV/0!</v>
      </c>
      <c r="O291" s="171" t="e">
        <f t="shared" si="40"/>
        <v>#DIV/0!</v>
      </c>
      <c r="P291" s="171" t="e">
        <f t="shared" si="48"/>
        <v>#DIV/0!</v>
      </c>
      <c r="Q291" s="171" t="e">
        <f t="shared" si="49"/>
        <v>#DIV/0!</v>
      </c>
      <c r="R291" s="186">
        <f>IF('prijem_zahranicie - viac-dom'!$I$121=TRUE,IF($C$11&gt;0,0.00025*N290,0),IF('prijem_zahranicie - viac-dom'!$I$122=TRUE,IF('prijem_zahranicie - viac-dom'!$F$122&gt;0,0.00025*N290*-1,0),0))</f>
        <v>0</v>
      </c>
    </row>
    <row r="292" spans="1:18" x14ac:dyDescent="0.2">
      <c r="A292" s="89">
        <v>276</v>
      </c>
      <c r="B292" s="186" t="e">
        <f t="shared" si="41"/>
        <v>#NUM!</v>
      </c>
      <c r="C292" s="171" t="e">
        <f t="shared" si="42"/>
        <v>#NUM!</v>
      </c>
      <c r="D292" s="171" t="e">
        <f t="shared" si="43"/>
        <v>#NUM!</v>
      </c>
      <c r="E292" s="171" t="e">
        <f t="shared" si="44"/>
        <v>#NUM!</v>
      </c>
      <c r="F292" s="171" t="e">
        <f t="shared" si="45"/>
        <v>#NUM!</v>
      </c>
      <c r="G292" s="186">
        <f>IF('prijem_zahranicie - viac-dom'!$I$121=TRUE,IF($C$11&gt;0,0.00025*C291,0),IF('prijem_zahranicie - viac-dom'!$I$122=TRUE,IF('prijem_zahranicie - viac-dom'!$F$122&gt;0,0.00025*C291,0),0))</f>
        <v>0</v>
      </c>
      <c r="L292" s="89">
        <v>276</v>
      </c>
      <c r="M292" s="186" t="e">
        <f t="shared" si="46"/>
        <v>#DIV/0!</v>
      </c>
      <c r="N292" s="171" t="e">
        <f t="shared" si="47"/>
        <v>#DIV/0!</v>
      </c>
      <c r="O292" s="171" t="e">
        <f t="shared" si="40"/>
        <v>#DIV/0!</v>
      </c>
      <c r="P292" s="171" t="e">
        <f t="shared" si="48"/>
        <v>#DIV/0!</v>
      </c>
      <c r="Q292" s="171" t="e">
        <f t="shared" si="49"/>
        <v>#DIV/0!</v>
      </c>
      <c r="R292" s="186">
        <f>IF('prijem_zahranicie - viac-dom'!$I$121=TRUE,IF($C$11&gt;0,0.00025*N291,0),IF('prijem_zahranicie - viac-dom'!$I$122=TRUE,IF('prijem_zahranicie - viac-dom'!$F$122&gt;0,0.00025*N291*-1,0),0))</f>
        <v>0</v>
      </c>
    </row>
    <row r="293" spans="1:18" x14ac:dyDescent="0.2">
      <c r="A293" s="89">
        <v>277</v>
      </c>
      <c r="B293" s="186" t="e">
        <f t="shared" si="41"/>
        <v>#NUM!</v>
      </c>
      <c r="C293" s="171" t="e">
        <f t="shared" si="42"/>
        <v>#NUM!</v>
      </c>
      <c r="D293" s="171" t="e">
        <f t="shared" si="43"/>
        <v>#NUM!</v>
      </c>
      <c r="E293" s="171" t="e">
        <f t="shared" si="44"/>
        <v>#NUM!</v>
      </c>
      <c r="F293" s="171" t="e">
        <f t="shared" si="45"/>
        <v>#NUM!</v>
      </c>
      <c r="G293" s="186">
        <f>IF('prijem_zahranicie - viac-dom'!$I$121=TRUE,IF($C$11&gt;0,0.00025*C292,0),IF('prijem_zahranicie - viac-dom'!$I$122=TRUE,IF('prijem_zahranicie - viac-dom'!$F$122&gt;0,0.00025*C292,0),0))</f>
        <v>0</v>
      </c>
      <c r="L293" s="89">
        <v>277</v>
      </c>
      <c r="M293" s="186" t="e">
        <f t="shared" si="46"/>
        <v>#DIV/0!</v>
      </c>
      <c r="N293" s="171" t="e">
        <f t="shared" si="47"/>
        <v>#DIV/0!</v>
      </c>
      <c r="O293" s="171" t="e">
        <f t="shared" si="40"/>
        <v>#DIV/0!</v>
      </c>
      <c r="P293" s="171" t="e">
        <f t="shared" si="48"/>
        <v>#DIV/0!</v>
      </c>
      <c r="Q293" s="171" t="e">
        <f t="shared" si="49"/>
        <v>#DIV/0!</v>
      </c>
      <c r="R293" s="186">
        <f>IF('prijem_zahranicie - viac-dom'!$I$121=TRUE,IF($C$11&gt;0,0.00025*N292,0),IF('prijem_zahranicie - viac-dom'!$I$122=TRUE,IF('prijem_zahranicie - viac-dom'!$F$122&gt;0,0.00025*N292*-1,0),0))</f>
        <v>0</v>
      </c>
    </row>
    <row r="294" spans="1:18" x14ac:dyDescent="0.2">
      <c r="A294" s="89">
        <v>278</v>
      </c>
      <c r="B294" s="186" t="e">
        <f t="shared" si="41"/>
        <v>#NUM!</v>
      </c>
      <c r="C294" s="171" t="e">
        <f t="shared" si="42"/>
        <v>#NUM!</v>
      </c>
      <c r="D294" s="171" t="e">
        <f t="shared" si="43"/>
        <v>#NUM!</v>
      </c>
      <c r="E294" s="171" t="e">
        <f t="shared" si="44"/>
        <v>#NUM!</v>
      </c>
      <c r="F294" s="171" t="e">
        <f t="shared" si="45"/>
        <v>#NUM!</v>
      </c>
      <c r="G294" s="186">
        <f>IF('prijem_zahranicie - viac-dom'!$I$121=TRUE,IF($C$11&gt;0,0.00025*C293,0),IF('prijem_zahranicie - viac-dom'!$I$122=TRUE,IF('prijem_zahranicie - viac-dom'!$F$122&gt;0,0.00025*C293,0),0))</f>
        <v>0</v>
      </c>
      <c r="L294" s="89">
        <v>278</v>
      </c>
      <c r="M294" s="186" t="e">
        <f t="shared" si="46"/>
        <v>#DIV/0!</v>
      </c>
      <c r="N294" s="171" t="e">
        <f t="shared" si="47"/>
        <v>#DIV/0!</v>
      </c>
      <c r="O294" s="171" t="e">
        <f t="shared" si="40"/>
        <v>#DIV/0!</v>
      </c>
      <c r="P294" s="171" t="e">
        <f t="shared" si="48"/>
        <v>#DIV/0!</v>
      </c>
      <c r="Q294" s="171" t="e">
        <f t="shared" si="49"/>
        <v>#DIV/0!</v>
      </c>
      <c r="R294" s="186">
        <f>IF('prijem_zahranicie - viac-dom'!$I$121=TRUE,IF($C$11&gt;0,0.00025*N293,0),IF('prijem_zahranicie - viac-dom'!$I$122=TRUE,IF('prijem_zahranicie - viac-dom'!$F$122&gt;0,0.00025*N293*-1,0),0))</f>
        <v>0</v>
      </c>
    </row>
    <row r="295" spans="1:18" x14ac:dyDescent="0.2">
      <c r="A295" s="89">
        <v>279</v>
      </c>
      <c r="B295" s="186" t="e">
        <f t="shared" si="41"/>
        <v>#NUM!</v>
      </c>
      <c r="C295" s="171" t="e">
        <f t="shared" si="42"/>
        <v>#NUM!</v>
      </c>
      <c r="D295" s="171" t="e">
        <f t="shared" si="43"/>
        <v>#NUM!</v>
      </c>
      <c r="E295" s="171" t="e">
        <f t="shared" si="44"/>
        <v>#NUM!</v>
      </c>
      <c r="F295" s="171" t="e">
        <f t="shared" si="45"/>
        <v>#NUM!</v>
      </c>
      <c r="G295" s="186">
        <f>IF('prijem_zahranicie - viac-dom'!$I$121=TRUE,IF($C$11&gt;0,0.00025*C294,0),IF('prijem_zahranicie - viac-dom'!$I$122=TRUE,IF('prijem_zahranicie - viac-dom'!$F$122&gt;0,0.00025*C294,0),0))</f>
        <v>0</v>
      </c>
      <c r="L295" s="89">
        <v>279</v>
      </c>
      <c r="M295" s="186" t="e">
        <f t="shared" si="46"/>
        <v>#DIV/0!</v>
      </c>
      <c r="N295" s="171" t="e">
        <f t="shared" si="47"/>
        <v>#DIV/0!</v>
      </c>
      <c r="O295" s="171" t="e">
        <f t="shared" si="40"/>
        <v>#DIV/0!</v>
      </c>
      <c r="P295" s="171" t="e">
        <f t="shared" si="48"/>
        <v>#DIV/0!</v>
      </c>
      <c r="Q295" s="171" t="e">
        <f t="shared" si="49"/>
        <v>#DIV/0!</v>
      </c>
      <c r="R295" s="186">
        <f>IF('prijem_zahranicie - viac-dom'!$I$121=TRUE,IF($C$11&gt;0,0.00025*N294,0),IF('prijem_zahranicie - viac-dom'!$I$122=TRUE,IF('prijem_zahranicie - viac-dom'!$F$122&gt;0,0.00025*N294*-1,0),0))</f>
        <v>0</v>
      </c>
    </row>
    <row r="296" spans="1:18" x14ac:dyDescent="0.2">
      <c r="A296" s="89">
        <v>280</v>
      </c>
      <c r="B296" s="186" t="e">
        <f t="shared" si="41"/>
        <v>#NUM!</v>
      </c>
      <c r="C296" s="171" t="e">
        <f t="shared" si="42"/>
        <v>#NUM!</v>
      </c>
      <c r="D296" s="171" t="e">
        <f t="shared" si="43"/>
        <v>#NUM!</v>
      </c>
      <c r="E296" s="171" t="e">
        <f t="shared" si="44"/>
        <v>#NUM!</v>
      </c>
      <c r="F296" s="171" t="e">
        <f t="shared" si="45"/>
        <v>#NUM!</v>
      </c>
      <c r="G296" s="186">
        <f>IF('prijem_zahranicie - viac-dom'!$I$121=TRUE,IF($C$11&gt;0,0.00025*C295,0),IF('prijem_zahranicie - viac-dom'!$I$122=TRUE,IF('prijem_zahranicie - viac-dom'!$F$122&gt;0,0.00025*C295,0),0))</f>
        <v>0</v>
      </c>
      <c r="L296" s="89">
        <v>280</v>
      </c>
      <c r="M296" s="186" t="e">
        <f t="shared" si="46"/>
        <v>#DIV/0!</v>
      </c>
      <c r="N296" s="171" t="e">
        <f t="shared" si="47"/>
        <v>#DIV/0!</v>
      </c>
      <c r="O296" s="171" t="e">
        <f t="shared" si="40"/>
        <v>#DIV/0!</v>
      </c>
      <c r="P296" s="171" t="e">
        <f t="shared" si="48"/>
        <v>#DIV/0!</v>
      </c>
      <c r="Q296" s="171" t="e">
        <f t="shared" si="49"/>
        <v>#DIV/0!</v>
      </c>
      <c r="R296" s="186">
        <f>IF('prijem_zahranicie - viac-dom'!$I$121=TRUE,IF($C$11&gt;0,0.00025*N295,0),IF('prijem_zahranicie - viac-dom'!$I$122=TRUE,IF('prijem_zahranicie - viac-dom'!$F$122&gt;0,0.00025*N295*-1,0),0))</f>
        <v>0</v>
      </c>
    </row>
    <row r="297" spans="1:18" x14ac:dyDescent="0.2">
      <c r="A297" s="89">
        <v>281</v>
      </c>
      <c r="B297" s="186" t="e">
        <f t="shared" si="41"/>
        <v>#NUM!</v>
      </c>
      <c r="C297" s="171" t="e">
        <f t="shared" si="42"/>
        <v>#NUM!</v>
      </c>
      <c r="D297" s="171" t="e">
        <f t="shared" si="43"/>
        <v>#NUM!</v>
      </c>
      <c r="E297" s="171" t="e">
        <f t="shared" si="44"/>
        <v>#NUM!</v>
      </c>
      <c r="F297" s="171" t="e">
        <f t="shared" si="45"/>
        <v>#NUM!</v>
      </c>
      <c r="G297" s="186">
        <f>IF('prijem_zahranicie - viac-dom'!$I$121=TRUE,IF($C$11&gt;0,0.00025*C296,0),IF('prijem_zahranicie - viac-dom'!$I$122=TRUE,IF('prijem_zahranicie - viac-dom'!$F$122&gt;0,0.00025*C296,0),0))</f>
        <v>0</v>
      </c>
      <c r="L297" s="89">
        <v>281</v>
      </c>
      <c r="M297" s="186" t="e">
        <f t="shared" si="46"/>
        <v>#DIV/0!</v>
      </c>
      <c r="N297" s="171" t="e">
        <f t="shared" si="47"/>
        <v>#DIV/0!</v>
      </c>
      <c r="O297" s="171" t="e">
        <f t="shared" si="40"/>
        <v>#DIV/0!</v>
      </c>
      <c r="P297" s="171" t="e">
        <f t="shared" si="48"/>
        <v>#DIV/0!</v>
      </c>
      <c r="Q297" s="171" t="e">
        <f t="shared" si="49"/>
        <v>#DIV/0!</v>
      </c>
      <c r="R297" s="186">
        <f>IF('prijem_zahranicie - viac-dom'!$I$121=TRUE,IF($C$11&gt;0,0.00025*N296,0),IF('prijem_zahranicie - viac-dom'!$I$122=TRUE,IF('prijem_zahranicie - viac-dom'!$F$122&gt;0,0.00025*N296*-1,0),0))</f>
        <v>0</v>
      </c>
    </row>
    <row r="298" spans="1:18" x14ac:dyDescent="0.2">
      <c r="A298" s="89">
        <v>282</v>
      </c>
      <c r="B298" s="186" t="e">
        <f t="shared" si="41"/>
        <v>#NUM!</v>
      </c>
      <c r="C298" s="171" t="e">
        <f t="shared" si="42"/>
        <v>#NUM!</v>
      </c>
      <c r="D298" s="171" t="e">
        <f t="shared" si="43"/>
        <v>#NUM!</v>
      </c>
      <c r="E298" s="171" t="e">
        <f t="shared" si="44"/>
        <v>#NUM!</v>
      </c>
      <c r="F298" s="171" t="e">
        <f t="shared" si="45"/>
        <v>#NUM!</v>
      </c>
      <c r="G298" s="186">
        <f>IF('prijem_zahranicie - viac-dom'!$I$121=TRUE,IF($C$11&gt;0,0.00025*C297,0),IF('prijem_zahranicie - viac-dom'!$I$122=TRUE,IF('prijem_zahranicie - viac-dom'!$F$122&gt;0,0.00025*C297,0),0))</f>
        <v>0</v>
      </c>
      <c r="L298" s="89">
        <v>282</v>
      </c>
      <c r="M298" s="186" t="e">
        <f t="shared" si="46"/>
        <v>#DIV/0!</v>
      </c>
      <c r="N298" s="171" t="e">
        <f t="shared" si="47"/>
        <v>#DIV/0!</v>
      </c>
      <c r="O298" s="171" t="e">
        <f t="shared" si="40"/>
        <v>#DIV/0!</v>
      </c>
      <c r="P298" s="171" t="e">
        <f t="shared" si="48"/>
        <v>#DIV/0!</v>
      </c>
      <c r="Q298" s="171" t="e">
        <f t="shared" si="49"/>
        <v>#DIV/0!</v>
      </c>
      <c r="R298" s="186">
        <f>IF('prijem_zahranicie - viac-dom'!$I$121=TRUE,IF($C$11&gt;0,0.00025*N297,0),IF('prijem_zahranicie - viac-dom'!$I$122=TRUE,IF('prijem_zahranicie - viac-dom'!$F$122&gt;0,0.00025*N297*-1,0),0))</f>
        <v>0</v>
      </c>
    </row>
    <row r="299" spans="1:18" x14ac:dyDescent="0.2">
      <c r="A299" s="89">
        <v>283</v>
      </c>
      <c r="B299" s="186" t="e">
        <f t="shared" si="41"/>
        <v>#NUM!</v>
      </c>
      <c r="C299" s="171" t="e">
        <f t="shared" si="42"/>
        <v>#NUM!</v>
      </c>
      <c r="D299" s="171" t="e">
        <f t="shared" si="43"/>
        <v>#NUM!</v>
      </c>
      <c r="E299" s="171" t="e">
        <f t="shared" si="44"/>
        <v>#NUM!</v>
      </c>
      <c r="F299" s="171" t="e">
        <f t="shared" si="45"/>
        <v>#NUM!</v>
      </c>
      <c r="G299" s="186">
        <f>IF('prijem_zahranicie - viac-dom'!$I$121=TRUE,IF($C$11&gt;0,0.00025*C298,0),IF('prijem_zahranicie - viac-dom'!$I$122=TRUE,IF('prijem_zahranicie - viac-dom'!$F$122&gt;0,0.00025*C298,0),0))</f>
        <v>0</v>
      </c>
      <c r="L299" s="89">
        <v>283</v>
      </c>
      <c r="M299" s="186" t="e">
        <f t="shared" si="46"/>
        <v>#DIV/0!</v>
      </c>
      <c r="N299" s="171" t="e">
        <f t="shared" si="47"/>
        <v>#DIV/0!</v>
      </c>
      <c r="O299" s="171" t="e">
        <f t="shared" si="40"/>
        <v>#DIV/0!</v>
      </c>
      <c r="P299" s="171" t="e">
        <f t="shared" si="48"/>
        <v>#DIV/0!</v>
      </c>
      <c r="Q299" s="171" t="e">
        <f t="shared" si="49"/>
        <v>#DIV/0!</v>
      </c>
      <c r="R299" s="186">
        <f>IF('prijem_zahranicie - viac-dom'!$I$121=TRUE,IF($C$11&gt;0,0.00025*N298,0),IF('prijem_zahranicie - viac-dom'!$I$122=TRUE,IF('prijem_zahranicie - viac-dom'!$F$122&gt;0,0.00025*N298*-1,0),0))</f>
        <v>0</v>
      </c>
    </row>
    <row r="300" spans="1:18" x14ac:dyDescent="0.2">
      <c r="A300" s="89">
        <v>284</v>
      </c>
      <c r="B300" s="186" t="e">
        <f t="shared" si="41"/>
        <v>#NUM!</v>
      </c>
      <c r="C300" s="171" t="e">
        <f t="shared" si="42"/>
        <v>#NUM!</v>
      </c>
      <c r="D300" s="171" t="e">
        <f t="shared" si="43"/>
        <v>#NUM!</v>
      </c>
      <c r="E300" s="171" t="e">
        <f t="shared" si="44"/>
        <v>#NUM!</v>
      </c>
      <c r="F300" s="171" t="e">
        <f t="shared" si="45"/>
        <v>#NUM!</v>
      </c>
      <c r="G300" s="186">
        <f>IF('prijem_zahranicie - viac-dom'!$I$121=TRUE,IF($C$11&gt;0,0.00025*C299,0),IF('prijem_zahranicie - viac-dom'!$I$122=TRUE,IF('prijem_zahranicie - viac-dom'!$F$122&gt;0,0.00025*C299,0),0))</f>
        <v>0</v>
      </c>
      <c r="L300" s="89">
        <v>284</v>
      </c>
      <c r="M300" s="186" t="e">
        <f t="shared" si="46"/>
        <v>#DIV/0!</v>
      </c>
      <c r="N300" s="171" t="e">
        <f t="shared" si="47"/>
        <v>#DIV/0!</v>
      </c>
      <c r="O300" s="171" t="e">
        <f t="shared" si="40"/>
        <v>#DIV/0!</v>
      </c>
      <c r="P300" s="171" t="e">
        <f t="shared" si="48"/>
        <v>#DIV/0!</v>
      </c>
      <c r="Q300" s="171" t="e">
        <f t="shared" si="49"/>
        <v>#DIV/0!</v>
      </c>
      <c r="R300" s="186">
        <f>IF('prijem_zahranicie - viac-dom'!$I$121=TRUE,IF($C$11&gt;0,0.00025*N299,0),IF('prijem_zahranicie - viac-dom'!$I$122=TRUE,IF('prijem_zahranicie - viac-dom'!$F$122&gt;0,0.00025*N299*-1,0),0))</f>
        <v>0</v>
      </c>
    </row>
    <row r="301" spans="1:18" x14ac:dyDescent="0.2">
      <c r="A301" s="89">
        <v>285</v>
      </c>
      <c r="B301" s="186" t="e">
        <f t="shared" si="41"/>
        <v>#NUM!</v>
      </c>
      <c r="C301" s="171" t="e">
        <f t="shared" si="42"/>
        <v>#NUM!</v>
      </c>
      <c r="D301" s="171" t="e">
        <f t="shared" si="43"/>
        <v>#NUM!</v>
      </c>
      <c r="E301" s="171" t="e">
        <f t="shared" si="44"/>
        <v>#NUM!</v>
      </c>
      <c r="F301" s="171" t="e">
        <f t="shared" si="45"/>
        <v>#NUM!</v>
      </c>
      <c r="G301" s="186">
        <f>IF('prijem_zahranicie - viac-dom'!$I$121=TRUE,IF($C$11&gt;0,0.00025*C300,0),IF('prijem_zahranicie - viac-dom'!$I$122=TRUE,IF('prijem_zahranicie - viac-dom'!$F$122&gt;0,0.00025*C300,0),0))</f>
        <v>0</v>
      </c>
      <c r="L301" s="89">
        <v>285</v>
      </c>
      <c r="M301" s="186" t="e">
        <f t="shared" si="46"/>
        <v>#DIV/0!</v>
      </c>
      <c r="N301" s="171" t="e">
        <f t="shared" si="47"/>
        <v>#DIV/0!</v>
      </c>
      <c r="O301" s="171" t="e">
        <f t="shared" si="40"/>
        <v>#DIV/0!</v>
      </c>
      <c r="P301" s="171" t="e">
        <f t="shared" si="48"/>
        <v>#DIV/0!</v>
      </c>
      <c r="Q301" s="171" t="e">
        <f t="shared" si="49"/>
        <v>#DIV/0!</v>
      </c>
      <c r="R301" s="186">
        <f>IF('prijem_zahranicie - viac-dom'!$I$121=TRUE,IF($C$11&gt;0,0.00025*N300,0),IF('prijem_zahranicie - viac-dom'!$I$122=TRUE,IF('prijem_zahranicie - viac-dom'!$F$122&gt;0,0.00025*N300*-1,0),0))</f>
        <v>0</v>
      </c>
    </row>
    <row r="302" spans="1:18" x14ac:dyDescent="0.2">
      <c r="A302" s="89">
        <v>286</v>
      </c>
      <c r="B302" s="186" t="e">
        <f t="shared" si="41"/>
        <v>#NUM!</v>
      </c>
      <c r="C302" s="171" t="e">
        <f t="shared" si="42"/>
        <v>#NUM!</v>
      </c>
      <c r="D302" s="171" t="e">
        <f t="shared" si="43"/>
        <v>#NUM!</v>
      </c>
      <c r="E302" s="171" t="e">
        <f t="shared" si="44"/>
        <v>#NUM!</v>
      </c>
      <c r="F302" s="171" t="e">
        <f t="shared" si="45"/>
        <v>#NUM!</v>
      </c>
      <c r="G302" s="186">
        <f>IF('prijem_zahranicie - viac-dom'!$I$121=TRUE,IF($C$11&gt;0,0.00025*C301,0),IF('prijem_zahranicie - viac-dom'!$I$122=TRUE,IF('prijem_zahranicie - viac-dom'!$F$122&gt;0,0.00025*C301,0),0))</f>
        <v>0</v>
      </c>
      <c r="L302" s="89">
        <v>286</v>
      </c>
      <c r="M302" s="186" t="e">
        <f t="shared" si="46"/>
        <v>#DIV/0!</v>
      </c>
      <c r="N302" s="171" t="e">
        <f t="shared" si="47"/>
        <v>#DIV/0!</v>
      </c>
      <c r="O302" s="171" t="e">
        <f t="shared" si="40"/>
        <v>#DIV/0!</v>
      </c>
      <c r="P302" s="171" t="e">
        <f t="shared" si="48"/>
        <v>#DIV/0!</v>
      </c>
      <c r="Q302" s="171" t="e">
        <f t="shared" si="49"/>
        <v>#DIV/0!</v>
      </c>
      <c r="R302" s="186">
        <f>IF('prijem_zahranicie - viac-dom'!$I$121=TRUE,IF($C$11&gt;0,0.00025*N301,0),IF('prijem_zahranicie - viac-dom'!$I$122=TRUE,IF('prijem_zahranicie - viac-dom'!$F$122&gt;0,0.00025*N301*-1,0),0))</f>
        <v>0</v>
      </c>
    </row>
    <row r="303" spans="1:18" x14ac:dyDescent="0.2">
      <c r="A303" s="89">
        <v>287</v>
      </c>
      <c r="B303" s="186" t="e">
        <f t="shared" si="41"/>
        <v>#NUM!</v>
      </c>
      <c r="C303" s="171" t="e">
        <f t="shared" si="42"/>
        <v>#NUM!</v>
      </c>
      <c r="D303" s="171" t="e">
        <f t="shared" si="43"/>
        <v>#NUM!</v>
      </c>
      <c r="E303" s="171" t="e">
        <f t="shared" si="44"/>
        <v>#NUM!</v>
      </c>
      <c r="F303" s="171" t="e">
        <f t="shared" si="45"/>
        <v>#NUM!</v>
      </c>
      <c r="G303" s="186">
        <f>IF('prijem_zahranicie - viac-dom'!$I$121=TRUE,IF($C$11&gt;0,0.00025*C302,0),IF('prijem_zahranicie - viac-dom'!$I$122=TRUE,IF('prijem_zahranicie - viac-dom'!$F$122&gt;0,0.00025*C302,0),0))</f>
        <v>0</v>
      </c>
      <c r="L303" s="89">
        <v>287</v>
      </c>
      <c r="M303" s="186" t="e">
        <f t="shared" si="46"/>
        <v>#DIV/0!</v>
      </c>
      <c r="N303" s="171" t="e">
        <f t="shared" si="47"/>
        <v>#DIV/0!</v>
      </c>
      <c r="O303" s="171" t="e">
        <f t="shared" si="40"/>
        <v>#DIV/0!</v>
      </c>
      <c r="P303" s="171" t="e">
        <f t="shared" si="48"/>
        <v>#DIV/0!</v>
      </c>
      <c r="Q303" s="171" t="e">
        <f t="shared" si="49"/>
        <v>#DIV/0!</v>
      </c>
      <c r="R303" s="186">
        <f>IF('prijem_zahranicie - viac-dom'!$I$121=TRUE,IF($C$11&gt;0,0.00025*N302,0),IF('prijem_zahranicie - viac-dom'!$I$122=TRUE,IF('prijem_zahranicie - viac-dom'!$F$122&gt;0,0.00025*N302*-1,0),0))</f>
        <v>0</v>
      </c>
    </row>
    <row r="304" spans="1:18" x14ac:dyDescent="0.2">
      <c r="A304" s="89">
        <v>288</v>
      </c>
      <c r="B304" s="186" t="e">
        <f t="shared" si="41"/>
        <v>#NUM!</v>
      </c>
      <c r="C304" s="171" t="e">
        <f t="shared" si="42"/>
        <v>#NUM!</v>
      </c>
      <c r="D304" s="171" t="e">
        <f t="shared" si="43"/>
        <v>#NUM!</v>
      </c>
      <c r="E304" s="171" t="e">
        <f t="shared" si="44"/>
        <v>#NUM!</v>
      </c>
      <c r="F304" s="171" t="e">
        <f t="shared" si="45"/>
        <v>#NUM!</v>
      </c>
      <c r="G304" s="186">
        <f>IF('prijem_zahranicie - viac-dom'!$I$121=TRUE,IF($C$11&gt;0,0.00025*C303,0),IF('prijem_zahranicie - viac-dom'!$I$122=TRUE,IF('prijem_zahranicie - viac-dom'!$F$122&gt;0,0.00025*C303,0),0))</f>
        <v>0</v>
      </c>
      <c r="L304" s="89">
        <v>288</v>
      </c>
      <c r="M304" s="186" t="e">
        <f t="shared" si="46"/>
        <v>#DIV/0!</v>
      </c>
      <c r="N304" s="171" t="e">
        <f t="shared" si="47"/>
        <v>#DIV/0!</v>
      </c>
      <c r="O304" s="171" t="e">
        <f t="shared" si="40"/>
        <v>#DIV/0!</v>
      </c>
      <c r="P304" s="171" t="e">
        <f t="shared" si="48"/>
        <v>#DIV/0!</v>
      </c>
      <c r="Q304" s="171" t="e">
        <f t="shared" si="49"/>
        <v>#DIV/0!</v>
      </c>
      <c r="R304" s="186">
        <f>IF('prijem_zahranicie - viac-dom'!$I$121=TRUE,IF($C$11&gt;0,0.00025*N303,0),IF('prijem_zahranicie - viac-dom'!$I$122=TRUE,IF('prijem_zahranicie - viac-dom'!$F$122&gt;0,0.00025*N303*-1,0),0))</f>
        <v>0</v>
      </c>
    </row>
    <row r="305" spans="1:18" x14ac:dyDescent="0.2">
      <c r="A305" s="89">
        <v>289</v>
      </c>
      <c r="B305" s="186" t="e">
        <f t="shared" si="41"/>
        <v>#NUM!</v>
      </c>
      <c r="C305" s="171" t="e">
        <f t="shared" si="42"/>
        <v>#NUM!</v>
      </c>
      <c r="D305" s="171" t="e">
        <f t="shared" si="43"/>
        <v>#NUM!</v>
      </c>
      <c r="E305" s="171" t="e">
        <f t="shared" si="44"/>
        <v>#NUM!</v>
      </c>
      <c r="F305" s="171" t="e">
        <f t="shared" si="45"/>
        <v>#NUM!</v>
      </c>
      <c r="G305" s="186">
        <f>IF('prijem_zahranicie - viac-dom'!$I$121=TRUE,IF($C$11&gt;0,0.00025*C304,0),IF('prijem_zahranicie - viac-dom'!$I$122=TRUE,IF('prijem_zahranicie - viac-dom'!$F$122&gt;0,0.00025*C304,0),0))</f>
        <v>0</v>
      </c>
      <c r="L305" s="89">
        <v>289</v>
      </c>
      <c r="M305" s="186" t="e">
        <f t="shared" si="46"/>
        <v>#DIV/0!</v>
      </c>
      <c r="N305" s="171" t="e">
        <f t="shared" si="47"/>
        <v>#DIV/0!</v>
      </c>
      <c r="O305" s="171" t="e">
        <f t="shared" si="40"/>
        <v>#DIV/0!</v>
      </c>
      <c r="P305" s="171" t="e">
        <f t="shared" si="48"/>
        <v>#DIV/0!</v>
      </c>
      <c r="Q305" s="171" t="e">
        <f t="shared" si="49"/>
        <v>#DIV/0!</v>
      </c>
      <c r="R305" s="186">
        <f>IF('prijem_zahranicie - viac-dom'!$I$121=TRUE,IF($C$11&gt;0,0.00025*N304,0),IF('prijem_zahranicie - viac-dom'!$I$122=TRUE,IF('prijem_zahranicie - viac-dom'!$F$122&gt;0,0.00025*N304*-1,0),0))</f>
        <v>0</v>
      </c>
    </row>
    <row r="306" spans="1:18" x14ac:dyDescent="0.2">
      <c r="A306" s="89">
        <v>290</v>
      </c>
      <c r="B306" s="186" t="e">
        <f t="shared" si="41"/>
        <v>#NUM!</v>
      </c>
      <c r="C306" s="171" t="e">
        <f t="shared" si="42"/>
        <v>#NUM!</v>
      </c>
      <c r="D306" s="171" t="e">
        <f t="shared" si="43"/>
        <v>#NUM!</v>
      </c>
      <c r="E306" s="171" t="e">
        <f t="shared" si="44"/>
        <v>#NUM!</v>
      </c>
      <c r="F306" s="171" t="e">
        <f t="shared" si="45"/>
        <v>#NUM!</v>
      </c>
      <c r="G306" s="186">
        <f>IF('prijem_zahranicie - viac-dom'!$I$121=TRUE,IF($C$11&gt;0,0.00025*C305,0),IF('prijem_zahranicie - viac-dom'!$I$122=TRUE,IF('prijem_zahranicie - viac-dom'!$F$122&gt;0,0.00025*C305,0),0))</f>
        <v>0</v>
      </c>
      <c r="L306" s="89">
        <v>290</v>
      </c>
      <c r="M306" s="186" t="e">
        <f t="shared" si="46"/>
        <v>#DIV/0!</v>
      </c>
      <c r="N306" s="171" t="e">
        <f t="shared" si="47"/>
        <v>#DIV/0!</v>
      </c>
      <c r="O306" s="171" t="e">
        <f t="shared" si="40"/>
        <v>#DIV/0!</v>
      </c>
      <c r="P306" s="171" t="e">
        <f t="shared" si="48"/>
        <v>#DIV/0!</v>
      </c>
      <c r="Q306" s="171" t="e">
        <f t="shared" si="49"/>
        <v>#DIV/0!</v>
      </c>
      <c r="R306" s="186">
        <f>IF('prijem_zahranicie - viac-dom'!$I$121=TRUE,IF($C$11&gt;0,0.00025*N305,0),IF('prijem_zahranicie - viac-dom'!$I$122=TRUE,IF('prijem_zahranicie - viac-dom'!$F$122&gt;0,0.00025*N305*-1,0),0))</f>
        <v>0</v>
      </c>
    </row>
    <row r="307" spans="1:18" x14ac:dyDescent="0.2">
      <c r="A307" s="89">
        <v>291</v>
      </c>
      <c r="B307" s="186" t="e">
        <f t="shared" si="41"/>
        <v>#NUM!</v>
      </c>
      <c r="C307" s="171" t="e">
        <f t="shared" si="42"/>
        <v>#NUM!</v>
      </c>
      <c r="D307" s="171" t="e">
        <f t="shared" si="43"/>
        <v>#NUM!</v>
      </c>
      <c r="E307" s="171" t="e">
        <f t="shared" si="44"/>
        <v>#NUM!</v>
      </c>
      <c r="F307" s="171" t="e">
        <f t="shared" si="45"/>
        <v>#NUM!</v>
      </c>
      <c r="G307" s="186">
        <f>IF('prijem_zahranicie - viac-dom'!$I$121=TRUE,IF($C$11&gt;0,0.00025*C306,0),IF('prijem_zahranicie - viac-dom'!$I$122=TRUE,IF('prijem_zahranicie - viac-dom'!$F$122&gt;0,0.00025*C306,0),0))</f>
        <v>0</v>
      </c>
      <c r="L307" s="89">
        <v>291</v>
      </c>
      <c r="M307" s="186" t="e">
        <f t="shared" si="46"/>
        <v>#DIV/0!</v>
      </c>
      <c r="N307" s="171" t="e">
        <f t="shared" si="47"/>
        <v>#DIV/0!</v>
      </c>
      <c r="O307" s="171" t="e">
        <f t="shared" si="40"/>
        <v>#DIV/0!</v>
      </c>
      <c r="P307" s="171" t="e">
        <f t="shared" si="48"/>
        <v>#DIV/0!</v>
      </c>
      <c r="Q307" s="171" t="e">
        <f t="shared" si="49"/>
        <v>#DIV/0!</v>
      </c>
      <c r="R307" s="186">
        <f>IF('prijem_zahranicie - viac-dom'!$I$121=TRUE,IF($C$11&gt;0,0.00025*N306,0),IF('prijem_zahranicie - viac-dom'!$I$122=TRUE,IF('prijem_zahranicie - viac-dom'!$F$122&gt;0,0.00025*N306*-1,0),0))</f>
        <v>0</v>
      </c>
    </row>
    <row r="308" spans="1:18" x14ac:dyDescent="0.2">
      <c r="A308" s="89">
        <v>292</v>
      </c>
      <c r="B308" s="186" t="e">
        <f t="shared" si="41"/>
        <v>#NUM!</v>
      </c>
      <c r="C308" s="171" t="e">
        <f t="shared" si="42"/>
        <v>#NUM!</v>
      </c>
      <c r="D308" s="171" t="e">
        <f t="shared" si="43"/>
        <v>#NUM!</v>
      </c>
      <c r="E308" s="171" t="e">
        <f t="shared" si="44"/>
        <v>#NUM!</v>
      </c>
      <c r="F308" s="171" t="e">
        <f t="shared" si="45"/>
        <v>#NUM!</v>
      </c>
      <c r="G308" s="186">
        <f>IF('prijem_zahranicie - viac-dom'!$I$121=TRUE,IF($C$11&gt;0,0.00025*C307,0),IF('prijem_zahranicie - viac-dom'!$I$122=TRUE,IF('prijem_zahranicie - viac-dom'!$F$122&gt;0,0.00025*C307,0),0))</f>
        <v>0</v>
      </c>
      <c r="L308" s="89">
        <v>292</v>
      </c>
      <c r="M308" s="186" t="e">
        <f t="shared" si="46"/>
        <v>#DIV/0!</v>
      </c>
      <c r="N308" s="171" t="e">
        <f t="shared" si="47"/>
        <v>#DIV/0!</v>
      </c>
      <c r="O308" s="171" t="e">
        <f t="shared" si="40"/>
        <v>#DIV/0!</v>
      </c>
      <c r="P308" s="171" t="e">
        <f t="shared" si="48"/>
        <v>#DIV/0!</v>
      </c>
      <c r="Q308" s="171" t="e">
        <f t="shared" si="49"/>
        <v>#DIV/0!</v>
      </c>
      <c r="R308" s="186">
        <f>IF('prijem_zahranicie - viac-dom'!$I$121=TRUE,IF($C$11&gt;0,0.00025*N307,0),IF('prijem_zahranicie - viac-dom'!$I$122=TRUE,IF('prijem_zahranicie - viac-dom'!$F$122&gt;0,0.00025*N307*-1,0),0))</f>
        <v>0</v>
      </c>
    </row>
    <row r="309" spans="1:18" x14ac:dyDescent="0.2">
      <c r="A309" s="89">
        <v>293</v>
      </c>
      <c r="B309" s="186" t="e">
        <f t="shared" si="41"/>
        <v>#NUM!</v>
      </c>
      <c r="C309" s="171" t="e">
        <f t="shared" si="42"/>
        <v>#NUM!</v>
      </c>
      <c r="D309" s="171" t="e">
        <f t="shared" si="43"/>
        <v>#NUM!</v>
      </c>
      <c r="E309" s="171" t="e">
        <f t="shared" si="44"/>
        <v>#NUM!</v>
      </c>
      <c r="F309" s="171" t="e">
        <f t="shared" si="45"/>
        <v>#NUM!</v>
      </c>
      <c r="G309" s="186">
        <f>IF('prijem_zahranicie - viac-dom'!$I$121=TRUE,IF($C$11&gt;0,0.00025*C308,0),IF('prijem_zahranicie - viac-dom'!$I$122=TRUE,IF('prijem_zahranicie - viac-dom'!$F$122&gt;0,0.00025*C308,0),0))</f>
        <v>0</v>
      </c>
      <c r="L309" s="89">
        <v>293</v>
      </c>
      <c r="M309" s="186" t="e">
        <f t="shared" si="46"/>
        <v>#DIV/0!</v>
      </c>
      <c r="N309" s="171" t="e">
        <f t="shared" si="47"/>
        <v>#DIV/0!</v>
      </c>
      <c r="O309" s="171" t="e">
        <f t="shared" si="40"/>
        <v>#DIV/0!</v>
      </c>
      <c r="P309" s="171" t="e">
        <f t="shared" si="48"/>
        <v>#DIV/0!</v>
      </c>
      <c r="Q309" s="171" t="e">
        <f t="shared" si="49"/>
        <v>#DIV/0!</v>
      </c>
      <c r="R309" s="186">
        <f>IF('prijem_zahranicie - viac-dom'!$I$121=TRUE,IF($C$11&gt;0,0.00025*N308,0),IF('prijem_zahranicie - viac-dom'!$I$122=TRUE,IF('prijem_zahranicie - viac-dom'!$F$122&gt;0,0.00025*N308*-1,0),0))</f>
        <v>0</v>
      </c>
    </row>
    <row r="310" spans="1:18" x14ac:dyDescent="0.2">
      <c r="A310" s="89">
        <v>294</v>
      </c>
      <c r="B310" s="186" t="e">
        <f t="shared" si="41"/>
        <v>#NUM!</v>
      </c>
      <c r="C310" s="171" t="e">
        <f t="shared" si="42"/>
        <v>#NUM!</v>
      </c>
      <c r="D310" s="171" t="e">
        <f t="shared" si="43"/>
        <v>#NUM!</v>
      </c>
      <c r="E310" s="171" t="e">
        <f t="shared" si="44"/>
        <v>#NUM!</v>
      </c>
      <c r="F310" s="171" t="e">
        <f t="shared" si="45"/>
        <v>#NUM!</v>
      </c>
      <c r="G310" s="186">
        <f>IF('prijem_zahranicie - viac-dom'!$I$121=TRUE,IF($C$11&gt;0,0.00025*C309,0),IF('prijem_zahranicie - viac-dom'!$I$122=TRUE,IF('prijem_zahranicie - viac-dom'!$F$122&gt;0,0.00025*C309,0),0))</f>
        <v>0</v>
      </c>
      <c r="L310" s="89">
        <v>294</v>
      </c>
      <c r="M310" s="186" t="e">
        <f t="shared" si="46"/>
        <v>#DIV/0!</v>
      </c>
      <c r="N310" s="171" t="e">
        <f t="shared" si="47"/>
        <v>#DIV/0!</v>
      </c>
      <c r="O310" s="171" t="e">
        <f t="shared" si="40"/>
        <v>#DIV/0!</v>
      </c>
      <c r="P310" s="171" t="e">
        <f t="shared" si="48"/>
        <v>#DIV/0!</v>
      </c>
      <c r="Q310" s="171" t="e">
        <f t="shared" si="49"/>
        <v>#DIV/0!</v>
      </c>
      <c r="R310" s="186">
        <f>IF('prijem_zahranicie - viac-dom'!$I$121=TRUE,IF($C$11&gt;0,0.00025*N309,0),IF('prijem_zahranicie - viac-dom'!$I$122=TRUE,IF('prijem_zahranicie - viac-dom'!$F$122&gt;0,0.00025*N309*-1,0),0))</f>
        <v>0</v>
      </c>
    </row>
    <row r="311" spans="1:18" x14ac:dyDescent="0.2">
      <c r="A311" s="89">
        <v>295</v>
      </c>
      <c r="B311" s="186" t="e">
        <f t="shared" si="41"/>
        <v>#NUM!</v>
      </c>
      <c r="C311" s="171" t="e">
        <f t="shared" si="42"/>
        <v>#NUM!</v>
      </c>
      <c r="D311" s="171" t="e">
        <f t="shared" si="43"/>
        <v>#NUM!</v>
      </c>
      <c r="E311" s="171" t="e">
        <f t="shared" si="44"/>
        <v>#NUM!</v>
      </c>
      <c r="F311" s="171" t="e">
        <f t="shared" si="45"/>
        <v>#NUM!</v>
      </c>
      <c r="G311" s="186">
        <f>IF('prijem_zahranicie - viac-dom'!$I$121=TRUE,IF($C$11&gt;0,0.00025*C310,0),IF('prijem_zahranicie - viac-dom'!$I$122=TRUE,IF('prijem_zahranicie - viac-dom'!$F$122&gt;0,0.00025*C310,0),0))</f>
        <v>0</v>
      </c>
      <c r="L311" s="89">
        <v>295</v>
      </c>
      <c r="M311" s="186" t="e">
        <f t="shared" si="46"/>
        <v>#DIV/0!</v>
      </c>
      <c r="N311" s="171" t="e">
        <f t="shared" si="47"/>
        <v>#DIV/0!</v>
      </c>
      <c r="O311" s="171" t="e">
        <f t="shared" si="40"/>
        <v>#DIV/0!</v>
      </c>
      <c r="P311" s="171" t="e">
        <f t="shared" si="48"/>
        <v>#DIV/0!</v>
      </c>
      <c r="Q311" s="171" t="e">
        <f t="shared" si="49"/>
        <v>#DIV/0!</v>
      </c>
      <c r="R311" s="186">
        <f>IF('prijem_zahranicie - viac-dom'!$I$121=TRUE,IF($C$11&gt;0,0.00025*N310,0),IF('prijem_zahranicie - viac-dom'!$I$122=TRUE,IF('prijem_zahranicie - viac-dom'!$F$122&gt;0,0.00025*N310*-1,0),0))</f>
        <v>0</v>
      </c>
    </row>
    <row r="312" spans="1:18" x14ac:dyDescent="0.2">
      <c r="A312" s="89">
        <v>296</v>
      </c>
      <c r="B312" s="186" t="e">
        <f t="shared" si="41"/>
        <v>#NUM!</v>
      </c>
      <c r="C312" s="171" t="e">
        <f t="shared" si="42"/>
        <v>#NUM!</v>
      </c>
      <c r="D312" s="171" t="e">
        <f t="shared" si="43"/>
        <v>#NUM!</v>
      </c>
      <c r="E312" s="171" t="e">
        <f t="shared" si="44"/>
        <v>#NUM!</v>
      </c>
      <c r="F312" s="171" t="e">
        <f t="shared" si="45"/>
        <v>#NUM!</v>
      </c>
      <c r="G312" s="186">
        <f>IF('prijem_zahranicie - viac-dom'!$I$121=TRUE,IF($C$11&gt;0,0.00025*C311,0),IF('prijem_zahranicie - viac-dom'!$I$122=TRUE,IF('prijem_zahranicie - viac-dom'!$F$122&gt;0,0.00025*C311,0),0))</f>
        <v>0</v>
      </c>
      <c r="L312" s="89">
        <v>296</v>
      </c>
      <c r="M312" s="186" t="e">
        <f t="shared" si="46"/>
        <v>#DIV/0!</v>
      </c>
      <c r="N312" s="171" t="e">
        <f t="shared" si="47"/>
        <v>#DIV/0!</v>
      </c>
      <c r="O312" s="171" t="e">
        <f t="shared" si="40"/>
        <v>#DIV/0!</v>
      </c>
      <c r="P312" s="171" t="e">
        <f t="shared" si="48"/>
        <v>#DIV/0!</v>
      </c>
      <c r="Q312" s="171" t="e">
        <f t="shared" si="49"/>
        <v>#DIV/0!</v>
      </c>
      <c r="R312" s="186">
        <f>IF('prijem_zahranicie - viac-dom'!$I$121=TRUE,IF($C$11&gt;0,0.00025*N311,0),IF('prijem_zahranicie - viac-dom'!$I$122=TRUE,IF('prijem_zahranicie - viac-dom'!$F$122&gt;0,0.00025*N311*-1,0),0))</f>
        <v>0</v>
      </c>
    </row>
    <row r="313" spans="1:18" x14ac:dyDescent="0.2">
      <c r="A313" s="89">
        <v>297</v>
      </c>
      <c r="B313" s="186" t="e">
        <f t="shared" si="41"/>
        <v>#NUM!</v>
      </c>
      <c r="C313" s="171" t="e">
        <f t="shared" si="42"/>
        <v>#NUM!</v>
      </c>
      <c r="D313" s="171" t="e">
        <f t="shared" si="43"/>
        <v>#NUM!</v>
      </c>
      <c r="E313" s="171" t="e">
        <f t="shared" si="44"/>
        <v>#NUM!</v>
      </c>
      <c r="F313" s="171" t="e">
        <f t="shared" si="45"/>
        <v>#NUM!</v>
      </c>
      <c r="G313" s="186">
        <f>IF('prijem_zahranicie - viac-dom'!$I$121=TRUE,IF($C$11&gt;0,0.00025*C312,0),IF('prijem_zahranicie - viac-dom'!$I$122=TRUE,IF('prijem_zahranicie - viac-dom'!$F$122&gt;0,0.00025*C312,0),0))</f>
        <v>0</v>
      </c>
      <c r="L313" s="89">
        <v>297</v>
      </c>
      <c r="M313" s="186" t="e">
        <f t="shared" si="46"/>
        <v>#DIV/0!</v>
      </c>
      <c r="N313" s="171" t="e">
        <f t="shared" si="47"/>
        <v>#DIV/0!</v>
      </c>
      <c r="O313" s="171" t="e">
        <f t="shared" si="40"/>
        <v>#DIV/0!</v>
      </c>
      <c r="P313" s="171" t="e">
        <f t="shared" si="48"/>
        <v>#DIV/0!</v>
      </c>
      <c r="Q313" s="171" t="e">
        <f t="shared" si="49"/>
        <v>#DIV/0!</v>
      </c>
      <c r="R313" s="186">
        <f>IF('prijem_zahranicie - viac-dom'!$I$121=TRUE,IF($C$11&gt;0,0.00025*N312,0),IF('prijem_zahranicie - viac-dom'!$I$122=TRUE,IF('prijem_zahranicie - viac-dom'!$F$122&gt;0,0.00025*N312*-1,0),0))</f>
        <v>0</v>
      </c>
    </row>
    <row r="314" spans="1:18" x14ac:dyDescent="0.2">
      <c r="A314" s="89">
        <v>298</v>
      </c>
      <c r="B314" s="186" t="e">
        <f t="shared" si="41"/>
        <v>#NUM!</v>
      </c>
      <c r="C314" s="171" t="e">
        <f t="shared" si="42"/>
        <v>#NUM!</v>
      </c>
      <c r="D314" s="171" t="e">
        <f t="shared" si="43"/>
        <v>#NUM!</v>
      </c>
      <c r="E314" s="171" t="e">
        <f t="shared" si="44"/>
        <v>#NUM!</v>
      </c>
      <c r="F314" s="171" t="e">
        <f t="shared" si="45"/>
        <v>#NUM!</v>
      </c>
      <c r="G314" s="186">
        <f>IF('prijem_zahranicie - viac-dom'!$I$121=TRUE,IF($C$11&gt;0,0.00025*C313,0),IF('prijem_zahranicie - viac-dom'!$I$122=TRUE,IF('prijem_zahranicie - viac-dom'!$F$122&gt;0,0.00025*C313,0),0))</f>
        <v>0</v>
      </c>
      <c r="L314" s="89">
        <v>298</v>
      </c>
      <c r="M314" s="186" t="e">
        <f t="shared" si="46"/>
        <v>#DIV/0!</v>
      </c>
      <c r="N314" s="171" t="e">
        <f t="shared" si="47"/>
        <v>#DIV/0!</v>
      </c>
      <c r="O314" s="171" t="e">
        <f t="shared" si="40"/>
        <v>#DIV/0!</v>
      </c>
      <c r="P314" s="171" t="e">
        <f t="shared" si="48"/>
        <v>#DIV/0!</v>
      </c>
      <c r="Q314" s="171" t="e">
        <f t="shared" si="49"/>
        <v>#DIV/0!</v>
      </c>
      <c r="R314" s="186">
        <f>IF('prijem_zahranicie - viac-dom'!$I$121=TRUE,IF($C$11&gt;0,0.00025*N313,0),IF('prijem_zahranicie - viac-dom'!$I$122=TRUE,IF('prijem_zahranicie - viac-dom'!$F$122&gt;0,0.00025*N313*-1,0),0))</f>
        <v>0</v>
      </c>
    </row>
    <row r="315" spans="1:18" x14ac:dyDescent="0.2">
      <c r="A315" s="89">
        <v>299</v>
      </c>
      <c r="B315" s="186" t="e">
        <f t="shared" si="41"/>
        <v>#NUM!</v>
      </c>
      <c r="C315" s="171" t="e">
        <f t="shared" si="42"/>
        <v>#NUM!</v>
      </c>
      <c r="D315" s="171" t="e">
        <f t="shared" si="43"/>
        <v>#NUM!</v>
      </c>
      <c r="E315" s="171" t="e">
        <f t="shared" si="44"/>
        <v>#NUM!</v>
      </c>
      <c r="F315" s="171" t="e">
        <f t="shared" si="45"/>
        <v>#NUM!</v>
      </c>
      <c r="G315" s="186">
        <f>IF('prijem_zahranicie - viac-dom'!$I$121=TRUE,IF($C$11&gt;0,0.00025*C314,0),IF('prijem_zahranicie - viac-dom'!$I$122=TRUE,IF('prijem_zahranicie - viac-dom'!$F$122&gt;0,0.00025*C314,0),0))</f>
        <v>0</v>
      </c>
      <c r="L315" s="89">
        <v>299</v>
      </c>
      <c r="M315" s="186" t="e">
        <f t="shared" si="46"/>
        <v>#DIV/0!</v>
      </c>
      <c r="N315" s="171" t="e">
        <f t="shared" si="47"/>
        <v>#DIV/0!</v>
      </c>
      <c r="O315" s="171" t="e">
        <f t="shared" si="40"/>
        <v>#DIV/0!</v>
      </c>
      <c r="P315" s="171" t="e">
        <f t="shared" si="48"/>
        <v>#DIV/0!</v>
      </c>
      <c r="Q315" s="171" t="e">
        <f t="shared" si="49"/>
        <v>#DIV/0!</v>
      </c>
      <c r="R315" s="186">
        <f>IF('prijem_zahranicie - viac-dom'!$I$121=TRUE,IF($C$11&gt;0,0.00025*N314,0),IF('prijem_zahranicie - viac-dom'!$I$122=TRUE,IF('prijem_zahranicie - viac-dom'!$F$122&gt;0,0.00025*N314*-1,0),0))</f>
        <v>0</v>
      </c>
    </row>
    <row r="316" spans="1:18" x14ac:dyDescent="0.2">
      <c r="A316" s="89">
        <v>300</v>
      </c>
      <c r="B316" s="186" t="e">
        <f t="shared" si="41"/>
        <v>#NUM!</v>
      </c>
      <c r="C316" s="171" t="e">
        <f t="shared" si="42"/>
        <v>#NUM!</v>
      </c>
      <c r="D316" s="171" t="e">
        <f t="shared" si="43"/>
        <v>#NUM!</v>
      </c>
      <c r="E316" s="171" t="e">
        <f t="shared" si="44"/>
        <v>#NUM!</v>
      </c>
      <c r="F316" s="171" t="e">
        <f t="shared" si="45"/>
        <v>#NUM!</v>
      </c>
      <c r="G316" s="186">
        <f>IF('prijem_zahranicie - viac-dom'!$I$121=TRUE,IF($C$11&gt;0,0.00025*C315,0),IF('prijem_zahranicie - viac-dom'!$I$122=TRUE,IF('prijem_zahranicie - viac-dom'!$F$122&gt;0,0.00025*C315,0),0))</f>
        <v>0</v>
      </c>
      <c r="L316" s="89">
        <v>300</v>
      </c>
      <c r="M316" s="186" t="e">
        <f t="shared" si="46"/>
        <v>#DIV/0!</v>
      </c>
      <c r="N316" s="171" t="e">
        <f t="shared" si="47"/>
        <v>#DIV/0!</v>
      </c>
      <c r="O316" s="171" t="e">
        <f t="shared" si="40"/>
        <v>#DIV/0!</v>
      </c>
      <c r="P316" s="171" t="e">
        <f t="shared" si="48"/>
        <v>#DIV/0!</v>
      </c>
      <c r="Q316" s="171" t="e">
        <f t="shared" si="49"/>
        <v>#DIV/0!</v>
      </c>
      <c r="R316" s="186">
        <f>IF('prijem_zahranicie - viac-dom'!$I$121=TRUE,IF($C$11&gt;0,0.00025*N315,0),IF('prijem_zahranicie - viac-dom'!$I$122=TRUE,IF('prijem_zahranicie - viac-dom'!$F$122&gt;0,0.00025*N315*-1,0),0))</f>
        <v>0</v>
      </c>
    </row>
    <row r="317" spans="1:18" x14ac:dyDescent="0.2">
      <c r="A317" s="89">
        <v>301</v>
      </c>
      <c r="B317" s="186" t="e">
        <f t="shared" si="41"/>
        <v>#NUM!</v>
      </c>
      <c r="C317" s="171" t="e">
        <f t="shared" si="42"/>
        <v>#NUM!</v>
      </c>
      <c r="D317" s="171" t="e">
        <f t="shared" si="43"/>
        <v>#NUM!</v>
      </c>
      <c r="E317" s="171" t="e">
        <f t="shared" si="44"/>
        <v>#NUM!</v>
      </c>
      <c r="F317" s="171" t="e">
        <f t="shared" si="45"/>
        <v>#NUM!</v>
      </c>
      <c r="G317" s="186">
        <f>IF('prijem_zahranicie - viac-dom'!$I$121=TRUE,IF($C$11&gt;0,0.00025*C316,0),IF('prijem_zahranicie - viac-dom'!$I$122=TRUE,IF('prijem_zahranicie - viac-dom'!$F$122&gt;0,0.00025*C316,0),0))</f>
        <v>0</v>
      </c>
      <c r="L317" s="89">
        <v>301</v>
      </c>
      <c r="M317" s="186" t="e">
        <f t="shared" si="46"/>
        <v>#DIV/0!</v>
      </c>
      <c r="N317" s="171" t="e">
        <f t="shared" si="47"/>
        <v>#DIV/0!</v>
      </c>
      <c r="O317" s="171" t="e">
        <f t="shared" si="40"/>
        <v>#DIV/0!</v>
      </c>
      <c r="P317" s="171" t="e">
        <f t="shared" si="48"/>
        <v>#DIV/0!</v>
      </c>
      <c r="Q317" s="171" t="e">
        <f t="shared" si="49"/>
        <v>#DIV/0!</v>
      </c>
      <c r="R317" s="186">
        <f>IF('prijem_zahranicie - viac-dom'!$I$121=TRUE,IF($C$11&gt;0,0.00025*N316,0),IF('prijem_zahranicie - viac-dom'!$I$122=TRUE,IF('prijem_zahranicie - viac-dom'!$F$122&gt;0,0.00025*N316*-1,0),0))</f>
        <v>0</v>
      </c>
    </row>
    <row r="318" spans="1:18" x14ac:dyDescent="0.2">
      <c r="A318" s="89">
        <v>302</v>
      </c>
      <c r="B318" s="186" t="e">
        <f t="shared" si="41"/>
        <v>#NUM!</v>
      </c>
      <c r="C318" s="171" t="e">
        <f t="shared" si="42"/>
        <v>#NUM!</v>
      </c>
      <c r="D318" s="171" t="e">
        <f t="shared" si="43"/>
        <v>#NUM!</v>
      </c>
      <c r="E318" s="171" t="e">
        <f t="shared" si="44"/>
        <v>#NUM!</v>
      </c>
      <c r="F318" s="171" t="e">
        <f t="shared" si="45"/>
        <v>#NUM!</v>
      </c>
      <c r="G318" s="186">
        <f>IF('prijem_zahranicie - viac-dom'!$I$121=TRUE,IF($C$11&gt;0,0.00025*C317,0),IF('prijem_zahranicie - viac-dom'!$I$122=TRUE,IF('prijem_zahranicie - viac-dom'!$F$122&gt;0,0.00025*C317,0),0))</f>
        <v>0</v>
      </c>
      <c r="L318" s="89">
        <v>302</v>
      </c>
      <c r="M318" s="186" t="e">
        <f t="shared" si="46"/>
        <v>#DIV/0!</v>
      </c>
      <c r="N318" s="171" t="e">
        <f t="shared" si="47"/>
        <v>#DIV/0!</v>
      </c>
      <c r="O318" s="171" t="e">
        <f t="shared" si="40"/>
        <v>#DIV/0!</v>
      </c>
      <c r="P318" s="171" t="e">
        <f t="shared" si="48"/>
        <v>#DIV/0!</v>
      </c>
      <c r="Q318" s="171" t="e">
        <f t="shared" si="49"/>
        <v>#DIV/0!</v>
      </c>
      <c r="R318" s="186">
        <f>IF('prijem_zahranicie - viac-dom'!$I$121=TRUE,IF($C$11&gt;0,0.00025*N317,0),IF('prijem_zahranicie - viac-dom'!$I$122=TRUE,IF('prijem_zahranicie - viac-dom'!$F$122&gt;0,0.00025*N317*-1,0),0))</f>
        <v>0</v>
      </c>
    </row>
    <row r="319" spans="1:18" x14ac:dyDescent="0.2">
      <c r="A319" s="89">
        <v>303</v>
      </c>
      <c r="B319" s="186" t="e">
        <f t="shared" si="41"/>
        <v>#NUM!</v>
      </c>
      <c r="C319" s="171" t="e">
        <f t="shared" si="42"/>
        <v>#NUM!</v>
      </c>
      <c r="D319" s="171" t="e">
        <f t="shared" si="43"/>
        <v>#NUM!</v>
      </c>
      <c r="E319" s="171" t="e">
        <f t="shared" si="44"/>
        <v>#NUM!</v>
      </c>
      <c r="F319" s="171" t="e">
        <f t="shared" si="45"/>
        <v>#NUM!</v>
      </c>
      <c r="G319" s="186">
        <f>IF('prijem_zahranicie - viac-dom'!$I$121=TRUE,IF($C$11&gt;0,0.00025*C318,0),IF('prijem_zahranicie - viac-dom'!$I$122=TRUE,IF('prijem_zahranicie - viac-dom'!$F$122&gt;0,0.00025*C318,0),0))</f>
        <v>0</v>
      </c>
      <c r="L319" s="89">
        <v>303</v>
      </c>
      <c r="M319" s="186" t="e">
        <f t="shared" si="46"/>
        <v>#DIV/0!</v>
      </c>
      <c r="N319" s="171" t="e">
        <f t="shared" si="47"/>
        <v>#DIV/0!</v>
      </c>
      <c r="O319" s="171" t="e">
        <f t="shared" si="40"/>
        <v>#DIV/0!</v>
      </c>
      <c r="P319" s="171" t="e">
        <f t="shared" si="48"/>
        <v>#DIV/0!</v>
      </c>
      <c r="Q319" s="171" t="e">
        <f t="shared" si="49"/>
        <v>#DIV/0!</v>
      </c>
      <c r="R319" s="186">
        <f>IF('prijem_zahranicie - viac-dom'!$I$121=TRUE,IF($C$11&gt;0,0.00025*N318,0),IF('prijem_zahranicie - viac-dom'!$I$122=TRUE,IF('prijem_zahranicie - viac-dom'!$F$122&gt;0,0.00025*N318*-1,0),0))</f>
        <v>0</v>
      </c>
    </row>
    <row r="320" spans="1:18" x14ac:dyDescent="0.2">
      <c r="A320" s="89">
        <v>304</v>
      </c>
      <c r="B320" s="186" t="e">
        <f t="shared" si="41"/>
        <v>#NUM!</v>
      </c>
      <c r="C320" s="171" t="e">
        <f t="shared" si="42"/>
        <v>#NUM!</v>
      </c>
      <c r="D320" s="171" t="e">
        <f t="shared" si="43"/>
        <v>#NUM!</v>
      </c>
      <c r="E320" s="171" t="e">
        <f t="shared" si="44"/>
        <v>#NUM!</v>
      </c>
      <c r="F320" s="171" t="e">
        <f t="shared" si="45"/>
        <v>#NUM!</v>
      </c>
      <c r="G320" s="186">
        <f>IF('prijem_zahranicie - viac-dom'!$I$121=TRUE,IF($C$11&gt;0,0.00025*C319,0),IF('prijem_zahranicie - viac-dom'!$I$122=TRUE,IF('prijem_zahranicie - viac-dom'!$F$122&gt;0,0.00025*C319,0),0))</f>
        <v>0</v>
      </c>
      <c r="L320" s="89">
        <v>304</v>
      </c>
      <c r="M320" s="186" t="e">
        <f t="shared" si="46"/>
        <v>#DIV/0!</v>
      </c>
      <c r="N320" s="171" t="e">
        <f t="shared" si="47"/>
        <v>#DIV/0!</v>
      </c>
      <c r="O320" s="171" t="e">
        <f t="shared" si="40"/>
        <v>#DIV/0!</v>
      </c>
      <c r="P320" s="171" t="e">
        <f t="shared" si="48"/>
        <v>#DIV/0!</v>
      </c>
      <c r="Q320" s="171" t="e">
        <f t="shared" si="49"/>
        <v>#DIV/0!</v>
      </c>
      <c r="R320" s="186">
        <f>IF('prijem_zahranicie - viac-dom'!$I$121=TRUE,IF($C$11&gt;0,0.00025*N319,0),IF('prijem_zahranicie - viac-dom'!$I$122=TRUE,IF('prijem_zahranicie - viac-dom'!$F$122&gt;0,0.00025*N319*-1,0),0))</f>
        <v>0</v>
      </c>
    </row>
    <row r="321" spans="1:18" x14ac:dyDescent="0.2">
      <c r="A321" s="89">
        <v>305</v>
      </c>
      <c r="B321" s="186" t="e">
        <f t="shared" si="41"/>
        <v>#NUM!</v>
      </c>
      <c r="C321" s="171" t="e">
        <f t="shared" si="42"/>
        <v>#NUM!</v>
      </c>
      <c r="D321" s="171" t="e">
        <f t="shared" si="43"/>
        <v>#NUM!</v>
      </c>
      <c r="E321" s="171" t="e">
        <f t="shared" si="44"/>
        <v>#NUM!</v>
      </c>
      <c r="F321" s="171" t="e">
        <f t="shared" si="45"/>
        <v>#NUM!</v>
      </c>
      <c r="G321" s="186">
        <f>IF('prijem_zahranicie - viac-dom'!$I$121=TRUE,IF($C$11&gt;0,0.00025*C320,0),IF('prijem_zahranicie - viac-dom'!$I$122=TRUE,IF('prijem_zahranicie - viac-dom'!$F$122&gt;0,0.00025*C320,0),0))</f>
        <v>0</v>
      </c>
      <c r="L321" s="89">
        <v>305</v>
      </c>
      <c r="M321" s="186" t="e">
        <f t="shared" si="46"/>
        <v>#DIV/0!</v>
      </c>
      <c r="N321" s="171" t="e">
        <f t="shared" si="47"/>
        <v>#DIV/0!</v>
      </c>
      <c r="O321" s="171" t="e">
        <f t="shared" si="40"/>
        <v>#DIV/0!</v>
      </c>
      <c r="P321" s="171" t="e">
        <f t="shared" si="48"/>
        <v>#DIV/0!</v>
      </c>
      <c r="Q321" s="171" t="e">
        <f t="shared" si="49"/>
        <v>#DIV/0!</v>
      </c>
      <c r="R321" s="186">
        <f>IF('prijem_zahranicie - viac-dom'!$I$121=TRUE,IF($C$11&gt;0,0.00025*N320,0),IF('prijem_zahranicie - viac-dom'!$I$122=TRUE,IF('prijem_zahranicie - viac-dom'!$F$122&gt;0,0.00025*N320*-1,0),0))</f>
        <v>0</v>
      </c>
    </row>
    <row r="322" spans="1:18" x14ac:dyDescent="0.2">
      <c r="A322" s="89">
        <v>306</v>
      </c>
      <c r="B322" s="186" t="e">
        <f t="shared" si="41"/>
        <v>#NUM!</v>
      </c>
      <c r="C322" s="171" t="e">
        <f t="shared" si="42"/>
        <v>#NUM!</v>
      </c>
      <c r="D322" s="171" t="e">
        <f t="shared" si="43"/>
        <v>#NUM!</v>
      </c>
      <c r="E322" s="171" t="e">
        <f t="shared" si="44"/>
        <v>#NUM!</v>
      </c>
      <c r="F322" s="171" t="e">
        <f t="shared" si="45"/>
        <v>#NUM!</v>
      </c>
      <c r="G322" s="186">
        <f>IF('prijem_zahranicie - viac-dom'!$I$121=TRUE,IF($C$11&gt;0,0.00025*C321,0),IF('prijem_zahranicie - viac-dom'!$I$122=TRUE,IF('prijem_zahranicie - viac-dom'!$F$122&gt;0,0.00025*C321,0),0))</f>
        <v>0</v>
      </c>
      <c r="L322" s="89">
        <v>306</v>
      </c>
      <c r="M322" s="186" t="e">
        <f t="shared" si="46"/>
        <v>#DIV/0!</v>
      </c>
      <c r="N322" s="171" t="e">
        <f t="shared" si="47"/>
        <v>#DIV/0!</v>
      </c>
      <c r="O322" s="171" t="e">
        <f t="shared" si="40"/>
        <v>#DIV/0!</v>
      </c>
      <c r="P322" s="171" t="e">
        <f t="shared" si="48"/>
        <v>#DIV/0!</v>
      </c>
      <c r="Q322" s="171" t="e">
        <f t="shared" si="49"/>
        <v>#DIV/0!</v>
      </c>
      <c r="R322" s="186">
        <f>IF('prijem_zahranicie - viac-dom'!$I$121=TRUE,IF($C$11&gt;0,0.00025*N321,0),IF('prijem_zahranicie - viac-dom'!$I$122=TRUE,IF('prijem_zahranicie - viac-dom'!$F$122&gt;0,0.00025*N321*-1,0),0))</f>
        <v>0</v>
      </c>
    </row>
    <row r="323" spans="1:18" x14ac:dyDescent="0.2">
      <c r="A323" s="89">
        <v>307</v>
      </c>
      <c r="B323" s="186" t="e">
        <f t="shared" si="41"/>
        <v>#NUM!</v>
      </c>
      <c r="C323" s="171" t="e">
        <f t="shared" si="42"/>
        <v>#NUM!</v>
      </c>
      <c r="D323" s="171" t="e">
        <f t="shared" si="43"/>
        <v>#NUM!</v>
      </c>
      <c r="E323" s="171" t="e">
        <f t="shared" si="44"/>
        <v>#NUM!</v>
      </c>
      <c r="F323" s="171" t="e">
        <f t="shared" si="45"/>
        <v>#NUM!</v>
      </c>
      <c r="G323" s="186">
        <f>IF('prijem_zahranicie - viac-dom'!$I$121=TRUE,IF($C$11&gt;0,0.00025*C322,0),IF('prijem_zahranicie - viac-dom'!$I$122=TRUE,IF('prijem_zahranicie - viac-dom'!$F$122&gt;0,0.00025*C322,0),0))</f>
        <v>0</v>
      </c>
      <c r="L323" s="89">
        <v>307</v>
      </c>
      <c r="M323" s="186" t="e">
        <f t="shared" si="46"/>
        <v>#DIV/0!</v>
      </c>
      <c r="N323" s="171" t="e">
        <f t="shared" si="47"/>
        <v>#DIV/0!</v>
      </c>
      <c r="O323" s="171" t="e">
        <f t="shared" si="40"/>
        <v>#DIV/0!</v>
      </c>
      <c r="P323" s="171" t="e">
        <f t="shared" si="48"/>
        <v>#DIV/0!</v>
      </c>
      <c r="Q323" s="171" t="e">
        <f t="shared" si="49"/>
        <v>#DIV/0!</v>
      </c>
      <c r="R323" s="186">
        <f>IF('prijem_zahranicie - viac-dom'!$I$121=TRUE,IF($C$11&gt;0,0.00025*N322,0),IF('prijem_zahranicie - viac-dom'!$I$122=TRUE,IF('prijem_zahranicie - viac-dom'!$F$122&gt;0,0.00025*N322*-1,0),0))</f>
        <v>0</v>
      </c>
    </row>
    <row r="324" spans="1:18" x14ac:dyDescent="0.2">
      <c r="A324" s="89">
        <v>308</v>
      </c>
      <c r="B324" s="186" t="e">
        <f t="shared" si="41"/>
        <v>#NUM!</v>
      </c>
      <c r="C324" s="171" t="e">
        <f t="shared" si="42"/>
        <v>#NUM!</v>
      </c>
      <c r="D324" s="171" t="e">
        <f t="shared" si="43"/>
        <v>#NUM!</v>
      </c>
      <c r="E324" s="171" t="e">
        <f t="shared" si="44"/>
        <v>#NUM!</v>
      </c>
      <c r="F324" s="171" t="e">
        <f t="shared" si="45"/>
        <v>#NUM!</v>
      </c>
      <c r="G324" s="186">
        <f>IF('prijem_zahranicie - viac-dom'!$I$121=TRUE,IF($C$11&gt;0,0.00025*C323,0),IF('prijem_zahranicie - viac-dom'!$I$122=TRUE,IF('prijem_zahranicie - viac-dom'!$F$122&gt;0,0.00025*C323,0),0))</f>
        <v>0</v>
      </c>
      <c r="L324" s="89">
        <v>308</v>
      </c>
      <c r="M324" s="186" t="e">
        <f t="shared" si="46"/>
        <v>#DIV/0!</v>
      </c>
      <c r="N324" s="171" t="e">
        <f t="shared" si="47"/>
        <v>#DIV/0!</v>
      </c>
      <c r="O324" s="171" t="e">
        <f t="shared" si="40"/>
        <v>#DIV/0!</v>
      </c>
      <c r="P324" s="171" t="e">
        <f t="shared" si="48"/>
        <v>#DIV/0!</v>
      </c>
      <c r="Q324" s="171" t="e">
        <f t="shared" si="49"/>
        <v>#DIV/0!</v>
      </c>
      <c r="R324" s="186">
        <f>IF('prijem_zahranicie - viac-dom'!$I$121=TRUE,IF($C$11&gt;0,0.00025*N323,0),IF('prijem_zahranicie - viac-dom'!$I$122=TRUE,IF('prijem_zahranicie - viac-dom'!$F$122&gt;0,0.00025*N323*-1,0),0))</f>
        <v>0</v>
      </c>
    </row>
    <row r="325" spans="1:18" x14ac:dyDescent="0.2">
      <c r="A325" s="89">
        <v>309</v>
      </c>
      <c r="B325" s="186" t="e">
        <f t="shared" si="41"/>
        <v>#NUM!</v>
      </c>
      <c r="C325" s="171" t="e">
        <f t="shared" si="42"/>
        <v>#NUM!</v>
      </c>
      <c r="D325" s="171" t="e">
        <f t="shared" si="43"/>
        <v>#NUM!</v>
      </c>
      <c r="E325" s="171" t="e">
        <f t="shared" si="44"/>
        <v>#NUM!</v>
      </c>
      <c r="F325" s="171" t="e">
        <f t="shared" si="45"/>
        <v>#NUM!</v>
      </c>
      <c r="G325" s="186">
        <f>IF('prijem_zahranicie - viac-dom'!$I$121=TRUE,IF($C$11&gt;0,0.00025*C324,0),IF('prijem_zahranicie - viac-dom'!$I$122=TRUE,IF('prijem_zahranicie - viac-dom'!$F$122&gt;0,0.00025*C324,0),0))</f>
        <v>0</v>
      </c>
      <c r="L325" s="89">
        <v>309</v>
      </c>
      <c r="M325" s="186" t="e">
        <f t="shared" si="46"/>
        <v>#DIV/0!</v>
      </c>
      <c r="N325" s="171" t="e">
        <f t="shared" si="47"/>
        <v>#DIV/0!</v>
      </c>
      <c r="O325" s="171" t="e">
        <f t="shared" si="40"/>
        <v>#DIV/0!</v>
      </c>
      <c r="P325" s="171" t="e">
        <f t="shared" si="48"/>
        <v>#DIV/0!</v>
      </c>
      <c r="Q325" s="171" t="e">
        <f t="shared" si="49"/>
        <v>#DIV/0!</v>
      </c>
      <c r="R325" s="186">
        <f>IF('prijem_zahranicie - viac-dom'!$I$121=TRUE,IF($C$11&gt;0,0.00025*N324,0),IF('prijem_zahranicie - viac-dom'!$I$122=TRUE,IF('prijem_zahranicie - viac-dom'!$F$122&gt;0,0.00025*N324*-1,0),0))</f>
        <v>0</v>
      </c>
    </row>
    <row r="326" spans="1:18" x14ac:dyDescent="0.2">
      <c r="A326" s="89">
        <v>310</v>
      </c>
      <c r="B326" s="186" t="e">
        <f t="shared" si="41"/>
        <v>#NUM!</v>
      </c>
      <c r="C326" s="171" t="e">
        <f t="shared" si="42"/>
        <v>#NUM!</v>
      </c>
      <c r="D326" s="171" t="e">
        <f t="shared" si="43"/>
        <v>#NUM!</v>
      </c>
      <c r="E326" s="171" t="e">
        <f t="shared" si="44"/>
        <v>#NUM!</v>
      </c>
      <c r="F326" s="171" t="e">
        <f t="shared" si="45"/>
        <v>#NUM!</v>
      </c>
      <c r="G326" s="186">
        <f>IF('prijem_zahranicie - viac-dom'!$I$121=TRUE,IF($C$11&gt;0,0.00025*C325,0),IF('prijem_zahranicie - viac-dom'!$I$122=TRUE,IF('prijem_zahranicie - viac-dom'!$F$122&gt;0,0.00025*C325,0),0))</f>
        <v>0</v>
      </c>
      <c r="L326" s="89">
        <v>310</v>
      </c>
      <c r="M326" s="186" t="e">
        <f t="shared" si="46"/>
        <v>#DIV/0!</v>
      </c>
      <c r="N326" s="171" t="e">
        <f t="shared" si="47"/>
        <v>#DIV/0!</v>
      </c>
      <c r="O326" s="171" t="e">
        <f t="shared" si="40"/>
        <v>#DIV/0!</v>
      </c>
      <c r="P326" s="171" t="e">
        <f t="shared" si="48"/>
        <v>#DIV/0!</v>
      </c>
      <c r="Q326" s="171" t="e">
        <f t="shared" si="49"/>
        <v>#DIV/0!</v>
      </c>
      <c r="R326" s="186">
        <f>IF('prijem_zahranicie - viac-dom'!$I$121=TRUE,IF($C$11&gt;0,0.00025*N325,0),IF('prijem_zahranicie - viac-dom'!$I$122=TRUE,IF('prijem_zahranicie - viac-dom'!$F$122&gt;0,0.00025*N325*-1,0),0))</f>
        <v>0</v>
      </c>
    </row>
    <row r="327" spans="1:18" x14ac:dyDescent="0.2">
      <c r="A327" s="89">
        <v>311</v>
      </c>
      <c r="B327" s="186" t="e">
        <f t="shared" si="41"/>
        <v>#NUM!</v>
      </c>
      <c r="C327" s="171" t="e">
        <f t="shared" si="42"/>
        <v>#NUM!</v>
      </c>
      <c r="D327" s="171" t="e">
        <f t="shared" si="43"/>
        <v>#NUM!</v>
      </c>
      <c r="E327" s="171" t="e">
        <f t="shared" si="44"/>
        <v>#NUM!</v>
      </c>
      <c r="F327" s="171" t="e">
        <f t="shared" si="45"/>
        <v>#NUM!</v>
      </c>
      <c r="G327" s="186">
        <f>IF('prijem_zahranicie - viac-dom'!$I$121=TRUE,IF($C$11&gt;0,0.00025*C326,0),IF('prijem_zahranicie - viac-dom'!$I$122=TRUE,IF('prijem_zahranicie - viac-dom'!$F$122&gt;0,0.00025*C326,0),0))</f>
        <v>0</v>
      </c>
      <c r="L327" s="89">
        <v>311</v>
      </c>
      <c r="M327" s="186" t="e">
        <f t="shared" si="46"/>
        <v>#DIV/0!</v>
      </c>
      <c r="N327" s="171" t="e">
        <f t="shared" si="47"/>
        <v>#DIV/0!</v>
      </c>
      <c r="O327" s="171" t="e">
        <f t="shared" si="40"/>
        <v>#DIV/0!</v>
      </c>
      <c r="P327" s="171" t="e">
        <f t="shared" si="48"/>
        <v>#DIV/0!</v>
      </c>
      <c r="Q327" s="171" t="e">
        <f t="shared" si="49"/>
        <v>#DIV/0!</v>
      </c>
      <c r="R327" s="186">
        <f>IF('prijem_zahranicie - viac-dom'!$I$121=TRUE,IF($C$11&gt;0,0.00025*N326,0),IF('prijem_zahranicie - viac-dom'!$I$122=TRUE,IF('prijem_zahranicie - viac-dom'!$F$122&gt;0,0.00025*N326*-1,0),0))</f>
        <v>0</v>
      </c>
    </row>
    <row r="328" spans="1:18" x14ac:dyDescent="0.2">
      <c r="A328" s="89">
        <v>312</v>
      </c>
      <c r="B328" s="186" t="e">
        <f t="shared" si="41"/>
        <v>#NUM!</v>
      </c>
      <c r="C328" s="171" t="e">
        <f t="shared" si="42"/>
        <v>#NUM!</v>
      </c>
      <c r="D328" s="171" t="e">
        <f t="shared" si="43"/>
        <v>#NUM!</v>
      </c>
      <c r="E328" s="171" t="e">
        <f t="shared" si="44"/>
        <v>#NUM!</v>
      </c>
      <c r="F328" s="171" t="e">
        <f t="shared" si="45"/>
        <v>#NUM!</v>
      </c>
      <c r="G328" s="186">
        <f>IF('prijem_zahranicie - viac-dom'!$I$121=TRUE,IF($C$11&gt;0,0.00025*C327,0),IF('prijem_zahranicie - viac-dom'!$I$122=TRUE,IF('prijem_zahranicie - viac-dom'!$F$122&gt;0,0.00025*C327,0),0))</f>
        <v>0</v>
      </c>
      <c r="L328" s="89">
        <v>312</v>
      </c>
      <c r="M328" s="186" t="e">
        <f t="shared" si="46"/>
        <v>#DIV/0!</v>
      </c>
      <c r="N328" s="171" t="e">
        <f t="shared" si="47"/>
        <v>#DIV/0!</v>
      </c>
      <c r="O328" s="171" t="e">
        <f t="shared" si="40"/>
        <v>#DIV/0!</v>
      </c>
      <c r="P328" s="171" t="e">
        <f t="shared" si="48"/>
        <v>#DIV/0!</v>
      </c>
      <c r="Q328" s="171" t="e">
        <f t="shared" si="49"/>
        <v>#DIV/0!</v>
      </c>
      <c r="R328" s="186">
        <f>IF('prijem_zahranicie - viac-dom'!$I$121=TRUE,IF($C$11&gt;0,0.00025*N327,0),IF('prijem_zahranicie - viac-dom'!$I$122=TRUE,IF('prijem_zahranicie - viac-dom'!$F$122&gt;0,0.00025*N327*-1,0),0))</f>
        <v>0</v>
      </c>
    </row>
    <row r="329" spans="1:18" x14ac:dyDescent="0.2">
      <c r="A329" s="89">
        <v>313</v>
      </c>
      <c r="B329" s="186" t="e">
        <f t="shared" si="41"/>
        <v>#NUM!</v>
      </c>
      <c r="C329" s="171" t="e">
        <f t="shared" si="42"/>
        <v>#NUM!</v>
      </c>
      <c r="D329" s="171" t="e">
        <f t="shared" si="43"/>
        <v>#NUM!</v>
      </c>
      <c r="E329" s="171" t="e">
        <f t="shared" si="44"/>
        <v>#NUM!</v>
      </c>
      <c r="F329" s="171" t="e">
        <f t="shared" si="45"/>
        <v>#NUM!</v>
      </c>
      <c r="G329" s="186">
        <f>IF('prijem_zahranicie - viac-dom'!$I$121=TRUE,IF($C$11&gt;0,0.00025*C328,0),IF('prijem_zahranicie - viac-dom'!$I$122=TRUE,IF('prijem_zahranicie - viac-dom'!$F$122&gt;0,0.00025*C328,0),0))</f>
        <v>0</v>
      </c>
      <c r="L329" s="89">
        <v>313</v>
      </c>
      <c r="M329" s="186" t="e">
        <f t="shared" si="46"/>
        <v>#DIV/0!</v>
      </c>
      <c r="N329" s="171" t="e">
        <f t="shared" si="47"/>
        <v>#DIV/0!</v>
      </c>
      <c r="O329" s="171" t="e">
        <f t="shared" si="40"/>
        <v>#DIV/0!</v>
      </c>
      <c r="P329" s="171" t="e">
        <f t="shared" si="48"/>
        <v>#DIV/0!</v>
      </c>
      <c r="Q329" s="171" t="e">
        <f t="shared" si="49"/>
        <v>#DIV/0!</v>
      </c>
      <c r="R329" s="186">
        <f>IF('prijem_zahranicie - viac-dom'!$I$121=TRUE,IF($C$11&gt;0,0.00025*N328,0),IF('prijem_zahranicie - viac-dom'!$I$122=TRUE,IF('prijem_zahranicie - viac-dom'!$F$122&gt;0,0.00025*N328*-1,0),0))</f>
        <v>0</v>
      </c>
    </row>
    <row r="330" spans="1:18" x14ac:dyDescent="0.2">
      <c r="A330" s="89">
        <v>314</v>
      </c>
      <c r="B330" s="186" t="e">
        <f t="shared" si="41"/>
        <v>#NUM!</v>
      </c>
      <c r="C330" s="171" t="e">
        <f t="shared" si="42"/>
        <v>#NUM!</v>
      </c>
      <c r="D330" s="171" t="e">
        <f t="shared" si="43"/>
        <v>#NUM!</v>
      </c>
      <c r="E330" s="171" t="e">
        <f t="shared" si="44"/>
        <v>#NUM!</v>
      </c>
      <c r="F330" s="171" t="e">
        <f t="shared" si="45"/>
        <v>#NUM!</v>
      </c>
      <c r="G330" s="186">
        <f>IF('prijem_zahranicie - viac-dom'!$I$121=TRUE,IF($C$11&gt;0,0.00025*C329,0),IF('prijem_zahranicie - viac-dom'!$I$122=TRUE,IF('prijem_zahranicie - viac-dom'!$F$122&gt;0,0.00025*C329,0),0))</f>
        <v>0</v>
      </c>
      <c r="L330" s="89">
        <v>314</v>
      </c>
      <c r="M330" s="186" t="e">
        <f t="shared" si="46"/>
        <v>#DIV/0!</v>
      </c>
      <c r="N330" s="171" t="e">
        <f t="shared" si="47"/>
        <v>#DIV/0!</v>
      </c>
      <c r="O330" s="171" t="e">
        <f t="shared" si="40"/>
        <v>#DIV/0!</v>
      </c>
      <c r="P330" s="171" t="e">
        <f t="shared" si="48"/>
        <v>#DIV/0!</v>
      </c>
      <c r="Q330" s="171" t="e">
        <f t="shared" si="49"/>
        <v>#DIV/0!</v>
      </c>
      <c r="R330" s="186">
        <f>IF('prijem_zahranicie - viac-dom'!$I$121=TRUE,IF($C$11&gt;0,0.00025*N329,0),IF('prijem_zahranicie - viac-dom'!$I$122=TRUE,IF('prijem_zahranicie - viac-dom'!$F$122&gt;0,0.00025*N329*-1,0),0))</f>
        <v>0</v>
      </c>
    </row>
    <row r="331" spans="1:18" x14ac:dyDescent="0.2">
      <c r="A331" s="89">
        <v>315</v>
      </c>
      <c r="B331" s="186" t="e">
        <f t="shared" si="41"/>
        <v>#NUM!</v>
      </c>
      <c r="C331" s="171" t="e">
        <f t="shared" si="42"/>
        <v>#NUM!</v>
      </c>
      <c r="D331" s="171" t="e">
        <f t="shared" si="43"/>
        <v>#NUM!</v>
      </c>
      <c r="E331" s="171" t="e">
        <f t="shared" si="44"/>
        <v>#NUM!</v>
      </c>
      <c r="F331" s="171" t="e">
        <f t="shared" si="45"/>
        <v>#NUM!</v>
      </c>
      <c r="G331" s="186">
        <f>IF('prijem_zahranicie - viac-dom'!$I$121=TRUE,IF($C$11&gt;0,0.00025*C330,0),IF('prijem_zahranicie - viac-dom'!$I$122=TRUE,IF('prijem_zahranicie - viac-dom'!$F$122&gt;0,0.00025*C330,0),0))</f>
        <v>0</v>
      </c>
      <c r="L331" s="89">
        <v>315</v>
      </c>
      <c r="M331" s="186" t="e">
        <f t="shared" si="46"/>
        <v>#DIV/0!</v>
      </c>
      <c r="N331" s="171" t="e">
        <f t="shared" si="47"/>
        <v>#DIV/0!</v>
      </c>
      <c r="O331" s="171" t="e">
        <f t="shared" si="40"/>
        <v>#DIV/0!</v>
      </c>
      <c r="P331" s="171" t="e">
        <f t="shared" si="48"/>
        <v>#DIV/0!</v>
      </c>
      <c r="Q331" s="171" t="e">
        <f t="shared" si="49"/>
        <v>#DIV/0!</v>
      </c>
      <c r="R331" s="186">
        <f>IF('prijem_zahranicie - viac-dom'!$I$121=TRUE,IF($C$11&gt;0,0.00025*N330,0),IF('prijem_zahranicie - viac-dom'!$I$122=TRUE,IF('prijem_zahranicie - viac-dom'!$F$122&gt;0,0.00025*N330*-1,0),0))</f>
        <v>0</v>
      </c>
    </row>
    <row r="332" spans="1:18" x14ac:dyDescent="0.2">
      <c r="A332" s="89">
        <v>316</v>
      </c>
      <c r="B332" s="186" t="e">
        <f t="shared" si="41"/>
        <v>#NUM!</v>
      </c>
      <c r="C332" s="171" t="e">
        <f t="shared" si="42"/>
        <v>#NUM!</v>
      </c>
      <c r="D332" s="171" t="e">
        <f t="shared" si="43"/>
        <v>#NUM!</v>
      </c>
      <c r="E332" s="171" t="e">
        <f t="shared" si="44"/>
        <v>#NUM!</v>
      </c>
      <c r="F332" s="171" t="e">
        <f t="shared" si="45"/>
        <v>#NUM!</v>
      </c>
      <c r="G332" s="186">
        <f>IF('prijem_zahranicie - viac-dom'!$I$121=TRUE,IF($C$11&gt;0,0.00025*C331,0),IF('prijem_zahranicie - viac-dom'!$I$122=TRUE,IF('prijem_zahranicie - viac-dom'!$F$122&gt;0,0.00025*C331,0),0))</f>
        <v>0</v>
      </c>
      <c r="L332" s="89">
        <v>316</v>
      </c>
      <c r="M332" s="186" t="e">
        <f t="shared" si="46"/>
        <v>#DIV/0!</v>
      </c>
      <c r="N332" s="171" t="e">
        <f t="shared" si="47"/>
        <v>#DIV/0!</v>
      </c>
      <c r="O332" s="171" t="e">
        <f t="shared" si="40"/>
        <v>#DIV/0!</v>
      </c>
      <c r="P332" s="171" t="e">
        <f t="shared" si="48"/>
        <v>#DIV/0!</v>
      </c>
      <c r="Q332" s="171" t="e">
        <f t="shared" si="49"/>
        <v>#DIV/0!</v>
      </c>
      <c r="R332" s="186">
        <f>IF('prijem_zahranicie - viac-dom'!$I$121=TRUE,IF($C$11&gt;0,0.00025*N331,0),IF('prijem_zahranicie - viac-dom'!$I$122=TRUE,IF('prijem_zahranicie - viac-dom'!$F$122&gt;0,0.00025*N331*-1,0),0))</f>
        <v>0</v>
      </c>
    </row>
    <row r="333" spans="1:18" x14ac:dyDescent="0.2">
      <c r="A333" s="89">
        <v>317</v>
      </c>
      <c r="B333" s="186" t="e">
        <f t="shared" si="41"/>
        <v>#NUM!</v>
      </c>
      <c r="C333" s="171" t="e">
        <f t="shared" si="42"/>
        <v>#NUM!</v>
      </c>
      <c r="D333" s="171" t="e">
        <f t="shared" si="43"/>
        <v>#NUM!</v>
      </c>
      <c r="E333" s="171" t="e">
        <f t="shared" si="44"/>
        <v>#NUM!</v>
      </c>
      <c r="F333" s="171" t="e">
        <f t="shared" si="45"/>
        <v>#NUM!</v>
      </c>
      <c r="G333" s="186">
        <f>IF('prijem_zahranicie - viac-dom'!$I$121=TRUE,IF($C$11&gt;0,0.00025*C332,0),IF('prijem_zahranicie - viac-dom'!$I$122=TRUE,IF('prijem_zahranicie - viac-dom'!$F$122&gt;0,0.00025*C332,0),0))</f>
        <v>0</v>
      </c>
      <c r="L333" s="89">
        <v>317</v>
      </c>
      <c r="M333" s="186" t="e">
        <f t="shared" si="46"/>
        <v>#DIV/0!</v>
      </c>
      <c r="N333" s="171" t="e">
        <f t="shared" si="47"/>
        <v>#DIV/0!</v>
      </c>
      <c r="O333" s="171" t="e">
        <f t="shared" si="40"/>
        <v>#DIV/0!</v>
      </c>
      <c r="P333" s="171" t="e">
        <f t="shared" si="48"/>
        <v>#DIV/0!</v>
      </c>
      <c r="Q333" s="171" t="e">
        <f t="shared" si="49"/>
        <v>#DIV/0!</v>
      </c>
      <c r="R333" s="186">
        <f>IF('prijem_zahranicie - viac-dom'!$I$121=TRUE,IF($C$11&gt;0,0.00025*N332,0),IF('prijem_zahranicie - viac-dom'!$I$122=TRUE,IF('prijem_zahranicie - viac-dom'!$F$122&gt;0,0.00025*N332*-1,0),0))</f>
        <v>0</v>
      </c>
    </row>
    <row r="334" spans="1:18" x14ac:dyDescent="0.2">
      <c r="A334" s="89">
        <v>318</v>
      </c>
      <c r="B334" s="186" t="e">
        <f t="shared" si="41"/>
        <v>#NUM!</v>
      </c>
      <c r="C334" s="171" t="e">
        <f t="shared" si="42"/>
        <v>#NUM!</v>
      </c>
      <c r="D334" s="171" t="e">
        <f t="shared" si="43"/>
        <v>#NUM!</v>
      </c>
      <c r="E334" s="171" t="e">
        <f t="shared" si="44"/>
        <v>#NUM!</v>
      </c>
      <c r="F334" s="171" t="e">
        <f t="shared" si="45"/>
        <v>#NUM!</v>
      </c>
      <c r="G334" s="186">
        <f>IF('prijem_zahranicie - viac-dom'!$I$121=TRUE,IF($C$11&gt;0,0.00025*C333,0),IF('prijem_zahranicie - viac-dom'!$I$122=TRUE,IF('prijem_zahranicie - viac-dom'!$F$122&gt;0,0.00025*C333,0),0))</f>
        <v>0</v>
      </c>
      <c r="L334" s="89">
        <v>318</v>
      </c>
      <c r="M334" s="186" t="e">
        <f t="shared" si="46"/>
        <v>#DIV/0!</v>
      </c>
      <c r="N334" s="171" t="e">
        <f t="shared" si="47"/>
        <v>#DIV/0!</v>
      </c>
      <c r="O334" s="171" t="e">
        <f t="shared" si="40"/>
        <v>#DIV/0!</v>
      </c>
      <c r="P334" s="171" t="e">
        <f t="shared" si="48"/>
        <v>#DIV/0!</v>
      </c>
      <c r="Q334" s="171" t="e">
        <f t="shared" si="49"/>
        <v>#DIV/0!</v>
      </c>
      <c r="R334" s="186">
        <f>IF('prijem_zahranicie - viac-dom'!$I$121=TRUE,IF($C$11&gt;0,0.00025*N333,0),IF('prijem_zahranicie - viac-dom'!$I$122=TRUE,IF('prijem_zahranicie - viac-dom'!$F$122&gt;0,0.00025*N333*-1,0),0))</f>
        <v>0</v>
      </c>
    </row>
    <row r="335" spans="1:18" x14ac:dyDescent="0.2">
      <c r="A335" s="89">
        <v>319</v>
      </c>
      <c r="B335" s="186" t="e">
        <f t="shared" si="41"/>
        <v>#NUM!</v>
      </c>
      <c r="C335" s="171" t="e">
        <f t="shared" si="42"/>
        <v>#NUM!</v>
      </c>
      <c r="D335" s="171" t="e">
        <f t="shared" si="43"/>
        <v>#NUM!</v>
      </c>
      <c r="E335" s="171" t="e">
        <f t="shared" si="44"/>
        <v>#NUM!</v>
      </c>
      <c r="F335" s="171" t="e">
        <f t="shared" si="45"/>
        <v>#NUM!</v>
      </c>
      <c r="G335" s="186">
        <f>IF('prijem_zahranicie - viac-dom'!$I$121=TRUE,IF($C$11&gt;0,0.00025*C334,0),IF('prijem_zahranicie - viac-dom'!$I$122=TRUE,IF('prijem_zahranicie - viac-dom'!$F$122&gt;0,0.00025*C334,0),0))</f>
        <v>0</v>
      </c>
      <c r="L335" s="89">
        <v>319</v>
      </c>
      <c r="M335" s="186" t="e">
        <f t="shared" si="46"/>
        <v>#DIV/0!</v>
      </c>
      <c r="N335" s="171" t="e">
        <f t="shared" si="47"/>
        <v>#DIV/0!</v>
      </c>
      <c r="O335" s="171" t="e">
        <f t="shared" si="40"/>
        <v>#DIV/0!</v>
      </c>
      <c r="P335" s="171" t="e">
        <f t="shared" si="48"/>
        <v>#DIV/0!</v>
      </c>
      <c r="Q335" s="171" t="e">
        <f t="shared" si="49"/>
        <v>#DIV/0!</v>
      </c>
      <c r="R335" s="186">
        <f>IF('prijem_zahranicie - viac-dom'!$I$121=TRUE,IF($C$11&gt;0,0.00025*N334,0),IF('prijem_zahranicie - viac-dom'!$I$122=TRUE,IF('prijem_zahranicie - viac-dom'!$F$122&gt;0,0.00025*N334*-1,0),0))</f>
        <v>0</v>
      </c>
    </row>
    <row r="336" spans="1:18" x14ac:dyDescent="0.2">
      <c r="A336" s="89">
        <v>320</v>
      </c>
      <c r="B336" s="186" t="e">
        <f t="shared" si="41"/>
        <v>#NUM!</v>
      </c>
      <c r="C336" s="171" t="e">
        <f t="shared" si="42"/>
        <v>#NUM!</v>
      </c>
      <c r="D336" s="171" t="e">
        <f t="shared" si="43"/>
        <v>#NUM!</v>
      </c>
      <c r="E336" s="171" t="e">
        <f t="shared" si="44"/>
        <v>#NUM!</v>
      </c>
      <c r="F336" s="171" t="e">
        <f t="shared" si="45"/>
        <v>#NUM!</v>
      </c>
      <c r="G336" s="186">
        <f>IF('prijem_zahranicie - viac-dom'!$I$121=TRUE,IF($C$11&gt;0,0.00025*C335,0),IF('prijem_zahranicie - viac-dom'!$I$122=TRUE,IF('prijem_zahranicie - viac-dom'!$F$122&gt;0,0.00025*C335,0),0))</f>
        <v>0</v>
      </c>
      <c r="L336" s="89">
        <v>320</v>
      </c>
      <c r="M336" s="186" t="e">
        <f t="shared" si="46"/>
        <v>#DIV/0!</v>
      </c>
      <c r="N336" s="171" t="e">
        <f t="shared" si="47"/>
        <v>#DIV/0!</v>
      </c>
      <c r="O336" s="171" t="e">
        <f t="shared" si="40"/>
        <v>#DIV/0!</v>
      </c>
      <c r="P336" s="171" t="e">
        <f t="shared" si="48"/>
        <v>#DIV/0!</v>
      </c>
      <c r="Q336" s="171" t="e">
        <f t="shared" si="49"/>
        <v>#DIV/0!</v>
      </c>
      <c r="R336" s="186">
        <f>IF('prijem_zahranicie - viac-dom'!$I$121=TRUE,IF($C$11&gt;0,0.00025*N335,0),IF('prijem_zahranicie - viac-dom'!$I$122=TRUE,IF('prijem_zahranicie - viac-dom'!$F$122&gt;0,0.00025*N335*-1,0),0))</f>
        <v>0</v>
      </c>
    </row>
    <row r="337" spans="1:18" x14ac:dyDescent="0.2">
      <c r="A337" s="89">
        <v>321</v>
      </c>
      <c r="B337" s="186" t="e">
        <f t="shared" si="41"/>
        <v>#NUM!</v>
      </c>
      <c r="C337" s="171" t="e">
        <f t="shared" si="42"/>
        <v>#NUM!</v>
      </c>
      <c r="D337" s="171" t="e">
        <f t="shared" si="43"/>
        <v>#NUM!</v>
      </c>
      <c r="E337" s="171" t="e">
        <f t="shared" si="44"/>
        <v>#NUM!</v>
      </c>
      <c r="F337" s="171" t="e">
        <f t="shared" si="45"/>
        <v>#NUM!</v>
      </c>
      <c r="G337" s="186">
        <f>IF('prijem_zahranicie - viac-dom'!$I$121=TRUE,IF($C$11&gt;0,0.00025*C336,0),IF('prijem_zahranicie - viac-dom'!$I$122=TRUE,IF('prijem_zahranicie - viac-dom'!$F$122&gt;0,0.00025*C336,0),0))</f>
        <v>0</v>
      </c>
      <c r="L337" s="89">
        <v>321</v>
      </c>
      <c r="M337" s="186" t="e">
        <f t="shared" si="46"/>
        <v>#DIV/0!</v>
      </c>
      <c r="N337" s="171" t="e">
        <f t="shared" si="47"/>
        <v>#DIV/0!</v>
      </c>
      <c r="O337" s="171" t="e">
        <f t="shared" ref="O337:O400" si="50">$N$16/$N$5</f>
        <v>#DIV/0!</v>
      </c>
      <c r="P337" s="171" t="e">
        <f t="shared" si="48"/>
        <v>#DIV/0!</v>
      </c>
      <c r="Q337" s="171" t="e">
        <f t="shared" si="49"/>
        <v>#DIV/0!</v>
      </c>
      <c r="R337" s="186">
        <f>IF('prijem_zahranicie - viac-dom'!$I$121=TRUE,IF($C$11&gt;0,0.00025*N336,0),IF('prijem_zahranicie - viac-dom'!$I$122=TRUE,IF('prijem_zahranicie - viac-dom'!$F$122&gt;0,0.00025*N336*-1,0),0))</f>
        <v>0</v>
      </c>
    </row>
    <row r="338" spans="1:18" x14ac:dyDescent="0.2">
      <c r="A338" s="89">
        <v>322</v>
      </c>
      <c r="B338" s="186" t="e">
        <f t="shared" ref="B338:B401" si="51">IF(C337&gt;0.00001,F338-G338,0)</f>
        <v>#NUM!</v>
      </c>
      <c r="C338" s="171" t="e">
        <f t="shared" ref="C338:C401" si="52">MAX(C337-D338,0)</f>
        <v>#NUM!</v>
      </c>
      <c r="D338" s="171" t="e">
        <f t="shared" ref="D338:D401" si="53">(F338-E338)*-1</f>
        <v>#NUM!</v>
      </c>
      <c r="E338" s="171" t="e">
        <f t="shared" ref="E338:E401" si="54">IPMT($C$4/12,1,$C$5,C337)</f>
        <v>#NUM!</v>
      </c>
      <c r="F338" s="171" t="e">
        <f t="shared" ref="F338:F401" si="55">PMT($C$4/12,$C$5,$C$3)</f>
        <v>#NUM!</v>
      </c>
      <c r="G338" s="186">
        <f>IF('prijem_zahranicie - viac-dom'!$I$121=TRUE,IF($C$11&gt;0,0.00025*C337,0),IF('prijem_zahranicie - viac-dom'!$I$122=TRUE,IF('prijem_zahranicie - viac-dom'!$F$122&gt;0,0.00025*C337,0),0))</f>
        <v>0</v>
      </c>
      <c r="L338" s="89">
        <v>322</v>
      </c>
      <c r="M338" s="186" t="e">
        <f t="shared" ref="M338:M401" si="56">IF(N337&gt;0.00001,Q338-R338,0)*-1</f>
        <v>#DIV/0!</v>
      </c>
      <c r="N338" s="171" t="e">
        <f t="shared" ref="N338:N401" si="57">MAX(N337-O338,0)</f>
        <v>#DIV/0!</v>
      </c>
      <c r="O338" s="171" t="e">
        <f t="shared" si="50"/>
        <v>#DIV/0!</v>
      </c>
      <c r="P338" s="171" t="e">
        <f t="shared" ref="P338:P401" si="58">N337*$N$4/12</f>
        <v>#DIV/0!</v>
      </c>
      <c r="Q338" s="171" t="e">
        <f t="shared" ref="Q338:Q401" si="59">P338+O338</f>
        <v>#DIV/0!</v>
      </c>
      <c r="R338" s="186">
        <f>IF('prijem_zahranicie - viac-dom'!$I$121=TRUE,IF($C$11&gt;0,0.00025*N337,0),IF('prijem_zahranicie - viac-dom'!$I$122=TRUE,IF('prijem_zahranicie - viac-dom'!$F$122&gt;0,0.00025*N337*-1,0),0))</f>
        <v>0</v>
      </c>
    </row>
    <row r="339" spans="1:18" x14ac:dyDescent="0.2">
      <c r="A339" s="89">
        <v>323</v>
      </c>
      <c r="B339" s="186" t="e">
        <f t="shared" si="51"/>
        <v>#NUM!</v>
      </c>
      <c r="C339" s="171" t="e">
        <f t="shared" si="52"/>
        <v>#NUM!</v>
      </c>
      <c r="D339" s="171" t="e">
        <f t="shared" si="53"/>
        <v>#NUM!</v>
      </c>
      <c r="E339" s="171" t="e">
        <f t="shared" si="54"/>
        <v>#NUM!</v>
      </c>
      <c r="F339" s="171" t="e">
        <f t="shared" si="55"/>
        <v>#NUM!</v>
      </c>
      <c r="G339" s="186">
        <f>IF('prijem_zahranicie - viac-dom'!$I$121=TRUE,IF($C$11&gt;0,0.00025*C338,0),IF('prijem_zahranicie - viac-dom'!$I$122=TRUE,IF('prijem_zahranicie - viac-dom'!$F$122&gt;0,0.00025*C338,0),0))</f>
        <v>0</v>
      </c>
      <c r="L339" s="89">
        <v>323</v>
      </c>
      <c r="M339" s="186" t="e">
        <f t="shared" si="56"/>
        <v>#DIV/0!</v>
      </c>
      <c r="N339" s="171" t="e">
        <f t="shared" si="57"/>
        <v>#DIV/0!</v>
      </c>
      <c r="O339" s="171" t="e">
        <f t="shared" si="50"/>
        <v>#DIV/0!</v>
      </c>
      <c r="P339" s="171" t="e">
        <f t="shared" si="58"/>
        <v>#DIV/0!</v>
      </c>
      <c r="Q339" s="171" t="e">
        <f t="shared" si="59"/>
        <v>#DIV/0!</v>
      </c>
      <c r="R339" s="186">
        <f>IF('prijem_zahranicie - viac-dom'!$I$121=TRUE,IF($C$11&gt;0,0.00025*N338,0),IF('prijem_zahranicie - viac-dom'!$I$122=TRUE,IF('prijem_zahranicie - viac-dom'!$F$122&gt;0,0.00025*N338*-1,0),0))</f>
        <v>0</v>
      </c>
    </row>
    <row r="340" spans="1:18" x14ac:dyDescent="0.2">
      <c r="A340" s="89">
        <v>324</v>
      </c>
      <c r="B340" s="186" t="e">
        <f t="shared" si="51"/>
        <v>#NUM!</v>
      </c>
      <c r="C340" s="171" t="e">
        <f t="shared" si="52"/>
        <v>#NUM!</v>
      </c>
      <c r="D340" s="171" t="e">
        <f t="shared" si="53"/>
        <v>#NUM!</v>
      </c>
      <c r="E340" s="171" t="e">
        <f t="shared" si="54"/>
        <v>#NUM!</v>
      </c>
      <c r="F340" s="171" t="e">
        <f t="shared" si="55"/>
        <v>#NUM!</v>
      </c>
      <c r="G340" s="186">
        <f>IF('prijem_zahranicie - viac-dom'!$I$121=TRUE,IF($C$11&gt;0,0.00025*C339,0),IF('prijem_zahranicie - viac-dom'!$I$122=TRUE,IF('prijem_zahranicie - viac-dom'!$F$122&gt;0,0.00025*C339,0),0))</f>
        <v>0</v>
      </c>
      <c r="L340" s="89">
        <v>324</v>
      </c>
      <c r="M340" s="186" t="e">
        <f t="shared" si="56"/>
        <v>#DIV/0!</v>
      </c>
      <c r="N340" s="171" t="e">
        <f t="shared" si="57"/>
        <v>#DIV/0!</v>
      </c>
      <c r="O340" s="171" t="e">
        <f t="shared" si="50"/>
        <v>#DIV/0!</v>
      </c>
      <c r="P340" s="171" t="e">
        <f t="shared" si="58"/>
        <v>#DIV/0!</v>
      </c>
      <c r="Q340" s="171" t="e">
        <f t="shared" si="59"/>
        <v>#DIV/0!</v>
      </c>
      <c r="R340" s="186">
        <f>IF('prijem_zahranicie - viac-dom'!$I$121=TRUE,IF($C$11&gt;0,0.00025*N339,0),IF('prijem_zahranicie - viac-dom'!$I$122=TRUE,IF('prijem_zahranicie - viac-dom'!$F$122&gt;0,0.00025*N339*-1,0),0))</f>
        <v>0</v>
      </c>
    </row>
    <row r="341" spans="1:18" x14ac:dyDescent="0.2">
      <c r="A341" s="89">
        <v>325</v>
      </c>
      <c r="B341" s="186" t="e">
        <f t="shared" si="51"/>
        <v>#NUM!</v>
      </c>
      <c r="C341" s="171" t="e">
        <f t="shared" si="52"/>
        <v>#NUM!</v>
      </c>
      <c r="D341" s="171" t="e">
        <f t="shared" si="53"/>
        <v>#NUM!</v>
      </c>
      <c r="E341" s="171" t="e">
        <f t="shared" si="54"/>
        <v>#NUM!</v>
      </c>
      <c r="F341" s="171" t="e">
        <f t="shared" si="55"/>
        <v>#NUM!</v>
      </c>
      <c r="G341" s="186">
        <f>IF('prijem_zahranicie - viac-dom'!$I$121=TRUE,IF($C$11&gt;0,0.00025*C340,0),IF('prijem_zahranicie - viac-dom'!$I$122=TRUE,IF('prijem_zahranicie - viac-dom'!$F$122&gt;0,0.00025*C340,0),0))</f>
        <v>0</v>
      </c>
      <c r="L341" s="89">
        <v>325</v>
      </c>
      <c r="M341" s="186" t="e">
        <f t="shared" si="56"/>
        <v>#DIV/0!</v>
      </c>
      <c r="N341" s="171" t="e">
        <f t="shared" si="57"/>
        <v>#DIV/0!</v>
      </c>
      <c r="O341" s="171" t="e">
        <f t="shared" si="50"/>
        <v>#DIV/0!</v>
      </c>
      <c r="P341" s="171" t="e">
        <f t="shared" si="58"/>
        <v>#DIV/0!</v>
      </c>
      <c r="Q341" s="171" t="e">
        <f t="shared" si="59"/>
        <v>#DIV/0!</v>
      </c>
      <c r="R341" s="186">
        <f>IF('prijem_zahranicie - viac-dom'!$I$121=TRUE,IF($C$11&gt;0,0.00025*N340,0),IF('prijem_zahranicie - viac-dom'!$I$122=TRUE,IF('prijem_zahranicie - viac-dom'!$F$122&gt;0,0.00025*N340*-1,0),0))</f>
        <v>0</v>
      </c>
    </row>
    <row r="342" spans="1:18" x14ac:dyDescent="0.2">
      <c r="A342" s="89">
        <v>326</v>
      </c>
      <c r="B342" s="186" t="e">
        <f t="shared" si="51"/>
        <v>#NUM!</v>
      </c>
      <c r="C342" s="171" t="e">
        <f t="shared" si="52"/>
        <v>#NUM!</v>
      </c>
      <c r="D342" s="171" t="e">
        <f t="shared" si="53"/>
        <v>#NUM!</v>
      </c>
      <c r="E342" s="171" t="e">
        <f t="shared" si="54"/>
        <v>#NUM!</v>
      </c>
      <c r="F342" s="171" t="e">
        <f t="shared" si="55"/>
        <v>#NUM!</v>
      </c>
      <c r="G342" s="186">
        <f>IF('prijem_zahranicie - viac-dom'!$I$121=TRUE,IF($C$11&gt;0,0.00025*C341,0),IF('prijem_zahranicie - viac-dom'!$I$122=TRUE,IF('prijem_zahranicie - viac-dom'!$F$122&gt;0,0.00025*C341,0),0))</f>
        <v>0</v>
      </c>
      <c r="L342" s="89">
        <v>326</v>
      </c>
      <c r="M342" s="186" t="e">
        <f t="shared" si="56"/>
        <v>#DIV/0!</v>
      </c>
      <c r="N342" s="171" t="e">
        <f t="shared" si="57"/>
        <v>#DIV/0!</v>
      </c>
      <c r="O342" s="171" t="e">
        <f t="shared" si="50"/>
        <v>#DIV/0!</v>
      </c>
      <c r="P342" s="171" t="e">
        <f t="shared" si="58"/>
        <v>#DIV/0!</v>
      </c>
      <c r="Q342" s="171" t="e">
        <f t="shared" si="59"/>
        <v>#DIV/0!</v>
      </c>
      <c r="R342" s="186">
        <f>IF('prijem_zahranicie - viac-dom'!$I$121=TRUE,IF($C$11&gt;0,0.00025*N341,0),IF('prijem_zahranicie - viac-dom'!$I$122=TRUE,IF('prijem_zahranicie - viac-dom'!$F$122&gt;0,0.00025*N341*-1,0),0))</f>
        <v>0</v>
      </c>
    </row>
    <row r="343" spans="1:18" x14ac:dyDescent="0.2">
      <c r="A343" s="89">
        <v>327</v>
      </c>
      <c r="B343" s="186" t="e">
        <f t="shared" si="51"/>
        <v>#NUM!</v>
      </c>
      <c r="C343" s="171" t="e">
        <f t="shared" si="52"/>
        <v>#NUM!</v>
      </c>
      <c r="D343" s="171" t="e">
        <f t="shared" si="53"/>
        <v>#NUM!</v>
      </c>
      <c r="E343" s="171" t="e">
        <f t="shared" si="54"/>
        <v>#NUM!</v>
      </c>
      <c r="F343" s="171" t="e">
        <f t="shared" si="55"/>
        <v>#NUM!</v>
      </c>
      <c r="G343" s="186">
        <f>IF('prijem_zahranicie - viac-dom'!$I$121=TRUE,IF($C$11&gt;0,0.00025*C342,0),IF('prijem_zahranicie - viac-dom'!$I$122=TRUE,IF('prijem_zahranicie - viac-dom'!$F$122&gt;0,0.00025*C342,0),0))</f>
        <v>0</v>
      </c>
      <c r="L343" s="89">
        <v>327</v>
      </c>
      <c r="M343" s="186" t="e">
        <f t="shared" si="56"/>
        <v>#DIV/0!</v>
      </c>
      <c r="N343" s="171" t="e">
        <f t="shared" si="57"/>
        <v>#DIV/0!</v>
      </c>
      <c r="O343" s="171" t="e">
        <f t="shared" si="50"/>
        <v>#DIV/0!</v>
      </c>
      <c r="P343" s="171" t="e">
        <f t="shared" si="58"/>
        <v>#DIV/0!</v>
      </c>
      <c r="Q343" s="171" t="e">
        <f t="shared" si="59"/>
        <v>#DIV/0!</v>
      </c>
      <c r="R343" s="186">
        <f>IF('prijem_zahranicie - viac-dom'!$I$121=TRUE,IF($C$11&gt;0,0.00025*N342,0),IF('prijem_zahranicie - viac-dom'!$I$122=TRUE,IF('prijem_zahranicie - viac-dom'!$F$122&gt;0,0.00025*N342*-1,0),0))</f>
        <v>0</v>
      </c>
    </row>
    <row r="344" spans="1:18" x14ac:dyDescent="0.2">
      <c r="A344" s="89">
        <v>328</v>
      </c>
      <c r="B344" s="186" t="e">
        <f t="shared" si="51"/>
        <v>#NUM!</v>
      </c>
      <c r="C344" s="171" t="e">
        <f t="shared" si="52"/>
        <v>#NUM!</v>
      </c>
      <c r="D344" s="171" t="e">
        <f t="shared" si="53"/>
        <v>#NUM!</v>
      </c>
      <c r="E344" s="171" t="e">
        <f t="shared" si="54"/>
        <v>#NUM!</v>
      </c>
      <c r="F344" s="171" t="e">
        <f t="shared" si="55"/>
        <v>#NUM!</v>
      </c>
      <c r="G344" s="186">
        <f>IF('prijem_zahranicie - viac-dom'!$I$121=TRUE,IF($C$11&gt;0,0.00025*C343,0),IF('prijem_zahranicie - viac-dom'!$I$122=TRUE,IF('prijem_zahranicie - viac-dom'!$F$122&gt;0,0.00025*C343,0),0))</f>
        <v>0</v>
      </c>
      <c r="L344" s="89">
        <v>328</v>
      </c>
      <c r="M344" s="186" t="e">
        <f t="shared" si="56"/>
        <v>#DIV/0!</v>
      </c>
      <c r="N344" s="171" t="e">
        <f t="shared" si="57"/>
        <v>#DIV/0!</v>
      </c>
      <c r="O344" s="171" t="e">
        <f t="shared" si="50"/>
        <v>#DIV/0!</v>
      </c>
      <c r="P344" s="171" t="e">
        <f t="shared" si="58"/>
        <v>#DIV/0!</v>
      </c>
      <c r="Q344" s="171" t="e">
        <f t="shared" si="59"/>
        <v>#DIV/0!</v>
      </c>
      <c r="R344" s="186">
        <f>IF('prijem_zahranicie - viac-dom'!$I$121=TRUE,IF($C$11&gt;0,0.00025*N343,0),IF('prijem_zahranicie - viac-dom'!$I$122=TRUE,IF('prijem_zahranicie - viac-dom'!$F$122&gt;0,0.00025*N343*-1,0),0))</f>
        <v>0</v>
      </c>
    </row>
    <row r="345" spans="1:18" x14ac:dyDescent="0.2">
      <c r="A345" s="89">
        <v>329</v>
      </c>
      <c r="B345" s="186" t="e">
        <f t="shared" si="51"/>
        <v>#NUM!</v>
      </c>
      <c r="C345" s="171" t="e">
        <f t="shared" si="52"/>
        <v>#NUM!</v>
      </c>
      <c r="D345" s="171" t="e">
        <f t="shared" si="53"/>
        <v>#NUM!</v>
      </c>
      <c r="E345" s="171" t="e">
        <f t="shared" si="54"/>
        <v>#NUM!</v>
      </c>
      <c r="F345" s="171" t="e">
        <f t="shared" si="55"/>
        <v>#NUM!</v>
      </c>
      <c r="G345" s="186">
        <f>IF('prijem_zahranicie - viac-dom'!$I$121=TRUE,IF($C$11&gt;0,0.00025*C344,0),IF('prijem_zahranicie - viac-dom'!$I$122=TRUE,IF('prijem_zahranicie - viac-dom'!$F$122&gt;0,0.00025*C344,0),0))</f>
        <v>0</v>
      </c>
      <c r="L345" s="89">
        <v>329</v>
      </c>
      <c r="M345" s="186" t="e">
        <f t="shared" si="56"/>
        <v>#DIV/0!</v>
      </c>
      <c r="N345" s="171" t="e">
        <f t="shared" si="57"/>
        <v>#DIV/0!</v>
      </c>
      <c r="O345" s="171" t="e">
        <f t="shared" si="50"/>
        <v>#DIV/0!</v>
      </c>
      <c r="P345" s="171" t="e">
        <f t="shared" si="58"/>
        <v>#DIV/0!</v>
      </c>
      <c r="Q345" s="171" t="e">
        <f t="shared" si="59"/>
        <v>#DIV/0!</v>
      </c>
      <c r="R345" s="186">
        <f>IF('prijem_zahranicie - viac-dom'!$I$121=TRUE,IF($C$11&gt;0,0.00025*N344,0),IF('prijem_zahranicie - viac-dom'!$I$122=TRUE,IF('prijem_zahranicie - viac-dom'!$F$122&gt;0,0.00025*N344*-1,0),0))</f>
        <v>0</v>
      </c>
    </row>
    <row r="346" spans="1:18" x14ac:dyDescent="0.2">
      <c r="A346" s="89">
        <v>330</v>
      </c>
      <c r="B346" s="186" t="e">
        <f t="shared" si="51"/>
        <v>#NUM!</v>
      </c>
      <c r="C346" s="171" t="e">
        <f t="shared" si="52"/>
        <v>#NUM!</v>
      </c>
      <c r="D346" s="171" t="e">
        <f t="shared" si="53"/>
        <v>#NUM!</v>
      </c>
      <c r="E346" s="171" t="e">
        <f t="shared" si="54"/>
        <v>#NUM!</v>
      </c>
      <c r="F346" s="171" t="e">
        <f t="shared" si="55"/>
        <v>#NUM!</v>
      </c>
      <c r="G346" s="186">
        <f>IF('prijem_zahranicie - viac-dom'!$I$121=TRUE,IF($C$11&gt;0,0.00025*C345,0),IF('prijem_zahranicie - viac-dom'!$I$122=TRUE,IF('prijem_zahranicie - viac-dom'!$F$122&gt;0,0.00025*C345,0),0))</f>
        <v>0</v>
      </c>
      <c r="L346" s="89">
        <v>330</v>
      </c>
      <c r="M346" s="186" t="e">
        <f t="shared" si="56"/>
        <v>#DIV/0!</v>
      </c>
      <c r="N346" s="171" t="e">
        <f t="shared" si="57"/>
        <v>#DIV/0!</v>
      </c>
      <c r="O346" s="171" t="e">
        <f t="shared" si="50"/>
        <v>#DIV/0!</v>
      </c>
      <c r="P346" s="171" t="e">
        <f t="shared" si="58"/>
        <v>#DIV/0!</v>
      </c>
      <c r="Q346" s="171" t="e">
        <f t="shared" si="59"/>
        <v>#DIV/0!</v>
      </c>
      <c r="R346" s="186">
        <f>IF('prijem_zahranicie - viac-dom'!$I$121=TRUE,IF($C$11&gt;0,0.00025*N345,0),IF('prijem_zahranicie - viac-dom'!$I$122=TRUE,IF('prijem_zahranicie - viac-dom'!$F$122&gt;0,0.00025*N345*-1,0),0))</f>
        <v>0</v>
      </c>
    </row>
    <row r="347" spans="1:18" x14ac:dyDescent="0.2">
      <c r="A347" s="89">
        <v>331</v>
      </c>
      <c r="B347" s="186" t="e">
        <f t="shared" si="51"/>
        <v>#NUM!</v>
      </c>
      <c r="C347" s="171" t="e">
        <f t="shared" si="52"/>
        <v>#NUM!</v>
      </c>
      <c r="D347" s="171" t="e">
        <f t="shared" si="53"/>
        <v>#NUM!</v>
      </c>
      <c r="E347" s="171" t="e">
        <f t="shared" si="54"/>
        <v>#NUM!</v>
      </c>
      <c r="F347" s="171" t="e">
        <f t="shared" si="55"/>
        <v>#NUM!</v>
      </c>
      <c r="G347" s="186">
        <f>IF('prijem_zahranicie - viac-dom'!$I$121=TRUE,IF($C$11&gt;0,0.00025*C346,0),IF('prijem_zahranicie - viac-dom'!$I$122=TRUE,IF('prijem_zahranicie - viac-dom'!$F$122&gt;0,0.00025*C346,0),0))</f>
        <v>0</v>
      </c>
      <c r="L347" s="89">
        <v>331</v>
      </c>
      <c r="M347" s="186" t="e">
        <f t="shared" si="56"/>
        <v>#DIV/0!</v>
      </c>
      <c r="N347" s="171" t="e">
        <f t="shared" si="57"/>
        <v>#DIV/0!</v>
      </c>
      <c r="O347" s="171" t="e">
        <f t="shared" si="50"/>
        <v>#DIV/0!</v>
      </c>
      <c r="P347" s="171" t="e">
        <f t="shared" si="58"/>
        <v>#DIV/0!</v>
      </c>
      <c r="Q347" s="171" t="e">
        <f t="shared" si="59"/>
        <v>#DIV/0!</v>
      </c>
      <c r="R347" s="186">
        <f>IF('prijem_zahranicie - viac-dom'!$I$121=TRUE,IF($C$11&gt;0,0.00025*N346,0),IF('prijem_zahranicie - viac-dom'!$I$122=TRUE,IF('prijem_zahranicie - viac-dom'!$F$122&gt;0,0.00025*N346*-1,0),0))</f>
        <v>0</v>
      </c>
    </row>
    <row r="348" spans="1:18" x14ac:dyDescent="0.2">
      <c r="A348" s="89">
        <v>332</v>
      </c>
      <c r="B348" s="186" t="e">
        <f t="shared" si="51"/>
        <v>#NUM!</v>
      </c>
      <c r="C348" s="171" t="e">
        <f t="shared" si="52"/>
        <v>#NUM!</v>
      </c>
      <c r="D348" s="171" t="e">
        <f t="shared" si="53"/>
        <v>#NUM!</v>
      </c>
      <c r="E348" s="171" t="e">
        <f t="shared" si="54"/>
        <v>#NUM!</v>
      </c>
      <c r="F348" s="171" t="e">
        <f t="shared" si="55"/>
        <v>#NUM!</v>
      </c>
      <c r="G348" s="186">
        <f>IF('prijem_zahranicie - viac-dom'!$I$121=TRUE,IF($C$11&gt;0,0.00025*C347,0),IF('prijem_zahranicie - viac-dom'!$I$122=TRUE,IF('prijem_zahranicie - viac-dom'!$F$122&gt;0,0.00025*C347,0),0))</f>
        <v>0</v>
      </c>
      <c r="L348" s="89">
        <v>332</v>
      </c>
      <c r="M348" s="186" t="e">
        <f t="shared" si="56"/>
        <v>#DIV/0!</v>
      </c>
      <c r="N348" s="171" t="e">
        <f t="shared" si="57"/>
        <v>#DIV/0!</v>
      </c>
      <c r="O348" s="171" t="e">
        <f t="shared" si="50"/>
        <v>#DIV/0!</v>
      </c>
      <c r="P348" s="171" t="e">
        <f t="shared" si="58"/>
        <v>#DIV/0!</v>
      </c>
      <c r="Q348" s="171" t="e">
        <f t="shared" si="59"/>
        <v>#DIV/0!</v>
      </c>
      <c r="R348" s="186">
        <f>IF('prijem_zahranicie - viac-dom'!$I$121=TRUE,IF($C$11&gt;0,0.00025*N347,0),IF('prijem_zahranicie - viac-dom'!$I$122=TRUE,IF('prijem_zahranicie - viac-dom'!$F$122&gt;0,0.00025*N347*-1,0),0))</f>
        <v>0</v>
      </c>
    </row>
    <row r="349" spans="1:18" x14ac:dyDescent="0.2">
      <c r="A349" s="89">
        <v>333</v>
      </c>
      <c r="B349" s="186" t="e">
        <f t="shared" si="51"/>
        <v>#NUM!</v>
      </c>
      <c r="C349" s="171" t="e">
        <f t="shared" si="52"/>
        <v>#NUM!</v>
      </c>
      <c r="D349" s="171" t="e">
        <f t="shared" si="53"/>
        <v>#NUM!</v>
      </c>
      <c r="E349" s="171" t="e">
        <f t="shared" si="54"/>
        <v>#NUM!</v>
      </c>
      <c r="F349" s="171" t="e">
        <f t="shared" si="55"/>
        <v>#NUM!</v>
      </c>
      <c r="G349" s="186">
        <f>IF('prijem_zahranicie - viac-dom'!$I$121=TRUE,IF($C$11&gt;0,0.00025*C348,0),IF('prijem_zahranicie - viac-dom'!$I$122=TRUE,IF('prijem_zahranicie - viac-dom'!$F$122&gt;0,0.00025*C348,0),0))</f>
        <v>0</v>
      </c>
      <c r="L349" s="89">
        <v>333</v>
      </c>
      <c r="M349" s="186" t="e">
        <f t="shared" si="56"/>
        <v>#DIV/0!</v>
      </c>
      <c r="N349" s="171" t="e">
        <f t="shared" si="57"/>
        <v>#DIV/0!</v>
      </c>
      <c r="O349" s="171" t="e">
        <f t="shared" si="50"/>
        <v>#DIV/0!</v>
      </c>
      <c r="P349" s="171" t="e">
        <f t="shared" si="58"/>
        <v>#DIV/0!</v>
      </c>
      <c r="Q349" s="171" t="e">
        <f t="shared" si="59"/>
        <v>#DIV/0!</v>
      </c>
      <c r="R349" s="186">
        <f>IF('prijem_zahranicie - viac-dom'!$I$121=TRUE,IF($C$11&gt;0,0.00025*N348,0),IF('prijem_zahranicie - viac-dom'!$I$122=TRUE,IF('prijem_zahranicie - viac-dom'!$F$122&gt;0,0.00025*N348*-1,0),0))</f>
        <v>0</v>
      </c>
    </row>
    <row r="350" spans="1:18" x14ac:dyDescent="0.2">
      <c r="A350" s="89">
        <v>334</v>
      </c>
      <c r="B350" s="186" t="e">
        <f t="shared" si="51"/>
        <v>#NUM!</v>
      </c>
      <c r="C350" s="171" t="e">
        <f t="shared" si="52"/>
        <v>#NUM!</v>
      </c>
      <c r="D350" s="171" t="e">
        <f t="shared" si="53"/>
        <v>#NUM!</v>
      </c>
      <c r="E350" s="171" t="e">
        <f t="shared" si="54"/>
        <v>#NUM!</v>
      </c>
      <c r="F350" s="171" t="e">
        <f t="shared" si="55"/>
        <v>#NUM!</v>
      </c>
      <c r="G350" s="186">
        <f>IF('prijem_zahranicie - viac-dom'!$I$121=TRUE,IF($C$11&gt;0,0.00025*C349,0),IF('prijem_zahranicie - viac-dom'!$I$122=TRUE,IF('prijem_zahranicie - viac-dom'!$F$122&gt;0,0.00025*C349,0),0))</f>
        <v>0</v>
      </c>
      <c r="L350" s="89">
        <v>334</v>
      </c>
      <c r="M350" s="186" t="e">
        <f t="shared" si="56"/>
        <v>#DIV/0!</v>
      </c>
      <c r="N350" s="171" t="e">
        <f t="shared" si="57"/>
        <v>#DIV/0!</v>
      </c>
      <c r="O350" s="171" t="e">
        <f t="shared" si="50"/>
        <v>#DIV/0!</v>
      </c>
      <c r="P350" s="171" t="e">
        <f t="shared" si="58"/>
        <v>#DIV/0!</v>
      </c>
      <c r="Q350" s="171" t="e">
        <f t="shared" si="59"/>
        <v>#DIV/0!</v>
      </c>
      <c r="R350" s="186">
        <f>IF('prijem_zahranicie - viac-dom'!$I$121=TRUE,IF($C$11&gt;0,0.00025*N349,0),IF('prijem_zahranicie - viac-dom'!$I$122=TRUE,IF('prijem_zahranicie - viac-dom'!$F$122&gt;0,0.00025*N349*-1,0),0))</f>
        <v>0</v>
      </c>
    </row>
    <row r="351" spans="1:18" x14ac:dyDescent="0.2">
      <c r="A351" s="89">
        <v>335</v>
      </c>
      <c r="B351" s="186" t="e">
        <f t="shared" si="51"/>
        <v>#NUM!</v>
      </c>
      <c r="C351" s="171" t="e">
        <f t="shared" si="52"/>
        <v>#NUM!</v>
      </c>
      <c r="D351" s="171" t="e">
        <f t="shared" si="53"/>
        <v>#NUM!</v>
      </c>
      <c r="E351" s="171" t="e">
        <f t="shared" si="54"/>
        <v>#NUM!</v>
      </c>
      <c r="F351" s="171" t="e">
        <f t="shared" si="55"/>
        <v>#NUM!</v>
      </c>
      <c r="G351" s="186">
        <f>IF('prijem_zahranicie - viac-dom'!$I$121=TRUE,IF($C$11&gt;0,0.00025*C350,0),IF('prijem_zahranicie - viac-dom'!$I$122=TRUE,IF('prijem_zahranicie - viac-dom'!$F$122&gt;0,0.00025*C350,0),0))</f>
        <v>0</v>
      </c>
      <c r="L351" s="89">
        <v>335</v>
      </c>
      <c r="M351" s="186" t="e">
        <f t="shared" si="56"/>
        <v>#DIV/0!</v>
      </c>
      <c r="N351" s="171" t="e">
        <f t="shared" si="57"/>
        <v>#DIV/0!</v>
      </c>
      <c r="O351" s="171" t="e">
        <f t="shared" si="50"/>
        <v>#DIV/0!</v>
      </c>
      <c r="P351" s="171" t="e">
        <f t="shared" si="58"/>
        <v>#DIV/0!</v>
      </c>
      <c r="Q351" s="171" t="e">
        <f t="shared" si="59"/>
        <v>#DIV/0!</v>
      </c>
      <c r="R351" s="186">
        <f>IF('prijem_zahranicie - viac-dom'!$I$121=TRUE,IF($C$11&gt;0,0.00025*N350,0),IF('prijem_zahranicie - viac-dom'!$I$122=TRUE,IF('prijem_zahranicie - viac-dom'!$F$122&gt;0,0.00025*N350*-1,0),0))</f>
        <v>0</v>
      </c>
    </row>
    <row r="352" spans="1:18" x14ac:dyDescent="0.2">
      <c r="A352" s="89">
        <v>336</v>
      </c>
      <c r="B352" s="186" t="e">
        <f t="shared" si="51"/>
        <v>#NUM!</v>
      </c>
      <c r="C352" s="171" t="e">
        <f t="shared" si="52"/>
        <v>#NUM!</v>
      </c>
      <c r="D352" s="171" t="e">
        <f t="shared" si="53"/>
        <v>#NUM!</v>
      </c>
      <c r="E352" s="171" t="e">
        <f t="shared" si="54"/>
        <v>#NUM!</v>
      </c>
      <c r="F352" s="171" t="e">
        <f t="shared" si="55"/>
        <v>#NUM!</v>
      </c>
      <c r="G352" s="186">
        <f>IF('prijem_zahranicie - viac-dom'!$I$121=TRUE,IF($C$11&gt;0,0.00025*C351,0),IF('prijem_zahranicie - viac-dom'!$I$122=TRUE,IF('prijem_zahranicie - viac-dom'!$F$122&gt;0,0.00025*C351,0),0))</f>
        <v>0</v>
      </c>
      <c r="L352" s="89">
        <v>336</v>
      </c>
      <c r="M352" s="186" t="e">
        <f t="shared" si="56"/>
        <v>#DIV/0!</v>
      </c>
      <c r="N352" s="171" t="e">
        <f t="shared" si="57"/>
        <v>#DIV/0!</v>
      </c>
      <c r="O352" s="171" t="e">
        <f t="shared" si="50"/>
        <v>#DIV/0!</v>
      </c>
      <c r="P352" s="171" t="e">
        <f t="shared" si="58"/>
        <v>#DIV/0!</v>
      </c>
      <c r="Q352" s="171" t="e">
        <f t="shared" si="59"/>
        <v>#DIV/0!</v>
      </c>
      <c r="R352" s="186">
        <f>IF('prijem_zahranicie - viac-dom'!$I$121=TRUE,IF($C$11&gt;0,0.00025*N351,0),IF('prijem_zahranicie - viac-dom'!$I$122=TRUE,IF('prijem_zahranicie - viac-dom'!$F$122&gt;0,0.00025*N351*-1,0),0))</f>
        <v>0</v>
      </c>
    </row>
    <row r="353" spans="1:18" x14ac:dyDescent="0.2">
      <c r="A353" s="89">
        <v>337</v>
      </c>
      <c r="B353" s="186" t="e">
        <f t="shared" si="51"/>
        <v>#NUM!</v>
      </c>
      <c r="C353" s="171" t="e">
        <f t="shared" si="52"/>
        <v>#NUM!</v>
      </c>
      <c r="D353" s="171" t="e">
        <f t="shared" si="53"/>
        <v>#NUM!</v>
      </c>
      <c r="E353" s="171" t="e">
        <f t="shared" si="54"/>
        <v>#NUM!</v>
      </c>
      <c r="F353" s="171" t="e">
        <f t="shared" si="55"/>
        <v>#NUM!</v>
      </c>
      <c r="G353" s="186">
        <f>IF('prijem_zahranicie - viac-dom'!$I$121=TRUE,IF($C$11&gt;0,0.00025*C352,0),IF('prijem_zahranicie - viac-dom'!$I$122=TRUE,IF('prijem_zahranicie - viac-dom'!$F$122&gt;0,0.00025*C352,0),0))</f>
        <v>0</v>
      </c>
      <c r="L353" s="89">
        <v>337</v>
      </c>
      <c r="M353" s="186" t="e">
        <f t="shared" si="56"/>
        <v>#DIV/0!</v>
      </c>
      <c r="N353" s="171" t="e">
        <f t="shared" si="57"/>
        <v>#DIV/0!</v>
      </c>
      <c r="O353" s="171" t="e">
        <f t="shared" si="50"/>
        <v>#DIV/0!</v>
      </c>
      <c r="P353" s="171" t="e">
        <f t="shared" si="58"/>
        <v>#DIV/0!</v>
      </c>
      <c r="Q353" s="171" t="e">
        <f t="shared" si="59"/>
        <v>#DIV/0!</v>
      </c>
      <c r="R353" s="186">
        <f>IF('prijem_zahranicie - viac-dom'!$I$121=TRUE,IF($C$11&gt;0,0.00025*N352,0),IF('prijem_zahranicie - viac-dom'!$I$122=TRUE,IF('prijem_zahranicie - viac-dom'!$F$122&gt;0,0.00025*N352*-1,0),0))</f>
        <v>0</v>
      </c>
    </row>
    <row r="354" spans="1:18" x14ac:dyDescent="0.2">
      <c r="A354" s="89">
        <v>338</v>
      </c>
      <c r="B354" s="186" t="e">
        <f t="shared" si="51"/>
        <v>#NUM!</v>
      </c>
      <c r="C354" s="171" t="e">
        <f t="shared" si="52"/>
        <v>#NUM!</v>
      </c>
      <c r="D354" s="171" t="e">
        <f t="shared" si="53"/>
        <v>#NUM!</v>
      </c>
      <c r="E354" s="171" t="e">
        <f t="shared" si="54"/>
        <v>#NUM!</v>
      </c>
      <c r="F354" s="171" t="e">
        <f t="shared" si="55"/>
        <v>#NUM!</v>
      </c>
      <c r="G354" s="186">
        <f>IF('prijem_zahranicie - viac-dom'!$I$121=TRUE,IF($C$11&gt;0,0.00025*C353,0),IF('prijem_zahranicie - viac-dom'!$I$122=TRUE,IF('prijem_zahranicie - viac-dom'!$F$122&gt;0,0.00025*C353,0),0))</f>
        <v>0</v>
      </c>
      <c r="L354" s="89">
        <v>338</v>
      </c>
      <c r="M354" s="186" t="e">
        <f t="shared" si="56"/>
        <v>#DIV/0!</v>
      </c>
      <c r="N354" s="171" t="e">
        <f t="shared" si="57"/>
        <v>#DIV/0!</v>
      </c>
      <c r="O354" s="171" t="e">
        <f t="shared" si="50"/>
        <v>#DIV/0!</v>
      </c>
      <c r="P354" s="171" t="e">
        <f t="shared" si="58"/>
        <v>#DIV/0!</v>
      </c>
      <c r="Q354" s="171" t="e">
        <f t="shared" si="59"/>
        <v>#DIV/0!</v>
      </c>
      <c r="R354" s="186">
        <f>IF('prijem_zahranicie - viac-dom'!$I$121=TRUE,IF($C$11&gt;0,0.00025*N353,0),IF('prijem_zahranicie - viac-dom'!$I$122=TRUE,IF('prijem_zahranicie - viac-dom'!$F$122&gt;0,0.00025*N353*-1,0),0))</f>
        <v>0</v>
      </c>
    </row>
    <row r="355" spans="1:18" x14ac:dyDescent="0.2">
      <c r="A355" s="89">
        <v>339</v>
      </c>
      <c r="B355" s="186" t="e">
        <f t="shared" si="51"/>
        <v>#NUM!</v>
      </c>
      <c r="C355" s="171" t="e">
        <f t="shared" si="52"/>
        <v>#NUM!</v>
      </c>
      <c r="D355" s="171" t="e">
        <f t="shared" si="53"/>
        <v>#NUM!</v>
      </c>
      <c r="E355" s="171" t="e">
        <f t="shared" si="54"/>
        <v>#NUM!</v>
      </c>
      <c r="F355" s="171" t="e">
        <f t="shared" si="55"/>
        <v>#NUM!</v>
      </c>
      <c r="G355" s="186">
        <f>IF('prijem_zahranicie - viac-dom'!$I$121=TRUE,IF($C$11&gt;0,0.00025*C354,0),IF('prijem_zahranicie - viac-dom'!$I$122=TRUE,IF('prijem_zahranicie - viac-dom'!$F$122&gt;0,0.00025*C354,0),0))</f>
        <v>0</v>
      </c>
      <c r="L355" s="89">
        <v>339</v>
      </c>
      <c r="M355" s="186" t="e">
        <f t="shared" si="56"/>
        <v>#DIV/0!</v>
      </c>
      <c r="N355" s="171" t="e">
        <f t="shared" si="57"/>
        <v>#DIV/0!</v>
      </c>
      <c r="O355" s="171" t="e">
        <f t="shared" si="50"/>
        <v>#DIV/0!</v>
      </c>
      <c r="P355" s="171" t="e">
        <f t="shared" si="58"/>
        <v>#DIV/0!</v>
      </c>
      <c r="Q355" s="171" t="e">
        <f t="shared" si="59"/>
        <v>#DIV/0!</v>
      </c>
      <c r="R355" s="186">
        <f>IF('prijem_zahranicie - viac-dom'!$I$121=TRUE,IF($C$11&gt;0,0.00025*N354,0),IF('prijem_zahranicie - viac-dom'!$I$122=TRUE,IF('prijem_zahranicie - viac-dom'!$F$122&gt;0,0.00025*N354*-1,0),0))</f>
        <v>0</v>
      </c>
    </row>
    <row r="356" spans="1:18" x14ac:dyDescent="0.2">
      <c r="A356" s="89">
        <v>340</v>
      </c>
      <c r="B356" s="186" t="e">
        <f t="shared" si="51"/>
        <v>#NUM!</v>
      </c>
      <c r="C356" s="171" t="e">
        <f t="shared" si="52"/>
        <v>#NUM!</v>
      </c>
      <c r="D356" s="171" t="e">
        <f t="shared" si="53"/>
        <v>#NUM!</v>
      </c>
      <c r="E356" s="171" t="e">
        <f t="shared" si="54"/>
        <v>#NUM!</v>
      </c>
      <c r="F356" s="171" t="e">
        <f t="shared" si="55"/>
        <v>#NUM!</v>
      </c>
      <c r="G356" s="186">
        <f>IF('prijem_zahranicie - viac-dom'!$I$121=TRUE,IF($C$11&gt;0,0.00025*C355,0),IF('prijem_zahranicie - viac-dom'!$I$122=TRUE,IF('prijem_zahranicie - viac-dom'!$F$122&gt;0,0.00025*C355,0),0))</f>
        <v>0</v>
      </c>
      <c r="L356" s="89">
        <v>340</v>
      </c>
      <c r="M356" s="186" t="e">
        <f t="shared" si="56"/>
        <v>#DIV/0!</v>
      </c>
      <c r="N356" s="171" t="e">
        <f t="shared" si="57"/>
        <v>#DIV/0!</v>
      </c>
      <c r="O356" s="171" t="e">
        <f t="shared" si="50"/>
        <v>#DIV/0!</v>
      </c>
      <c r="P356" s="171" t="e">
        <f t="shared" si="58"/>
        <v>#DIV/0!</v>
      </c>
      <c r="Q356" s="171" t="e">
        <f t="shared" si="59"/>
        <v>#DIV/0!</v>
      </c>
      <c r="R356" s="186">
        <f>IF('prijem_zahranicie - viac-dom'!$I$121=TRUE,IF($C$11&gt;0,0.00025*N355,0),IF('prijem_zahranicie - viac-dom'!$I$122=TRUE,IF('prijem_zahranicie - viac-dom'!$F$122&gt;0,0.00025*N355*-1,0),0))</f>
        <v>0</v>
      </c>
    </row>
    <row r="357" spans="1:18" x14ac:dyDescent="0.2">
      <c r="A357" s="89">
        <v>341</v>
      </c>
      <c r="B357" s="186" t="e">
        <f t="shared" si="51"/>
        <v>#NUM!</v>
      </c>
      <c r="C357" s="171" t="e">
        <f t="shared" si="52"/>
        <v>#NUM!</v>
      </c>
      <c r="D357" s="171" t="e">
        <f t="shared" si="53"/>
        <v>#NUM!</v>
      </c>
      <c r="E357" s="171" t="e">
        <f t="shared" si="54"/>
        <v>#NUM!</v>
      </c>
      <c r="F357" s="171" t="e">
        <f t="shared" si="55"/>
        <v>#NUM!</v>
      </c>
      <c r="G357" s="186">
        <f>IF('prijem_zahranicie - viac-dom'!$I$121=TRUE,IF($C$11&gt;0,0.00025*C356,0),IF('prijem_zahranicie - viac-dom'!$I$122=TRUE,IF('prijem_zahranicie - viac-dom'!$F$122&gt;0,0.00025*C356,0),0))</f>
        <v>0</v>
      </c>
      <c r="L357" s="89">
        <v>341</v>
      </c>
      <c r="M357" s="186" t="e">
        <f t="shared" si="56"/>
        <v>#DIV/0!</v>
      </c>
      <c r="N357" s="171" t="e">
        <f t="shared" si="57"/>
        <v>#DIV/0!</v>
      </c>
      <c r="O357" s="171" t="e">
        <f t="shared" si="50"/>
        <v>#DIV/0!</v>
      </c>
      <c r="P357" s="171" t="e">
        <f t="shared" si="58"/>
        <v>#DIV/0!</v>
      </c>
      <c r="Q357" s="171" t="e">
        <f t="shared" si="59"/>
        <v>#DIV/0!</v>
      </c>
      <c r="R357" s="186">
        <f>IF('prijem_zahranicie - viac-dom'!$I$121=TRUE,IF($C$11&gt;0,0.00025*N356,0),IF('prijem_zahranicie - viac-dom'!$I$122=TRUE,IF('prijem_zahranicie - viac-dom'!$F$122&gt;0,0.00025*N356*-1,0),0))</f>
        <v>0</v>
      </c>
    </row>
    <row r="358" spans="1:18" x14ac:dyDescent="0.2">
      <c r="A358" s="89">
        <v>342</v>
      </c>
      <c r="B358" s="186" t="e">
        <f t="shared" si="51"/>
        <v>#NUM!</v>
      </c>
      <c r="C358" s="171" t="e">
        <f t="shared" si="52"/>
        <v>#NUM!</v>
      </c>
      <c r="D358" s="171" t="e">
        <f t="shared" si="53"/>
        <v>#NUM!</v>
      </c>
      <c r="E358" s="171" t="e">
        <f t="shared" si="54"/>
        <v>#NUM!</v>
      </c>
      <c r="F358" s="171" t="e">
        <f t="shared" si="55"/>
        <v>#NUM!</v>
      </c>
      <c r="G358" s="186">
        <f>IF('prijem_zahranicie - viac-dom'!$I$121=TRUE,IF($C$11&gt;0,0.00025*C357,0),IF('prijem_zahranicie - viac-dom'!$I$122=TRUE,IF('prijem_zahranicie - viac-dom'!$F$122&gt;0,0.00025*C357,0),0))</f>
        <v>0</v>
      </c>
      <c r="L358" s="89">
        <v>342</v>
      </c>
      <c r="M358" s="186" t="e">
        <f t="shared" si="56"/>
        <v>#DIV/0!</v>
      </c>
      <c r="N358" s="171" t="e">
        <f t="shared" si="57"/>
        <v>#DIV/0!</v>
      </c>
      <c r="O358" s="171" t="e">
        <f t="shared" si="50"/>
        <v>#DIV/0!</v>
      </c>
      <c r="P358" s="171" t="e">
        <f t="shared" si="58"/>
        <v>#DIV/0!</v>
      </c>
      <c r="Q358" s="171" t="e">
        <f t="shared" si="59"/>
        <v>#DIV/0!</v>
      </c>
      <c r="R358" s="186">
        <f>IF('prijem_zahranicie - viac-dom'!$I$121=TRUE,IF($C$11&gt;0,0.00025*N357,0),IF('prijem_zahranicie - viac-dom'!$I$122=TRUE,IF('prijem_zahranicie - viac-dom'!$F$122&gt;0,0.00025*N357*-1,0),0))</f>
        <v>0</v>
      </c>
    </row>
    <row r="359" spans="1:18" x14ac:dyDescent="0.2">
      <c r="A359" s="89">
        <v>343</v>
      </c>
      <c r="B359" s="186" t="e">
        <f t="shared" si="51"/>
        <v>#NUM!</v>
      </c>
      <c r="C359" s="171" t="e">
        <f t="shared" si="52"/>
        <v>#NUM!</v>
      </c>
      <c r="D359" s="171" t="e">
        <f t="shared" si="53"/>
        <v>#NUM!</v>
      </c>
      <c r="E359" s="171" t="e">
        <f t="shared" si="54"/>
        <v>#NUM!</v>
      </c>
      <c r="F359" s="171" t="e">
        <f t="shared" si="55"/>
        <v>#NUM!</v>
      </c>
      <c r="G359" s="186">
        <f>IF('prijem_zahranicie - viac-dom'!$I$121=TRUE,IF($C$11&gt;0,0.00025*C358,0),IF('prijem_zahranicie - viac-dom'!$I$122=TRUE,IF('prijem_zahranicie - viac-dom'!$F$122&gt;0,0.00025*C358,0),0))</f>
        <v>0</v>
      </c>
      <c r="L359" s="89">
        <v>343</v>
      </c>
      <c r="M359" s="186" t="e">
        <f t="shared" si="56"/>
        <v>#DIV/0!</v>
      </c>
      <c r="N359" s="171" t="e">
        <f t="shared" si="57"/>
        <v>#DIV/0!</v>
      </c>
      <c r="O359" s="171" t="e">
        <f t="shared" si="50"/>
        <v>#DIV/0!</v>
      </c>
      <c r="P359" s="171" t="e">
        <f t="shared" si="58"/>
        <v>#DIV/0!</v>
      </c>
      <c r="Q359" s="171" t="e">
        <f t="shared" si="59"/>
        <v>#DIV/0!</v>
      </c>
      <c r="R359" s="186">
        <f>IF('prijem_zahranicie - viac-dom'!$I$121=TRUE,IF($C$11&gt;0,0.00025*N358,0),IF('prijem_zahranicie - viac-dom'!$I$122=TRUE,IF('prijem_zahranicie - viac-dom'!$F$122&gt;0,0.00025*N358*-1,0),0))</f>
        <v>0</v>
      </c>
    </row>
    <row r="360" spans="1:18" x14ac:dyDescent="0.2">
      <c r="A360" s="89">
        <v>344</v>
      </c>
      <c r="B360" s="186" t="e">
        <f t="shared" si="51"/>
        <v>#NUM!</v>
      </c>
      <c r="C360" s="171" t="e">
        <f t="shared" si="52"/>
        <v>#NUM!</v>
      </c>
      <c r="D360" s="171" t="e">
        <f t="shared" si="53"/>
        <v>#NUM!</v>
      </c>
      <c r="E360" s="171" t="e">
        <f t="shared" si="54"/>
        <v>#NUM!</v>
      </c>
      <c r="F360" s="171" t="e">
        <f t="shared" si="55"/>
        <v>#NUM!</v>
      </c>
      <c r="G360" s="186">
        <f>IF('prijem_zahranicie - viac-dom'!$I$121=TRUE,IF($C$11&gt;0,0.00025*C359,0),IF('prijem_zahranicie - viac-dom'!$I$122=TRUE,IF('prijem_zahranicie - viac-dom'!$F$122&gt;0,0.00025*C359,0),0))</f>
        <v>0</v>
      </c>
      <c r="L360" s="89">
        <v>344</v>
      </c>
      <c r="M360" s="186" t="e">
        <f t="shared" si="56"/>
        <v>#DIV/0!</v>
      </c>
      <c r="N360" s="171" t="e">
        <f t="shared" si="57"/>
        <v>#DIV/0!</v>
      </c>
      <c r="O360" s="171" t="e">
        <f t="shared" si="50"/>
        <v>#DIV/0!</v>
      </c>
      <c r="P360" s="171" t="e">
        <f t="shared" si="58"/>
        <v>#DIV/0!</v>
      </c>
      <c r="Q360" s="171" t="e">
        <f t="shared" si="59"/>
        <v>#DIV/0!</v>
      </c>
      <c r="R360" s="186">
        <f>IF('prijem_zahranicie - viac-dom'!$I$121=TRUE,IF($C$11&gt;0,0.00025*N359,0),IF('prijem_zahranicie - viac-dom'!$I$122=TRUE,IF('prijem_zahranicie - viac-dom'!$F$122&gt;0,0.00025*N359*-1,0),0))</f>
        <v>0</v>
      </c>
    </row>
    <row r="361" spans="1:18" x14ac:dyDescent="0.2">
      <c r="A361" s="89">
        <v>345</v>
      </c>
      <c r="B361" s="186" t="e">
        <f t="shared" si="51"/>
        <v>#NUM!</v>
      </c>
      <c r="C361" s="171" t="e">
        <f t="shared" si="52"/>
        <v>#NUM!</v>
      </c>
      <c r="D361" s="171" t="e">
        <f t="shared" si="53"/>
        <v>#NUM!</v>
      </c>
      <c r="E361" s="171" t="e">
        <f t="shared" si="54"/>
        <v>#NUM!</v>
      </c>
      <c r="F361" s="171" t="e">
        <f t="shared" si="55"/>
        <v>#NUM!</v>
      </c>
      <c r="G361" s="186">
        <f>IF('prijem_zahranicie - viac-dom'!$I$121=TRUE,IF($C$11&gt;0,0.00025*C360,0),IF('prijem_zahranicie - viac-dom'!$I$122=TRUE,IF('prijem_zahranicie - viac-dom'!$F$122&gt;0,0.00025*C360,0),0))</f>
        <v>0</v>
      </c>
      <c r="L361" s="89">
        <v>345</v>
      </c>
      <c r="M361" s="186" t="e">
        <f t="shared" si="56"/>
        <v>#DIV/0!</v>
      </c>
      <c r="N361" s="171" t="e">
        <f t="shared" si="57"/>
        <v>#DIV/0!</v>
      </c>
      <c r="O361" s="171" t="e">
        <f t="shared" si="50"/>
        <v>#DIV/0!</v>
      </c>
      <c r="P361" s="171" t="e">
        <f t="shared" si="58"/>
        <v>#DIV/0!</v>
      </c>
      <c r="Q361" s="171" t="e">
        <f t="shared" si="59"/>
        <v>#DIV/0!</v>
      </c>
      <c r="R361" s="186">
        <f>IF('prijem_zahranicie - viac-dom'!$I$121=TRUE,IF($C$11&gt;0,0.00025*N360,0),IF('prijem_zahranicie - viac-dom'!$I$122=TRUE,IF('prijem_zahranicie - viac-dom'!$F$122&gt;0,0.00025*N360*-1,0),0))</f>
        <v>0</v>
      </c>
    </row>
    <row r="362" spans="1:18" x14ac:dyDescent="0.2">
      <c r="A362" s="89">
        <v>346</v>
      </c>
      <c r="B362" s="186" t="e">
        <f t="shared" si="51"/>
        <v>#NUM!</v>
      </c>
      <c r="C362" s="171" t="e">
        <f t="shared" si="52"/>
        <v>#NUM!</v>
      </c>
      <c r="D362" s="171" t="e">
        <f t="shared" si="53"/>
        <v>#NUM!</v>
      </c>
      <c r="E362" s="171" t="e">
        <f t="shared" si="54"/>
        <v>#NUM!</v>
      </c>
      <c r="F362" s="171" t="e">
        <f t="shared" si="55"/>
        <v>#NUM!</v>
      </c>
      <c r="G362" s="186">
        <f>IF('prijem_zahranicie - viac-dom'!$I$121=TRUE,IF($C$11&gt;0,0.00025*C361,0),IF('prijem_zahranicie - viac-dom'!$I$122=TRUE,IF('prijem_zahranicie - viac-dom'!$F$122&gt;0,0.00025*C361,0),0))</f>
        <v>0</v>
      </c>
      <c r="L362" s="89">
        <v>346</v>
      </c>
      <c r="M362" s="186" t="e">
        <f t="shared" si="56"/>
        <v>#DIV/0!</v>
      </c>
      <c r="N362" s="171" t="e">
        <f t="shared" si="57"/>
        <v>#DIV/0!</v>
      </c>
      <c r="O362" s="171" t="e">
        <f t="shared" si="50"/>
        <v>#DIV/0!</v>
      </c>
      <c r="P362" s="171" t="e">
        <f t="shared" si="58"/>
        <v>#DIV/0!</v>
      </c>
      <c r="Q362" s="171" t="e">
        <f t="shared" si="59"/>
        <v>#DIV/0!</v>
      </c>
      <c r="R362" s="186">
        <f>IF('prijem_zahranicie - viac-dom'!$I$121=TRUE,IF($C$11&gt;0,0.00025*N361,0),IF('prijem_zahranicie - viac-dom'!$I$122=TRUE,IF('prijem_zahranicie - viac-dom'!$F$122&gt;0,0.00025*N361*-1,0),0))</f>
        <v>0</v>
      </c>
    </row>
    <row r="363" spans="1:18" x14ac:dyDescent="0.2">
      <c r="A363" s="89">
        <v>347</v>
      </c>
      <c r="B363" s="186" t="e">
        <f t="shared" si="51"/>
        <v>#NUM!</v>
      </c>
      <c r="C363" s="171" t="e">
        <f t="shared" si="52"/>
        <v>#NUM!</v>
      </c>
      <c r="D363" s="171" t="e">
        <f t="shared" si="53"/>
        <v>#NUM!</v>
      </c>
      <c r="E363" s="171" t="e">
        <f t="shared" si="54"/>
        <v>#NUM!</v>
      </c>
      <c r="F363" s="171" t="e">
        <f t="shared" si="55"/>
        <v>#NUM!</v>
      </c>
      <c r="G363" s="186">
        <f>IF('prijem_zahranicie - viac-dom'!$I$121=TRUE,IF($C$11&gt;0,0.00025*C362,0),IF('prijem_zahranicie - viac-dom'!$I$122=TRUE,IF('prijem_zahranicie - viac-dom'!$F$122&gt;0,0.00025*C362,0),0))</f>
        <v>0</v>
      </c>
      <c r="L363" s="89">
        <v>347</v>
      </c>
      <c r="M363" s="186" t="e">
        <f t="shared" si="56"/>
        <v>#DIV/0!</v>
      </c>
      <c r="N363" s="171" t="e">
        <f t="shared" si="57"/>
        <v>#DIV/0!</v>
      </c>
      <c r="O363" s="171" t="e">
        <f t="shared" si="50"/>
        <v>#DIV/0!</v>
      </c>
      <c r="P363" s="171" t="e">
        <f t="shared" si="58"/>
        <v>#DIV/0!</v>
      </c>
      <c r="Q363" s="171" t="e">
        <f t="shared" si="59"/>
        <v>#DIV/0!</v>
      </c>
      <c r="R363" s="186">
        <f>IF('prijem_zahranicie - viac-dom'!$I$121=TRUE,IF($C$11&gt;0,0.00025*N362,0),IF('prijem_zahranicie - viac-dom'!$I$122=TRUE,IF('prijem_zahranicie - viac-dom'!$F$122&gt;0,0.00025*N362*-1,0),0))</f>
        <v>0</v>
      </c>
    </row>
    <row r="364" spans="1:18" x14ac:dyDescent="0.2">
      <c r="A364" s="89">
        <v>348</v>
      </c>
      <c r="B364" s="186" t="e">
        <f t="shared" si="51"/>
        <v>#NUM!</v>
      </c>
      <c r="C364" s="171" t="e">
        <f t="shared" si="52"/>
        <v>#NUM!</v>
      </c>
      <c r="D364" s="171" t="e">
        <f t="shared" si="53"/>
        <v>#NUM!</v>
      </c>
      <c r="E364" s="171" t="e">
        <f t="shared" si="54"/>
        <v>#NUM!</v>
      </c>
      <c r="F364" s="171" t="e">
        <f t="shared" si="55"/>
        <v>#NUM!</v>
      </c>
      <c r="G364" s="186">
        <f>IF('prijem_zahranicie - viac-dom'!$I$121=TRUE,IF($C$11&gt;0,0.00025*C363,0),IF('prijem_zahranicie - viac-dom'!$I$122=TRUE,IF('prijem_zahranicie - viac-dom'!$F$122&gt;0,0.00025*C363,0),0))</f>
        <v>0</v>
      </c>
      <c r="L364" s="89">
        <v>348</v>
      </c>
      <c r="M364" s="186" t="e">
        <f t="shared" si="56"/>
        <v>#DIV/0!</v>
      </c>
      <c r="N364" s="171" t="e">
        <f t="shared" si="57"/>
        <v>#DIV/0!</v>
      </c>
      <c r="O364" s="171" t="e">
        <f t="shared" si="50"/>
        <v>#DIV/0!</v>
      </c>
      <c r="P364" s="171" t="e">
        <f t="shared" si="58"/>
        <v>#DIV/0!</v>
      </c>
      <c r="Q364" s="171" t="e">
        <f t="shared" si="59"/>
        <v>#DIV/0!</v>
      </c>
      <c r="R364" s="186">
        <f>IF('prijem_zahranicie - viac-dom'!$I$121=TRUE,IF($C$11&gt;0,0.00025*N363,0),IF('prijem_zahranicie - viac-dom'!$I$122=TRUE,IF('prijem_zahranicie - viac-dom'!$F$122&gt;0,0.00025*N363*-1,0),0))</f>
        <v>0</v>
      </c>
    </row>
    <row r="365" spans="1:18" x14ac:dyDescent="0.2">
      <c r="A365" s="89">
        <v>349</v>
      </c>
      <c r="B365" s="186" t="e">
        <f t="shared" si="51"/>
        <v>#NUM!</v>
      </c>
      <c r="C365" s="171" t="e">
        <f t="shared" si="52"/>
        <v>#NUM!</v>
      </c>
      <c r="D365" s="171" t="e">
        <f t="shared" si="53"/>
        <v>#NUM!</v>
      </c>
      <c r="E365" s="171" t="e">
        <f t="shared" si="54"/>
        <v>#NUM!</v>
      </c>
      <c r="F365" s="171" t="e">
        <f t="shared" si="55"/>
        <v>#NUM!</v>
      </c>
      <c r="G365" s="186">
        <f>IF('prijem_zahranicie - viac-dom'!$I$121=TRUE,IF($C$11&gt;0,0.00025*C364,0),IF('prijem_zahranicie - viac-dom'!$I$122=TRUE,IF('prijem_zahranicie - viac-dom'!$F$122&gt;0,0.00025*C364,0),0))</f>
        <v>0</v>
      </c>
      <c r="L365" s="89">
        <v>349</v>
      </c>
      <c r="M365" s="186" t="e">
        <f t="shared" si="56"/>
        <v>#DIV/0!</v>
      </c>
      <c r="N365" s="171" t="e">
        <f t="shared" si="57"/>
        <v>#DIV/0!</v>
      </c>
      <c r="O365" s="171" t="e">
        <f t="shared" si="50"/>
        <v>#DIV/0!</v>
      </c>
      <c r="P365" s="171" t="e">
        <f t="shared" si="58"/>
        <v>#DIV/0!</v>
      </c>
      <c r="Q365" s="171" t="e">
        <f t="shared" si="59"/>
        <v>#DIV/0!</v>
      </c>
      <c r="R365" s="186">
        <f>IF('prijem_zahranicie - viac-dom'!$I$121=TRUE,IF($C$11&gt;0,0.00025*N364,0),IF('prijem_zahranicie - viac-dom'!$I$122=TRUE,IF('prijem_zahranicie - viac-dom'!$F$122&gt;0,0.00025*N364*-1,0),0))</f>
        <v>0</v>
      </c>
    </row>
    <row r="366" spans="1:18" x14ac:dyDescent="0.2">
      <c r="A366" s="89">
        <v>350</v>
      </c>
      <c r="B366" s="186" t="e">
        <f t="shared" si="51"/>
        <v>#NUM!</v>
      </c>
      <c r="C366" s="171" t="e">
        <f t="shared" si="52"/>
        <v>#NUM!</v>
      </c>
      <c r="D366" s="171" t="e">
        <f t="shared" si="53"/>
        <v>#NUM!</v>
      </c>
      <c r="E366" s="171" t="e">
        <f t="shared" si="54"/>
        <v>#NUM!</v>
      </c>
      <c r="F366" s="171" t="e">
        <f t="shared" si="55"/>
        <v>#NUM!</v>
      </c>
      <c r="G366" s="186">
        <f>IF('prijem_zahranicie - viac-dom'!$I$121=TRUE,IF($C$11&gt;0,0.00025*C365,0),IF('prijem_zahranicie - viac-dom'!$I$122=TRUE,IF('prijem_zahranicie - viac-dom'!$F$122&gt;0,0.00025*C365,0),0))</f>
        <v>0</v>
      </c>
      <c r="L366" s="89">
        <v>350</v>
      </c>
      <c r="M366" s="186" t="e">
        <f t="shared" si="56"/>
        <v>#DIV/0!</v>
      </c>
      <c r="N366" s="171" t="e">
        <f t="shared" si="57"/>
        <v>#DIV/0!</v>
      </c>
      <c r="O366" s="171" t="e">
        <f t="shared" si="50"/>
        <v>#DIV/0!</v>
      </c>
      <c r="P366" s="171" t="e">
        <f t="shared" si="58"/>
        <v>#DIV/0!</v>
      </c>
      <c r="Q366" s="171" t="e">
        <f t="shared" si="59"/>
        <v>#DIV/0!</v>
      </c>
      <c r="R366" s="186">
        <f>IF('prijem_zahranicie - viac-dom'!$I$121=TRUE,IF($C$11&gt;0,0.00025*N365,0),IF('prijem_zahranicie - viac-dom'!$I$122=TRUE,IF('prijem_zahranicie - viac-dom'!$F$122&gt;0,0.00025*N365*-1,0),0))</f>
        <v>0</v>
      </c>
    </row>
    <row r="367" spans="1:18" x14ac:dyDescent="0.2">
      <c r="A367" s="89">
        <v>351</v>
      </c>
      <c r="B367" s="186" t="e">
        <f t="shared" si="51"/>
        <v>#NUM!</v>
      </c>
      <c r="C367" s="171" t="e">
        <f t="shared" si="52"/>
        <v>#NUM!</v>
      </c>
      <c r="D367" s="171" t="e">
        <f t="shared" si="53"/>
        <v>#NUM!</v>
      </c>
      <c r="E367" s="171" t="e">
        <f t="shared" si="54"/>
        <v>#NUM!</v>
      </c>
      <c r="F367" s="171" t="e">
        <f t="shared" si="55"/>
        <v>#NUM!</v>
      </c>
      <c r="G367" s="186">
        <f>IF('prijem_zahranicie - viac-dom'!$I$121=TRUE,IF($C$11&gt;0,0.00025*C366,0),IF('prijem_zahranicie - viac-dom'!$I$122=TRUE,IF('prijem_zahranicie - viac-dom'!$F$122&gt;0,0.00025*C366,0),0))</f>
        <v>0</v>
      </c>
      <c r="L367" s="89">
        <v>351</v>
      </c>
      <c r="M367" s="186" t="e">
        <f t="shared" si="56"/>
        <v>#DIV/0!</v>
      </c>
      <c r="N367" s="171" t="e">
        <f t="shared" si="57"/>
        <v>#DIV/0!</v>
      </c>
      <c r="O367" s="171" t="e">
        <f t="shared" si="50"/>
        <v>#DIV/0!</v>
      </c>
      <c r="P367" s="171" t="e">
        <f t="shared" si="58"/>
        <v>#DIV/0!</v>
      </c>
      <c r="Q367" s="171" t="e">
        <f t="shared" si="59"/>
        <v>#DIV/0!</v>
      </c>
      <c r="R367" s="186">
        <f>IF('prijem_zahranicie - viac-dom'!$I$121=TRUE,IF($C$11&gt;0,0.00025*N366,0),IF('prijem_zahranicie - viac-dom'!$I$122=TRUE,IF('prijem_zahranicie - viac-dom'!$F$122&gt;0,0.00025*N366*-1,0),0))</f>
        <v>0</v>
      </c>
    </row>
    <row r="368" spans="1:18" x14ac:dyDescent="0.2">
      <c r="A368" s="89">
        <v>352</v>
      </c>
      <c r="B368" s="186" t="e">
        <f t="shared" si="51"/>
        <v>#NUM!</v>
      </c>
      <c r="C368" s="171" t="e">
        <f t="shared" si="52"/>
        <v>#NUM!</v>
      </c>
      <c r="D368" s="171" t="e">
        <f t="shared" si="53"/>
        <v>#NUM!</v>
      </c>
      <c r="E368" s="171" t="e">
        <f t="shared" si="54"/>
        <v>#NUM!</v>
      </c>
      <c r="F368" s="171" t="e">
        <f t="shared" si="55"/>
        <v>#NUM!</v>
      </c>
      <c r="G368" s="186">
        <f>IF('prijem_zahranicie - viac-dom'!$I$121=TRUE,IF($C$11&gt;0,0.00025*C367,0),IF('prijem_zahranicie - viac-dom'!$I$122=TRUE,IF('prijem_zahranicie - viac-dom'!$F$122&gt;0,0.00025*C367,0),0))</f>
        <v>0</v>
      </c>
      <c r="L368" s="89">
        <v>352</v>
      </c>
      <c r="M368" s="186" t="e">
        <f t="shared" si="56"/>
        <v>#DIV/0!</v>
      </c>
      <c r="N368" s="171" t="e">
        <f t="shared" si="57"/>
        <v>#DIV/0!</v>
      </c>
      <c r="O368" s="171" t="e">
        <f t="shared" si="50"/>
        <v>#DIV/0!</v>
      </c>
      <c r="P368" s="171" t="e">
        <f t="shared" si="58"/>
        <v>#DIV/0!</v>
      </c>
      <c r="Q368" s="171" t="e">
        <f t="shared" si="59"/>
        <v>#DIV/0!</v>
      </c>
      <c r="R368" s="186">
        <f>IF('prijem_zahranicie - viac-dom'!$I$121=TRUE,IF($C$11&gt;0,0.00025*N367,0),IF('prijem_zahranicie - viac-dom'!$I$122=TRUE,IF('prijem_zahranicie - viac-dom'!$F$122&gt;0,0.00025*N367*-1,0),0))</f>
        <v>0</v>
      </c>
    </row>
    <row r="369" spans="1:18" x14ac:dyDescent="0.2">
      <c r="A369" s="89">
        <v>353</v>
      </c>
      <c r="B369" s="186" t="e">
        <f t="shared" si="51"/>
        <v>#NUM!</v>
      </c>
      <c r="C369" s="171" t="e">
        <f t="shared" si="52"/>
        <v>#NUM!</v>
      </c>
      <c r="D369" s="171" t="e">
        <f t="shared" si="53"/>
        <v>#NUM!</v>
      </c>
      <c r="E369" s="171" t="e">
        <f t="shared" si="54"/>
        <v>#NUM!</v>
      </c>
      <c r="F369" s="171" t="e">
        <f t="shared" si="55"/>
        <v>#NUM!</v>
      </c>
      <c r="G369" s="186">
        <f>IF('prijem_zahranicie - viac-dom'!$I$121=TRUE,IF($C$11&gt;0,0.00025*C368,0),IF('prijem_zahranicie - viac-dom'!$I$122=TRUE,IF('prijem_zahranicie - viac-dom'!$F$122&gt;0,0.00025*C368,0),0))</f>
        <v>0</v>
      </c>
      <c r="L369" s="89">
        <v>353</v>
      </c>
      <c r="M369" s="186" t="e">
        <f t="shared" si="56"/>
        <v>#DIV/0!</v>
      </c>
      <c r="N369" s="171" t="e">
        <f t="shared" si="57"/>
        <v>#DIV/0!</v>
      </c>
      <c r="O369" s="171" t="e">
        <f t="shared" si="50"/>
        <v>#DIV/0!</v>
      </c>
      <c r="P369" s="171" t="e">
        <f t="shared" si="58"/>
        <v>#DIV/0!</v>
      </c>
      <c r="Q369" s="171" t="e">
        <f t="shared" si="59"/>
        <v>#DIV/0!</v>
      </c>
      <c r="R369" s="186">
        <f>IF('prijem_zahranicie - viac-dom'!$I$121=TRUE,IF($C$11&gt;0,0.00025*N368,0),IF('prijem_zahranicie - viac-dom'!$I$122=TRUE,IF('prijem_zahranicie - viac-dom'!$F$122&gt;0,0.00025*N368*-1,0),0))</f>
        <v>0</v>
      </c>
    </row>
    <row r="370" spans="1:18" x14ac:dyDescent="0.2">
      <c r="A370" s="89">
        <v>354</v>
      </c>
      <c r="B370" s="186" t="e">
        <f t="shared" si="51"/>
        <v>#NUM!</v>
      </c>
      <c r="C370" s="171" t="e">
        <f t="shared" si="52"/>
        <v>#NUM!</v>
      </c>
      <c r="D370" s="171" t="e">
        <f t="shared" si="53"/>
        <v>#NUM!</v>
      </c>
      <c r="E370" s="171" t="e">
        <f t="shared" si="54"/>
        <v>#NUM!</v>
      </c>
      <c r="F370" s="171" t="e">
        <f t="shared" si="55"/>
        <v>#NUM!</v>
      </c>
      <c r="G370" s="186">
        <f>IF('prijem_zahranicie - viac-dom'!$I$121=TRUE,IF($C$11&gt;0,0.00025*C369,0),IF('prijem_zahranicie - viac-dom'!$I$122=TRUE,IF('prijem_zahranicie - viac-dom'!$F$122&gt;0,0.00025*C369,0),0))</f>
        <v>0</v>
      </c>
      <c r="L370" s="89">
        <v>354</v>
      </c>
      <c r="M370" s="186" t="e">
        <f t="shared" si="56"/>
        <v>#DIV/0!</v>
      </c>
      <c r="N370" s="171" t="e">
        <f t="shared" si="57"/>
        <v>#DIV/0!</v>
      </c>
      <c r="O370" s="171" t="e">
        <f t="shared" si="50"/>
        <v>#DIV/0!</v>
      </c>
      <c r="P370" s="171" t="e">
        <f t="shared" si="58"/>
        <v>#DIV/0!</v>
      </c>
      <c r="Q370" s="171" t="e">
        <f t="shared" si="59"/>
        <v>#DIV/0!</v>
      </c>
      <c r="R370" s="186">
        <f>IF('prijem_zahranicie - viac-dom'!$I$121=TRUE,IF($C$11&gt;0,0.00025*N369,0),IF('prijem_zahranicie - viac-dom'!$I$122=TRUE,IF('prijem_zahranicie - viac-dom'!$F$122&gt;0,0.00025*N369*-1,0),0))</f>
        <v>0</v>
      </c>
    </row>
    <row r="371" spans="1:18" x14ac:dyDescent="0.2">
      <c r="A371" s="89">
        <v>355</v>
      </c>
      <c r="B371" s="186" t="e">
        <f t="shared" si="51"/>
        <v>#NUM!</v>
      </c>
      <c r="C371" s="171" t="e">
        <f t="shared" si="52"/>
        <v>#NUM!</v>
      </c>
      <c r="D371" s="171" t="e">
        <f t="shared" si="53"/>
        <v>#NUM!</v>
      </c>
      <c r="E371" s="171" t="e">
        <f t="shared" si="54"/>
        <v>#NUM!</v>
      </c>
      <c r="F371" s="171" t="e">
        <f t="shared" si="55"/>
        <v>#NUM!</v>
      </c>
      <c r="G371" s="186">
        <f>IF('prijem_zahranicie - viac-dom'!$I$121=TRUE,IF($C$11&gt;0,0.00025*C370,0),IF('prijem_zahranicie - viac-dom'!$I$122=TRUE,IF('prijem_zahranicie - viac-dom'!$F$122&gt;0,0.00025*C370,0),0))</f>
        <v>0</v>
      </c>
      <c r="L371" s="89">
        <v>355</v>
      </c>
      <c r="M371" s="186" t="e">
        <f t="shared" si="56"/>
        <v>#DIV/0!</v>
      </c>
      <c r="N371" s="171" t="e">
        <f t="shared" si="57"/>
        <v>#DIV/0!</v>
      </c>
      <c r="O371" s="171" t="e">
        <f t="shared" si="50"/>
        <v>#DIV/0!</v>
      </c>
      <c r="P371" s="171" t="e">
        <f t="shared" si="58"/>
        <v>#DIV/0!</v>
      </c>
      <c r="Q371" s="171" t="e">
        <f t="shared" si="59"/>
        <v>#DIV/0!</v>
      </c>
      <c r="R371" s="186">
        <f>IF('prijem_zahranicie - viac-dom'!$I$121=TRUE,IF($C$11&gt;0,0.00025*N370,0),IF('prijem_zahranicie - viac-dom'!$I$122=TRUE,IF('prijem_zahranicie - viac-dom'!$F$122&gt;0,0.00025*N370*-1,0),0))</f>
        <v>0</v>
      </c>
    </row>
    <row r="372" spans="1:18" x14ac:dyDescent="0.2">
      <c r="A372" s="89">
        <v>356</v>
      </c>
      <c r="B372" s="186" t="e">
        <f t="shared" si="51"/>
        <v>#NUM!</v>
      </c>
      <c r="C372" s="171" t="e">
        <f t="shared" si="52"/>
        <v>#NUM!</v>
      </c>
      <c r="D372" s="171" t="e">
        <f t="shared" si="53"/>
        <v>#NUM!</v>
      </c>
      <c r="E372" s="171" t="e">
        <f t="shared" si="54"/>
        <v>#NUM!</v>
      </c>
      <c r="F372" s="171" t="e">
        <f t="shared" si="55"/>
        <v>#NUM!</v>
      </c>
      <c r="G372" s="186">
        <f>IF('prijem_zahranicie - viac-dom'!$I$121=TRUE,IF($C$11&gt;0,0.00025*C371,0),IF('prijem_zahranicie - viac-dom'!$I$122=TRUE,IF('prijem_zahranicie - viac-dom'!$F$122&gt;0,0.00025*C371,0),0))</f>
        <v>0</v>
      </c>
      <c r="L372" s="89">
        <v>356</v>
      </c>
      <c r="M372" s="186" t="e">
        <f t="shared" si="56"/>
        <v>#DIV/0!</v>
      </c>
      <c r="N372" s="171" t="e">
        <f t="shared" si="57"/>
        <v>#DIV/0!</v>
      </c>
      <c r="O372" s="171" t="e">
        <f t="shared" si="50"/>
        <v>#DIV/0!</v>
      </c>
      <c r="P372" s="171" t="e">
        <f t="shared" si="58"/>
        <v>#DIV/0!</v>
      </c>
      <c r="Q372" s="171" t="e">
        <f t="shared" si="59"/>
        <v>#DIV/0!</v>
      </c>
      <c r="R372" s="186">
        <f>IF('prijem_zahranicie - viac-dom'!$I$121=TRUE,IF($C$11&gt;0,0.00025*N371,0),IF('prijem_zahranicie - viac-dom'!$I$122=TRUE,IF('prijem_zahranicie - viac-dom'!$F$122&gt;0,0.00025*N371*-1,0),0))</f>
        <v>0</v>
      </c>
    </row>
    <row r="373" spans="1:18" x14ac:dyDescent="0.2">
      <c r="A373" s="89">
        <v>357</v>
      </c>
      <c r="B373" s="186" t="e">
        <f t="shared" si="51"/>
        <v>#NUM!</v>
      </c>
      <c r="C373" s="171" t="e">
        <f t="shared" si="52"/>
        <v>#NUM!</v>
      </c>
      <c r="D373" s="171" t="e">
        <f t="shared" si="53"/>
        <v>#NUM!</v>
      </c>
      <c r="E373" s="171" t="e">
        <f t="shared" si="54"/>
        <v>#NUM!</v>
      </c>
      <c r="F373" s="171" t="e">
        <f t="shared" si="55"/>
        <v>#NUM!</v>
      </c>
      <c r="G373" s="186">
        <f>IF('prijem_zahranicie - viac-dom'!$I$121=TRUE,IF($C$11&gt;0,0.00025*C372,0),IF('prijem_zahranicie - viac-dom'!$I$122=TRUE,IF('prijem_zahranicie - viac-dom'!$F$122&gt;0,0.00025*C372,0),0))</f>
        <v>0</v>
      </c>
      <c r="L373" s="89">
        <v>357</v>
      </c>
      <c r="M373" s="186" t="e">
        <f t="shared" si="56"/>
        <v>#DIV/0!</v>
      </c>
      <c r="N373" s="171" t="e">
        <f t="shared" si="57"/>
        <v>#DIV/0!</v>
      </c>
      <c r="O373" s="171" t="e">
        <f t="shared" si="50"/>
        <v>#DIV/0!</v>
      </c>
      <c r="P373" s="171" t="e">
        <f t="shared" si="58"/>
        <v>#DIV/0!</v>
      </c>
      <c r="Q373" s="171" t="e">
        <f t="shared" si="59"/>
        <v>#DIV/0!</v>
      </c>
      <c r="R373" s="186">
        <f>IF('prijem_zahranicie - viac-dom'!$I$121=TRUE,IF($C$11&gt;0,0.00025*N372,0),IF('prijem_zahranicie - viac-dom'!$I$122=TRUE,IF('prijem_zahranicie - viac-dom'!$F$122&gt;0,0.00025*N372*-1,0),0))</f>
        <v>0</v>
      </c>
    </row>
    <row r="374" spans="1:18" x14ac:dyDescent="0.2">
      <c r="A374" s="89">
        <v>358</v>
      </c>
      <c r="B374" s="186" t="e">
        <f t="shared" si="51"/>
        <v>#NUM!</v>
      </c>
      <c r="C374" s="171" t="e">
        <f t="shared" si="52"/>
        <v>#NUM!</v>
      </c>
      <c r="D374" s="171" t="e">
        <f t="shared" si="53"/>
        <v>#NUM!</v>
      </c>
      <c r="E374" s="171" t="e">
        <f t="shared" si="54"/>
        <v>#NUM!</v>
      </c>
      <c r="F374" s="171" t="e">
        <f t="shared" si="55"/>
        <v>#NUM!</v>
      </c>
      <c r="G374" s="186">
        <f>IF('prijem_zahranicie - viac-dom'!$I$121=TRUE,IF($C$11&gt;0,0.00025*C373,0),IF('prijem_zahranicie - viac-dom'!$I$122=TRUE,IF('prijem_zahranicie - viac-dom'!$F$122&gt;0,0.00025*C373,0),0))</f>
        <v>0</v>
      </c>
      <c r="L374" s="89">
        <v>358</v>
      </c>
      <c r="M374" s="186" t="e">
        <f t="shared" si="56"/>
        <v>#DIV/0!</v>
      </c>
      <c r="N374" s="171" t="e">
        <f t="shared" si="57"/>
        <v>#DIV/0!</v>
      </c>
      <c r="O374" s="171" t="e">
        <f t="shared" si="50"/>
        <v>#DIV/0!</v>
      </c>
      <c r="P374" s="171" t="e">
        <f t="shared" si="58"/>
        <v>#DIV/0!</v>
      </c>
      <c r="Q374" s="171" t="e">
        <f t="shared" si="59"/>
        <v>#DIV/0!</v>
      </c>
      <c r="R374" s="186">
        <f>IF('prijem_zahranicie - viac-dom'!$I$121=TRUE,IF($C$11&gt;0,0.00025*N373,0),IF('prijem_zahranicie - viac-dom'!$I$122=TRUE,IF('prijem_zahranicie - viac-dom'!$F$122&gt;0,0.00025*N373*-1,0),0))</f>
        <v>0</v>
      </c>
    </row>
    <row r="375" spans="1:18" x14ac:dyDescent="0.2">
      <c r="A375" s="89">
        <v>359</v>
      </c>
      <c r="B375" s="186" t="e">
        <f t="shared" si="51"/>
        <v>#NUM!</v>
      </c>
      <c r="C375" s="171" t="e">
        <f t="shared" si="52"/>
        <v>#NUM!</v>
      </c>
      <c r="D375" s="171" t="e">
        <f t="shared" si="53"/>
        <v>#NUM!</v>
      </c>
      <c r="E375" s="171" t="e">
        <f t="shared" si="54"/>
        <v>#NUM!</v>
      </c>
      <c r="F375" s="171" t="e">
        <f t="shared" si="55"/>
        <v>#NUM!</v>
      </c>
      <c r="G375" s="186">
        <f>IF('prijem_zahranicie - viac-dom'!$I$121=TRUE,IF($C$11&gt;0,0.00025*C374,0),IF('prijem_zahranicie - viac-dom'!$I$122=TRUE,IF('prijem_zahranicie - viac-dom'!$F$122&gt;0,0.00025*C374,0),0))</f>
        <v>0</v>
      </c>
      <c r="L375" s="89">
        <v>359</v>
      </c>
      <c r="M375" s="186" t="e">
        <f t="shared" si="56"/>
        <v>#DIV/0!</v>
      </c>
      <c r="N375" s="171" t="e">
        <f t="shared" si="57"/>
        <v>#DIV/0!</v>
      </c>
      <c r="O375" s="171" t="e">
        <f t="shared" si="50"/>
        <v>#DIV/0!</v>
      </c>
      <c r="P375" s="171" t="e">
        <f t="shared" si="58"/>
        <v>#DIV/0!</v>
      </c>
      <c r="Q375" s="171" t="e">
        <f t="shared" si="59"/>
        <v>#DIV/0!</v>
      </c>
      <c r="R375" s="186">
        <f>IF('prijem_zahranicie - viac-dom'!$I$121=TRUE,IF($C$11&gt;0,0.00025*N374,0),IF('prijem_zahranicie - viac-dom'!$I$122=TRUE,IF('prijem_zahranicie - viac-dom'!$F$122&gt;0,0.00025*N374*-1,0),0))</f>
        <v>0</v>
      </c>
    </row>
    <row r="376" spans="1:18" x14ac:dyDescent="0.2">
      <c r="A376" s="89">
        <v>360</v>
      </c>
      <c r="B376" s="186" t="e">
        <f t="shared" si="51"/>
        <v>#NUM!</v>
      </c>
      <c r="C376" s="171" t="e">
        <f t="shared" si="52"/>
        <v>#NUM!</v>
      </c>
      <c r="D376" s="171" t="e">
        <f t="shared" si="53"/>
        <v>#NUM!</v>
      </c>
      <c r="E376" s="171" t="e">
        <f t="shared" si="54"/>
        <v>#NUM!</v>
      </c>
      <c r="F376" s="171" t="e">
        <f t="shared" si="55"/>
        <v>#NUM!</v>
      </c>
      <c r="G376" s="186">
        <f>IF('prijem_zahranicie - viac-dom'!$I$121=TRUE,IF($C$11&gt;0,0.00025*C375,0),IF('prijem_zahranicie - viac-dom'!$I$122=TRUE,IF('prijem_zahranicie - viac-dom'!$F$122&gt;0,0.00025*C375,0),0))</f>
        <v>0</v>
      </c>
      <c r="L376" s="89">
        <v>360</v>
      </c>
      <c r="M376" s="186" t="e">
        <f t="shared" si="56"/>
        <v>#DIV/0!</v>
      </c>
      <c r="N376" s="171" t="e">
        <f t="shared" si="57"/>
        <v>#DIV/0!</v>
      </c>
      <c r="O376" s="171" t="e">
        <f t="shared" si="50"/>
        <v>#DIV/0!</v>
      </c>
      <c r="P376" s="171" t="e">
        <f t="shared" si="58"/>
        <v>#DIV/0!</v>
      </c>
      <c r="Q376" s="171" t="e">
        <f t="shared" si="59"/>
        <v>#DIV/0!</v>
      </c>
      <c r="R376" s="186">
        <f>IF('prijem_zahranicie - viac-dom'!$I$121=TRUE,IF($C$11&gt;0,0.00025*N375,0),IF('prijem_zahranicie - viac-dom'!$I$122=TRUE,IF('prijem_zahranicie - viac-dom'!$F$122&gt;0,0.00025*N375*-1,0),0))</f>
        <v>0</v>
      </c>
    </row>
    <row r="377" spans="1:18" x14ac:dyDescent="0.2">
      <c r="A377" s="89">
        <v>361</v>
      </c>
      <c r="B377" s="186" t="e">
        <f t="shared" si="51"/>
        <v>#NUM!</v>
      </c>
      <c r="C377" s="171" t="e">
        <f t="shared" si="52"/>
        <v>#NUM!</v>
      </c>
      <c r="D377" s="171" t="e">
        <f t="shared" si="53"/>
        <v>#NUM!</v>
      </c>
      <c r="E377" s="171" t="e">
        <f t="shared" si="54"/>
        <v>#NUM!</v>
      </c>
      <c r="F377" s="171" t="e">
        <f t="shared" si="55"/>
        <v>#NUM!</v>
      </c>
      <c r="G377" s="186">
        <f>IF('prijem_zahranicie - viac-dom'!$I$121=TRUE,IF($C$11&gt;0,0.00025*C376,0),IF('prijem_zahranicie - viac-dom'!$I$122=TRUE,IF('prijem_zahranicie - viac-dom'!$F$122&gt;0,0.00025*C376,0),0))</f>
        <v>0</v>
      </c>
      <c r="L377" s="89">
        <v>361</v>
      </c>
      <c r="M377" s="186" t="e">
        <f t="shared" si="56"/>
        <v>#DIV/0!</v>
      </c>
      <c r="N377" s="171" t="e">
        <f t="shared" si="57"/>
        <v>#DIV/0!</v>
      </c>
      <c r="O377" s="171" t="e">
        <f t="shared" si="50"/>
        <v>#DIV/0!</v>
      </c>
      <c r="P377" s="171" t="e">
        <f t="shared" si="58"/>
        <v>#DIV/0!</v>
      </c>
      <c r="Q377" s="171" t="e">
        <f t="shared" si="59"/>
        <v>#DIV/0!</v>
      </c>
      <c r="R377" s="186">
        <f>IF('prijem_zahranicie - viac-dom'!$I$121=TRUE,IF($C$11&gt;0,0.00025*N376,0),IF('prijem_zahranicie - viac-dom'!$I$122=TRUE,IF('prijem_zahranicie - viac-dom'!$F$122&gt;0,0.00025*N376*-1,0),0))</f>
        <v>0</v>
      </c>
    </row>
    <row r="378" spans="1:18" x14ac:dyDescent="0.2">
      <c r="A378" s="89">
        <v>362</v>
      </c>
      <c r="B378" s="186" t="e">
        <f t="shared" si="51"/>
        <v>#NUM!</v>
      </c>
      <c r="C378" s="171" t="e">
        <f t="shared" si="52"/>
        <v>#NUM!</v>
      </c>
      <c r="D378" s="171" t="e">
        <f t="shared" si="53"/>
        <v>#NUM!</v>
      </c>
      <c r="E378" s="171" t="e">
        <f t="shared" si="54"/>
        <v>#NUM!</v>
      </c>
      <c r="F378" s="171" t="e">
        <f t="shared" si="55"/>
        <v>#NUM!</v>
      </c>
      <c r="G378" s="186">
        <f>IF('prijem_zahranicie - viac-dom'!$I$121=TRUE,IF($C$11&gt;0,0.00025*C377,0),IF('prijem_zahranicie - viac-dom'!$I$122=TRUE,IF('prijem_zahranicie - viac-dom'!$F$122&gt;0,0.00025*C377,0),0))</f>
        <v>0</v>
      </c>
      <c r="L378" s="89">
        <v>362</v>
      </c>
      <c r="M378" s="186" t="e">
        <f t="shared" si="56"/>
        <v>#DIV/0!</v>
      </c>
      <c r="N378" s="171" t="e">
        <f t="shared" si="57"/>
        <v>#DIV/0!</v>
      </c>
      <c r="O378" s="171" t="e">
        <f t="shared" si="50"/>
        <v>#DIV/0!</v>
      </c>
      <c r="P378" s="171" t="e">
        <f t="shared" si="58"/>
        <v>#DIV/0!</v>
      </c>
      <c r="Q378" s="171" t="e">
        <f t="shared" si="59"/>
        <v>#DIV/0!</v>
      </c>
      <c r="R378" s="186">
        <f>IF('prijem_zahranicie - viac-dom'!$I$121=TRUE,IF($C$11&gt;0,0.00025*N377,0),IF('prijem_zahranicie - viac-dom'!$I$122=TRUE,IF('prijem_zahranicie - viac-dom'!$F$122&gt;0,0.00025*N377*-1,0),0))</f>
        <v>0</v>
      </c>
    </row>
    <row r="379" spans="1:18" x14ac:dyDescent="0.2">
      <c r="A379" s="89">
        <v>363</v>
      </c>
      <c r="B379" s="186" t="e">
        <f t="shared" si="51"/>
        <v>#NUM!</v>
      </c>
      <c r="C379" s="171" t="e">
        <f t="shared" si="52"/>
        <v>#NUM!</v>
      </c>
      <c r="D379" s="171" t="e">
        <f t="shared" si="53"/>
        <v>#NUM!</v>
      </c>
      <c r="E379" s="171" t="e">
        <f t="shared" si="54"/>
        <v>#NUM!</v>
      </c>
      <c r="F379" s="171" t="e">
        <f t="shared" si="55"/>
        <v>#NUM!</v>
      </c>
      <c r="G379" s="186">
        <f>IF('prijem_zahranicie - viac-dom'!$I$121=TRUE,IF($C$11&gt;0,0.00025*C378,0),IF('prijem_zahranicie - viac-dom'!$I$122=TRUE,IF('prijem_zahranicie - viac-dom'!$F$122&gt;0,0.00025*C378,0),0))</f>
        <v>0</v>
      </c>
      <c r="L379" s="89">
        <v>363</v>
      </c>
      <c r="M379" s="186" t="e">
        <f t="shared" si="56"/>
        <v>#DIV/0!</v>
      </c>
      <c r="N379" s="171" t="e">
        <f t="shared" si="57"/>
        <v>#DIV/0!</v>
      </c>
      <c r="O379" s="171" t="e">
        <f t="shared" si="50"/>
        <v>#DIV/0!</v>
      </c>
      <c r="P379" s="171" t="e">
        <f t="shared" si="58"/>
        <v>#DIV/0!</v>
      </c>
      <c r="Q379" s="171" t="e">
        <f t="shared" si="59"/>
        <v>#DIV/0!</v>
      </c>
      <c r="R379" s="186">
        <f>IF('prijem_zahranicie - viac-dom'!$I$121=TRUE,IF($C$11&gt;0,0.00025*N378,0),IF('prijem_zahranicie - viac-dom'!$I$122=TRUE,IF('prijem_zahranicie - viac-dom'!$F$122&gt;0,0.00025*N378*-1,0),0))</f>
        <v>0</v>
      </c>
    </row>
    <row r="380" spans="1:18" x14ac:dyDescent="0.2">
      <c r="A380" s="89">
        <v>364</v>
      </c>
      <c r="B380" s="186" t="e">
        <f t="shared" si="51"/>
        <v>#NUM!</v>
      </c>
      <c r="C380" s="171" t="e">
        <f t="shared" si="52"/>
        <v>#NUM!</v>
      </c>
      <c r="D380" s="171" t="e">
        <f t="shared" si="53"/>
        <v>#NUM!</v>
      </c>
      <c r="E380" s="171" t="e">
        <f t="shared" si="54"/>
        <v>#NUM!</v>
      </c>
      <c r="F380" s="171" t="e">
        <f t="shared" si="55"/>
        <v>#NUM!</v>
      </c>
      <c r="G380" s="186">
        <f>IF('prijem_zahranicie - viac-dom'!$I$121=TRUE,IF($C$11&gt;0,0.00025*C379,0),IF('prijem_zahranicie - viac-dom'!$I$122=TRUE,IF('prijem_zahranicie - viac-dom'!$F$122&gt;0,0.00025*C379,0),0))</f>
        <v>0</v>
      </c>
      <c r="L380" s="89">
        <v>364</v>
      </c>
      <c r="M380" s="186" t="e">
        <f t="shared" si="56"/>
        <v>#DIV/0!</v>
      </c>
      <c r="N380" s="171" t="e">
        <f t="shared" si="57"/>
        <v>#DIV/0!</v>
      </c>
      <c r="O380" s="171" t="e">
        <f t="shared" si="50"/>
        <v>#DIV/0!</v>
      </c>
      <c r="P380" s="171" t="e">
        <f t="shared" si="58"/>
        <v>#DIV/0!</v>
      </c>
      <c r="Q380" s="171" t="e">
        <f t="shared" si="59"/>
        <v>#DIV/0!</v>
      </c>
      <c r="R380" s="186">
        <f>IF('prijem_zahranicie - viac-dom'!$I$121=TRUE,IF($C$11&gt;0,0.00025*N379,0),IF('prijem_zahranicie - viac-dom'!$I$122=TRUE,IF('prijem_zahranicie - viac-dom'!$F$122&gt;0,0.00025*N379*-1,0),0))</f>
        <v>0</v>
      </c>
    </row>
    <row r="381" spans="1:18" x14ac:dyDescent="0.2">
      <c r="A381" s="89">
        <v>365</v>
      </c>
      <c r="B381" s="186" t="e">
        <f t="shared" si="51"/>
        <v>#NUM!</v>
      </c>
      <c r="C381" s="171" t="e">
        <f t="shared" si="52"/>
        <v>#NUM!</v>
      </c>
      <c r="D381" s="171" t="e">
        <f t="shared" si="53"/>
        <v>#NUM!</v>
      </c>
      <c r="E381" s="171" t="e">
        <f t="shared" si="54"/>
        <v>#NUM!</v>
      </c>
      <c r="F381" s="171" t="e">
        <f t="shared" si="55"/>
        <v>#NUM!</v>
      </c>
      <c r="G381" s="186">
        <f>IF('prijem_zahranicie - viac-dom'!$I$121=TRUE,IF($C$11&gt;0,0.00025*C380,0),IF('prijem_zahranicie - viac-dom'!$I$122=TRUE,IF('prijem_zahranicie - viac-dom'!$F$122&gt;0,0.00025*C380,0),0))</f>
        <v>0</v>
      </c>
      <c r="L381" s="89">
        <v>365</v>
      </c>
      <c r="M381" s="186" t="e">
        <f t="shared" si="56"/>
        <v>#DIV/0!</v>
      </c>
      <c r="N381" s="171" t="e">
        <f t="shared" si="57"/>
        <v>#DIV/0!</v>
      </c>
      <c r="O381" s="171" t="e">
        <f t="shared" si="50"/>
        <v>#DIV/0!</v>
      </c>
      <c r="P381" s="171" t="e">
        <f t="shared" si="58"/>
        <v>#DIV/0!</v>
      </c>
      <c r="Q381" s="171" t="e">
        <f t="shared" si="59"/>
        <v>#DIV/0!</v>
      </c>
      <c r="R381" s="186">
        <f>IF('prijem_zahranicie - viac-dom'!$I$121=TRUE,IF($C$11&gt;0,0.00025*N380,0),IF('prijem_zahranicie - viac-dom'!$I$122=TRUE,IF('prijem_zahranicie - viac-dom'!$F$122&gt;0,0.00025*N380*-1,0),0))</f>
        <v>0</v>
      </c>
    </row>
    <row r="382" spans="1:18" x14ac:dyDescent="0.2">
      <c r="A382" s="89">
        <v>366</v>
      </c>
      <c r="B382" s="186" t="e">
        <f t="shared" si="51"/>
        <v>#NUM!</v>
      </c>
      <c r="C382" s="171" t="e">
        <f t="shared" si="52"/>
        <v>#NUM!</v>
      </c>
      <c r="D382" s="171" t="e">
        <f t="shared" si="53"/>
        <v>#NUM!</v>
      </c>
      <c r="E382" s="171" t="e">
        <f t="shared" si="54"/>
        <v>#NUM!</v>
      </c>
      <c r="F382" s="171" t="e">
        <f t="shared" si="55"/>
        <v>#NUM!</v>
      </c>
      <c r="G382" s="186">
        <f>IF('prijem_zahranicie - viac-dom'!$I$121=TRUE,IF($C$11&gt;0,0.00025*C381,0),IF('prijem_zahranicie - viac-dom'!$I$122=TRUE,IF('prijem_zahranicie - viac-dom'!$F$122&gt;0,0.00025*C381,0),0))</f>
        <v>0</v>
      </c>
      <c r="L382" s="89">
        <v>366</v>
      </c>
      <c r="M382" s="186" t="e">
        <f t="shared" si="56"/>
        <v>#DIV/0!</v>
      </c>
      <c r="N382" s="171" t="e">
        <f t="shared" si="57"/>
        <v>#DIV/0!</v>
      </c>
      <c r="O382" s="171" t="e">
        <f t="shared" si="50"/>
        <v>#DIV/0!</v>
      </c>
      <c r="P382" s="171" t="e">
        <f t="shared" si="58"/>
        <v>#DIV/0!</v>
      </c>
      <c r="Q382" s="171" t="e">
        <f t="shared" si="59"/>
        <v>#DIV/0!</v>
      </c>
      <c r="R382" s="186">
        <f>IF('prijem_zahranicie - viac-dom'!$I$121=TRUE,IF($C$11&gt;0,0.00025*N381,0),IF('prijem_zahranicie - viac-dom'!$I$122=TRUE,IF('prijem_zahranicie - viac-dom'!$F$122&gt;0,0.00025*N381*-1,0),0))</f>
        <v>0</v>
      </c>
    </row>
    <row r="383" spans="1:18" x14ac:dyDescent="0.2">
      <c r="A383" s="89">
        <v>367</v>
      </c>
      <c r="B383" s="186" t="e">
        <f t="shared" si="51"/>
        <v>#NUM!</v>
      </c>
      <c r="C383" s="171" t="e">
        <f t="shared" si="52"/>
        <v>#NUM!</v>
      </c>
      <c r="D383" s="171" t="e">
        <f t="shared" si="53"/>
        <v>#NUM!</v>
      </c>
      <c r="E383" s="171" t="e">
        <f t="shared" si="54"/>
        <v>#NUM!</v>
      </c>
      <c r="F383" s="171" t="e">
        <f t="shared" si="55"/>
        <v>#NUM!</v>
      </c>
      <c r="G383" s="186">
        <f>IF('prijem_zahranicie - viac-dom'!$I$121=TRUE,IF($C$11&gt;0,0.00025*C382,0),IF('prijem_zahranicie - viac-dom'!$I$122=TRUE,IF('prijem_zahranicie - viac-dom'!$F$122&gt;0,0.00025*C382,0),0))</f>
        <v>0</v>
      </c>
      <c r="L383" s="89">
        <v>367</v>
      </c>
      <c r="M383" s="186" t="e">
        <f t="shared" si="56"/>
        <v>#DIV/0!</v>
      </c>
      <c r="N383" s="171" t="e">
        <f t="shared" si="57"/>
        <v>#DIV/0!</v>
      </c>
      <c r="O383" s="171" t="e">
        <f t="shared" si="50"/>
        <v>#DIV/0!</v>
      </c>
      <c r="P383" s="171" t="e">
        <f t="shared" si="58"/>
        <v>#DIV/0!</v>
      </c>
      <c r="Q383" s="171" t="e">
        <f t="shared" si="59"/>
        <v>#DIV/0!</v>
      </c>
      <c r="R383" s="186">
        <f>IF('prijem_zahranicie - viac-dom'!$I$121=TRUE,IF($C$11&gt;0,0.00025*N382,0),IF('prijem_zahranicie - viac-dom'!$I$122=TRUE,IF('prijem_zahranicie - viac-dom'!$F$122&gt;0,0.00025*N382*-1,0),0))</f>
        <v>0</v>
      </c>
    </row>
    <row r="384" spans="1:18" x14ac:dyDescent="0.2">
      <c r="A384" s="89">
        <v>368</v>
      </c>
      <c r="B384" s="186" t="e">
        <f t="shared" si="51"/>
        <v>#NUM!</v>
      </c>
      <c r="C384" s="171" t="e">
        <f t="shared" si="52"/>
        <v>#NUM!</v>
      </c>
      <c r="D384" s="171" t="e">
        <f t="shared" si="53"/>
        <v>#NUM!</v>
      </c>
      <c r="E384" s="171" t="e">
        <f t="shared" si="54"/>
        <v>#NUM!</v>
      </c>
      <c r="F384" s="171" t="e">
        <f t="shared" si="55"/>
        <v>#NUM!</v>
      </c>
      <c r="G384" s="186">
        <f>IF('prijem_zahranicie - viac-dom'!$I$121=TRUE,IF($C$11&gt;0,0.00025*C383,0),IF('prijem_zahranicie - viac-dom'!$I$122=TRUE,IF('prijem_zahranicie - viac-dom'!$F$122&gt;0,0.00025*C383,0),0))</f>
        <v>0</v>
      </c>
      <c r="L384" s="89">
        <v>368</v>
      </c>
      <c r="M384" s="186" t="e">
        <f t="shared" si="56"/>
        <v>#DIV/0!</v>
      </c>
      <c r="N384" s="171" t="e">
        <f t="shared" si="57"/>
        <v>#DIV/0!</v>
      </c>
      <c r="O384" s="171" t="e">
        <f t="shared" si="50"/>
        <v>#DIV/0!</v>
      </c>
      <c r="P384" s="171" t="e">
        <f t="shared" si="58"/>
        <v>#DIV/0!</v>
      </c>
      <c r="Q384" s="171" t="e">
        <f t="shared" si="59"/>
        <v>#DIV/0!</v>
      </c>
      <c r="R384" s="186">
        <f>IF('prijem_zahranicie - viac-dom'!$I$121=TRUE,IF($C$11&gt;0,0.00025*N383,0),IF('prijem_zahranicie - viac-dom'!$I$122=TRUE,IF('prijem_zahranicie - viac-dom'!$F$122&gt;0,0.00025*N383*-1,0),0))</f>
        <v>0</v>
      </c>
    </row>
    <row r="385" spans="1:18" x14ac:dyDescent="0.2">
      <c r="A385" s="89">
        <v>369</v>
      </c>
      <c r="B385" s="186" t="e">
        <f t="shared" si="51"/>
        <v>#NUM!</v>
      </c>
      <c r="C385" s="171" t="e">
        <f t="shared" si="52"/>
        <v>#NUM!</v>
      </c>
      <c r="D385" s="171" t="e">
        <f t="shared" si="53"/>
        <v>#NUM!</v>
      </c>
      <c r="E385" s="171" t="e">
        <f t="shared" si="54"/>
        <v>#NUM!</v>
      </c>
      <c r="F385" s="171" t="e">
        <f t="shared" si="55"/>
        <v>#NUM!</v>
      </c>
      <c r="G385" s="186">
        <f>IF('prijem_zahranicie - viac-dom'!$I$121=TRUE,IF($C$11&gt;0,0.00025*C384,0),IF('prijem_zahranicie - viac-dom'!$I$122=TRUE,IF('prijem_zahranicie - viac-dom'!$F$122&gt;0,0.00025*C384,0),0))</f>
        <v>0</v>
      </c>
      <c r="L385" s="89">
        <v>369</v>
      </c>
      <c r="M385" s="186" t="e">
        <f t="shared" si="56"/>
        <v>#DIV/0!</v>
      </c>
      <c r="N385" s="171" t="e">
        <f t="shared" si="57"/>
        <v>#DIV/0!</v>
      </c>
      <c r="O385" s="171" t="e">
        <f t="shared" si="50"/>
        <v>#DIV/0!</v>
      </c>
      <c r="P385" s="171" t="e">
        <f t="shared" si="58"/>
        <v>#DIV/0!</v>
      </c>
      <c r="Q385" s="171" t="e">
        <f t="shared" si="59"/>
        <v>#DIV/0!</v>
      </c>
      <c r="R385" s="186">
        <f>IF('prijem_zahranicie - viac-dom'!$I$121=TRUE,IF($C$11&gt;0,0.00025*N384,0),IF('prijem_zahranicie - viac-dom'!$I$122=TRUE,IF('prijem_zahranicie - viac-dom'!$F$122&gt;0,0.00025*N384*-1,0),0))</f>
        <v>0</v>
      </c>
    </row>
    <row r="386" spans="1:18" x14ac:dyDescent="0.2">
      <c r="A386" s="89">
        <v>370</v>
      </c>
      <c r="B386" s="186" t="e">
        <f t="shared" si="51"/>
        <v>#NUM!</v>
      </c>
      <c r="C386" s="171" t="e">
        <f t="shared" si="52"/>
        <v>#NUM!</v>
      </c>
      <c r="D386" s="171" t="e">
        <f t="shared" si="53"/>
        <v>#NUM!</v>
      </c>
      <c r="E386" s="171" t="e">
        <f t="shared" si="54"/>
        <v>#NUM!</v>
      </c>
      <c r="F386" s="171" t="e">
        <f t="shared" si="55"/>
        <v>#NUM!</v>
      </c>
      <c r="G386" s="186">
        <f>IF('prijem_zahranicie - viac-dom'!$I$121=TRUE,IF($C$11&gt;0,0.00025*C385,0),IF('prijem_zahranicie - viac-dom'!$I$122=TRUE,IF('prijem_zahranicie - viac-dom'!$F$122&gt;0,0.00025*C385,0),0))</f>
        <v>0</v>
      </c>
      <c r="L386" s="89">
        <v>370</v>
      </c>
      <c r="M386" s="186" t="e">
        <f t="shared" si="56"/>
        <v>#DIV/0!</v>
      </c>
      <c r="N386" s="171" t="e">
        <f t="shared" si="57"/>
        <v>#DIV/0!</v>
      </c>
      <c r="O386" s="171" t="e">
        <f t="shared" si="50"/>
        <v>#DIV/0!</v>
      </c>
      <c r="P386" s="171" t="e">
        <f t="shared" si="58"/>
        <v>#DIV/0!</v>
      </c>
      <c r="Q386" s="171" t="e">
        <f t="shared" si="59"/>
        <v>#DIV/0!</v>
      </c>
      <c r="R386" s="186">
        <f>IF('prijem_zahranicie - viac-dom'!$I$121=TRUE,IF($C$11&gt;0,0.00025*N385,0),IF('prijem_zahranicie - viac-dom'!$I$122=TRUE,IF('prijem_zahranicie - viac-dom'!$F$122&gt;0,0.00025*N385*-1,0),0))</f>
        <v>0</v>
      </c>
    </row>
    <row r="387" spans="1:18" x14ac:dyDescent="0.2">
      <c r="A387" s="89">
        <v>371</v>
      </c>
      <c r="B387" s="186" t="e">
        <f t="shared" si="51"/>
        <v>#NUM!</v>
      </c>
      <c r="C387" s="171" t="e">
        <f t="shared" si="52"/>
        <v>#NUM!</v>
      </c>
      <c r="D387" s="171" t="e">
        <f t="shared" si="53"/>
        <v>#NUM!</v>
      </c>
      <c r="E387" s="171" t="e">
        <f t="shared" si="54"/>
        <v>#NUM!</v>
      </c>
      <c r="F387" s="171" t="e">
        <f t="shared" si="55"/>
        <v>#NUM!</v>
      </c>
      <c r="G387" s="186">
        <f>IF('prijem_zahranicie - viac-dom'!$I$121=TRUE,IF($C$11&gt;0,0.00025*C386,0),IF('prijem_zahranicie - viac-dom'!$I$122=TRUE,IF('prijem_zahranicie - viac-dom'!$F$122&gt;0,0.00025*C386,0),0))</f>
        <v>0</v>
      </c>
      <c r="L387" s="89">
        <v>371</v>
      </c>
      <c r="M387" s="186" t="e">
        <f t="shared" si="56"/>
        <v>#DIV/0!</v>
      </c>
      <c r="N387" s="171" t="e">
        <f t="shared" si="57"/>
        <v>#DIV/0!</v>
      </c>
      <c r="O387" s="171" t="e">
        <f t="shared" si="50"/>
        <v>#DIV/0!</v>
      </c>
      <c r="P387" s="171" t="e">
        <f t="shared" si="58"/>
        <v>#DIV/0!</v>
      </c>
      <c r="Q387" s="171" t="e">
        <f t="shared" si="59"/>
        <v>#DIV/0!</v>
      </c>
      <c r="R387" s="186">
        <f>IF('prijem_zahranicie - viac-dom'!$I$121=TRUE,IF($C$11&gt;0,0.00025*N386,0),IF('prijem_zahranicie - viac-dom'!$I$122=TRUE,IF('prijem_zahranicie - viac-dom'!$F$122&gt;0,0.00025*N386*-1,0),0))</f>
        <v>0</v>
      </c>
    </row>
    <row r="388" spans="1:18" x14ac:dyDescent="0.2">
      <c r="A388" s="89">
        <v>372</v>
      </c>
      <c r="B388" s="186" t="e">
        <f t="shared" si="51"/>
        <v>#NUM!</v>
      </c>
      <c r="C388" s="171" t="e">
        <f t="shared" si="52"/>
        <v>#NUM!</v>
      </c>
      <c r="D388" s="171" t="e">
        <f t="shared" si="53"/>
        <v>#NUM!</v>
      </c>
      <c r="E388" s="171" t="e">
        <f t="shared" si="54"/>
        <v>#NUM!</v>
      </c>
      <c r="F388" s="171" t="e">
        <f t="shared" si="55"/>
        <v>#NUM!</v>
      </c>
      <c r="G388" s="186">
        <f>IF('prijem_zahranicie - viac-dom'!$I$121=TRUE,IF($C$11&gt;0,0.00025*C387,0),IF('prijem_zahranicie - viac-dom'!$I$122=TRUE,IF('prijem_zahranicie - viac-dom'!$F$122&gt;0,0.00025*C387,0),0))</f>
        <v>0</v>
      </c>
      <c r="L388" s="89">
        <v>372</v>
      </c>
      <c r="M388" s="186" t="e">
        <f t="shared" si="56"/>
        <v>#DIV/0!</v>
      </c>
      <c r="N388" s="171" t="e">
        <f t="shared" si="57"/>
        <v>#DIV/0!</v>
      </c>
      <c r="O388" s="171" t="e">
        <f t="shared" si="50"/>
        <v>#DIV/0!</v>
      </c>
      <c r="P388" s="171" t="e">
        <f t="shared" si="58"/>
        <v>#DIV/0!</v>
      </c>
      <c r="Q388" s="171" t="e">
        <f t="shared" si="59"/>
        <v>#DIV/0!</v>
      </c>
      <c r="R388" s="186">
        <f>IF('prijem_zahranicie - viac-dom'!$I$121=TRUE,IF($C$11&gt;0,0.00025*N387,0),IF('prijem_zahranicie - viac-dom'!$I$122=TRUE,IF('prijem_zahranicie - viac-dom'!$F$122&gt;0,0.00025*N387*-1,0),0))</f>
        <v>0</v>
      </c>
    </row>
    <row r="389" spans="1:18" x14ac:dyDescent="0.2">
      <c r="A389" s="89">
        <v>373</v>
      </c>
      <c r="B389" s="186" t="e">
        <f t="shared" si="51"/>
        <v>#NUM!</v>
      </c>
      <c r="C389" s="171" t="e">
        <f t="shared" si="52"/>
        <v>#NUM!</v>
      </c>
      <c r="D389" s="171" t="e">
        <f t="shared" si="53"/>
        <v>#NUM!</v>
      </c>
      <c r="E389" s="171" t="e">
        <f t="shared" si="54"/>
        <v>#NUM!</v>
      </c>
      <c r="F389" s="171" t="e">
        <f t="shared" si="55"/>
        <v>#NUM!</v>
      </c>
      <c r="G389" s="186">
        <f>IF('prijem_zahranicie - viac-dom'!$I$121=TRUE,IF($C$11&gt;0,0.00025*C388,0),IF('prijem_zahranicie - viac-dom'!$I$122=TRUE,IF('prijem_zahranicie - viac-dom'!$F$122&gt;0,0.00025*C388,0),0))</f>
        <v>0</v>
      </c>
      <c r="L389" s="89">
        <v>373</v>
      </c>
      <c r="M389" s="186" t="e">
        <f t="shared" si="56"/>
        <v>#DIV/0!</v>
      </c>
      <c r="N389" s="171" t="e">
        <f t="shared" si="57"/>
        <v>#DIV/0!</v>
      </c>
      <c r="O389" s="171" t="e">
        <f t="shared" si="50"/>
        <v>#DIV/0!</v>
      </c>
      <c r="P389" s="171" t="e">
        <f t="shared" si="58"/>
        <v>#DIV/0!</v>
      </c>
      <c r="Q389" s="171" t="e">
        <f t="shared" si="59"/>
        <v>#DIV/0!</v>
      </c>
      <c r="R389" s="186">
        <f>IF('prijem_zahranicie - viac-dom'!$I$121=TRUE,IF($C$11&gt;0,0.00025*N388,0),IF('prijem_zahranicie - viac-dom'!$I$122=TRUE,IF('prijem_zahranicie - viac-dom'!$F$122&gt;0,0.00025*N388*-1,0),0))</f>
        <v>0</v>
      </c>
    </row>
    <row r="390" spans="1:18" x14ac:dyDescent="0.2">
      <c r="A390" s="89">
        <v>374</v>
      </c>
      <c r="B390" s="186" t="e">
        <f t="shared" si="51"/>
        <v>#NUM!</v>
      </c>
      <c r="C390" s="171" t="e">
        <f t="shared" si="52"/>
        <v>#NUM!</v>
      </c>
      <c r="D390" s="171" t="e">
        <f t="shared" si="53"/>
        <v>#NUM!</v>
      </c>
      <c r="E390" s="171" t="e">
        <f t="shared" si="54"/>
        <v>#NUM!</v>
      </c>
      <c r="F390" s="171" t="e">
        <f t="shared" si="55"/>
        <v>#NUM!</v>
      </c>
      <c r="G390" s="186">
        <f>IF('prijem_zahranicie - viac-dom'!$I$121=TRUE,IF($C$11&gt;0,0.00025*C389,0),IF('prijem_zahranicie - viac-dom'!$I$122=TRUE,IF('prijem_zahranicie - viac-dom'!$F$122&gt;0,0.00025*C389,0),0))</f>
        <v>0</v>
      </c>
      <c r="L390" s="89">
        <v>374</v>
      </c>
      <c r="M390" s="186" t="e">
        <f t="shared" si="56"/>
        <v>#DIV/0!</v>
      </c>
      <c r="N390" s="171" t="e">
        <f t="shared" si="57"/>
        <v>#DIV/0!</v>
      </c>
      <c r="O390" s="171" t="e">
        <f t="shared" si="50"/>
        <v>#DIV/0!</v>
      </c>
      <c r="P390" s="171" t="e">
        <f t="shared" si="58"/>
        <v>#DIV/0!</v>
      </c>
      <c r="Q390" s="171" t="e">
        <f t="shared" si="59"/>
        <v>#DIV/0!</v>
      </c>
      <c r="R390" s="186">
        <f>IF('prijem_zahranicie - viac-dom'!$I$121=TRUE,IF($C$11&gt;0,0.00025*N389,0),IF('prijem_zahranicie - viac-dom'!$I$122=TRUE,IF('prijem_zahranicie - viac-dom'!$F$122&gt;0,0.00025*N389*-1,0),0))</f>
        <v>0</v>
      </c>
    </row>
    <row r="391" spans="1:18" x14ac:dyDescent="0.2">
      <c r="A391" s="89">
        <v>375</v>
      </c>
      <c r="B391" s="186" t="e">
        <f t="shared" si="51"/>
        <v>#NUM!</v>
      </c>
      <c r="C391" s="171" t="e">
        <f t="shared" si="52"/>
        <v>#NUM!</v>
      </c>
      <c r="D391" s="171" t="e">
        <f t="shared" si="53"/>
        <v>#NUM!</v>
      </c>
      <c r="E391" s="171" t="e">
        <f t="shared" si="54"/>
        <v>#NUM!</v>
      </c>
      <c r="F391" s="171" t="e">
        <f t="shared" si="55"/>
        <v>#NUM!</v>
      </c>
      <c r="G391" s="186">
        <f>IF('prijem_zahranicie - viac-dom'!$I$121=TRUE,IF($C$11&gt;0,0.00025*C390,0),IF('prijem_zahranicie - viac-dom'!$I$122=TRUE,IF('prijem_zahranicie - viac-dom'!$F$122&gt;0,0.00025*C390,0),0))</f>
        <v>0</v>
      </c>
      <c r="L391" s="89">
        <v>375</v>
      </c>
      <c r="M391" s="186" t="e">
        <f t="shared" si="56"/>
        <v>#DIV/0!</v>
      </c>
      <c r="N391" s="171" t="e">
        <f t="shared" si="57"/>
        <v>#DIV/0!</v>
      </c>
      <c r="O391" s="171" t="e">
        <f t="shared" si="50"/>
        <v>#DIV/0!</v>
      </c>
      <c r="P391" s="171" t="e">
        <f t="shared" si="58"/>
        <v>#DIV/0!</v>
      </c>
      <c r="Q391" s="171" t="e">
        <f t="shared" si="59"/>
        <v>#DIV/0!</v>
      </c>
      <c r="R391" s="186">
        <f>IF('prijem_zahranicie - viac-dom'!$I$121=TRUE,IF($C$11&gt;0,0.00025*N390,0),IF('prijem_zahranicie - viac-dom'!$I$122=TRUE,IF('prijem_zahranicie - viac-dom'!$F$122&gt;0,0.00025*N390*-1,0),0))</f>
        <v>0</v>
      </c>
    </row>
    <row r="392" spans="1:18" x14ac:dyDescent="0.2">
      <c r="A392" s="89">
        <v>376</v>
      </c>
      <c r="B392" s="186" t="e">
        <f t="shared" si="51"/>
        <v>#NUM!</v>
      </c>
      <c r="C392" s="171" t="e">
        <f t="shared" si="52"/>
        <v>#NUM!</v>
      </c>
      <c r="D392" s="171" t="e">
        <f t="shared" si="53"/>
        <v>#NUM!</v>
      </c>
      <c r="E392" s="171" t="e">
        <f t="shared" si="54"/>
        <v>#NUM!</v>
      </c>
      <c r="F392" s="171" t="e">
        <f t="shared" si="55"/>
        <v>#NUM!</v>
      </c>
      <c r="G392" s="186">
        <f>IF('prijem_zahranicie - viac-dom'!$I$121=TRUE,IF($C$11&gt;0,0.00025*C391,0),IF('prijem_zahranicie - viac-dom'!$I$122=TRUE,IF('prijem_zahranicie - viac-dom'!$F$122&gt;0,0.00025*C391,0),0))</f>
        <v>0</v>
      </c>
      <c r="L392" s="89">
        <v>376</v>
      </c>
      <c r="M392" s="186" t="e">
        <f t="shared" si="56"/>
        <v>#DIV/0!</v>
      </c>
      <c r="N392" s="171" t="e">
        <f t="shared" si="57"/>
        <v>#DIV/0!</v>
      </c>
      <c r="O392" s="171" t="e">
        <f t="shared" si="50"/>
        <v>#DIV/0!</v>
      </c>
      <c r="P392" s="171" t="e">
        <f t="shared" si="58"/>
        <v>#DIV/0!</v>
      </c>
      <c r="Q392" s="171" t="e">
        <f t="shared" si="59"/>
        <v>#DIV/0!</v>
      </c>
      <c r="R392" s="186">
        <f>IF('prijem_zahranicie - viac-dom'!$I$121=TRUE,IF($C$11&gt;0,0.00025*N391,0),IF('prijem_zahranicie - viac-dom'!$I$122=TRUE,IF('prijem_zahranicie - viac-dom'!$F$122&gt;0,0.00025*N391*-1,0),0))</f>
        <v>0</v>
      </c>
    </row>
    <row r="393" spans="1:18" x14ac:dyDescent="0.2">
      <c r="A393" s="89">
        <v>377</v>
      </c>
      <c r="B393" s="186" t="e">
        <f t="shared" si="51"/>
        <v>#NUM!</v>
      </c>
      <c r="C393" s="171" t="e">
        <f t="shared" si="52"/>
        <v>#NUM!</v>
      </c>
      <c r="D393" s="171" t="e">
        <f t="shared" si="53"/>
        <v>#NUM!</v>
      </c>
      <c r="E393" s="171" t="e">
        <f t="shared" si="54"/>
        <v>#NUM!</v>
      </c>
      <c r="F393" s="171" t="e">
        <f t="shared" si="55"/>
        <v>#NUM!</v>
      </c>
      <c r="G393" s="186">
        <f>IF('prijem_zahranicie - viac-dom'!$I$121=TRUE,IF($C$11&gt;0,0.00025*C392,0),IF('prijem_zahranicie - viac-dom'!$I$122=TRUE,IF('prijem_zahranicie - viac-dom'!$F$122&gt;0,0.00025*C392,0),0))</f>
        <v>0</v>
      </c>
      <c r="L393" s="89">
        <v>377</v>
      </c>
      <c r="M393" s="186" t="e">
        <f t="shared" si="56"/>
        <v>#DIV/0!</v>
      </c>
      <c r="N393" s="171" t="e">
        <f t="shared" si="57"/>
        <v>#DIV/0!</v>
      </c>
      <c r="O393" s="171" t="e">
        <f t="shared" si="50"/>
        <v>#DIV/0!</v>
      </c>
      <c r="P393" s="171" t="e">
        <f t="shared" si="58"/>
        <v>#DIV/0!</v>
      </c>
      <c r="Q393" s="171" t="e">
        <f t="shared" si="59"/>
        <v>#DIV/0!</v>
      </c>
      <c r="R393" s="186">
        <f>IF('prijem_zahranicie - viac-dom'!$I$121=TRUE,IF($C$11&gt;0,0.00025*N392,0),IF('prijem_zahranicie - viac-dom'!$I$122=TRUE,IF('prijem_zahranicie - viac-dom'!$F$122&gt;0,0.00025*N392*-1,0),0))</f>
        <v>0</v>
      </c>
    </row>
    <row r="394" spans="1:18" x14ac:dyDescent="0.2">
      <c r="A394" s="89">
        <v>378</v>
      </c>
      <c r="B394" s="186" t="e">
        <f t="shared" si="51"/>
        <v>#NUM!</v>
      </c>
      <c r="C394" s="171" t="e">
        <f t="shared" si="52"/>
        <v>#NUM!</v>
      </c>
      <c r="D394" s="171" t="e">
        <f t="shared" si="53"/>
        <v>#NUM!</v>
      </c>
      <c r="E394" s="171" t="e">
        <f t="shared" si="54"/>
        <v>#NUM!</v>
      </c>
      <c r="F394" s="171" t="e">
        <f t="shared" si="55"/>
        <v>#NUM!</v>
      </c>
      <c r="G394" s="186">
        <f>IF('prijem_zahranicie - viac-dom'!$I$121=TRUE,IF($C$11&gt;0,0.00025*C393,0),IF('prijem_zahranicie - viac-dom'!$I$122=TRUE,IF('prijem_zahranicie - viac-dom'!$F$122&gt;0,0.00025*C393,0),0))</f>
        <v>0</v>
      </c>
      <c r="L394" s="89">
        <v>378</v>
      </c>
      <c r="M394" s="186" t="e">
        <f t="shared" si="56"/>
        <v>#DIV/0!</v>
      </c>
      <c r="N394" s="171" t="e">
        <f t="shared" si="57"/>
        <v>#DIV/0!</v>
      </c>
      <c r="O394" s="171" t="e">
        <f t="shared" si="50"/>
        <v>#DIV/0!</v>
      </c>
      <c r="P394" s="171" t="e">
        <f t="shared" si="58"/>
        <v>#DIV/0!</v>
      </c>
      <c r="Q394" s="171" t="e">
        <f t="shared" si="59"/>
        <v>#DIV/0!</v>
      </c>
      <c r="R394" s="186">
        <f>IF('prijem_zahranicie - viac-dom'!$I$121=TRUE,IF($C$11&gt;0,0.00025*N393,0),IF('prijem_zahranicie - viac-dom'!$I$122=TRUE,IF('prijem_zahranicie - viac-dom'!$F$122&gt;0,0.00025*N393*-1,0),0))</f>
        <v>0</v>
      </c>
    </row>
    <row r="395" spans="1:18" x14ac:dyDescent="0.2">
      <c r="A395" s="89">
        <v>379</v>
      </c>
      <c r="B395" s="186" t="e">
        <f t="shared" si="51"/>
        <v>#NUM!</v>
      </c>
      <c r="C395" s="171" t="e">
        <f t="shared" si="52"/>
        <v>#NUM!</v>
      </c>
      <c r="D395" s="171" t="e">
        <f t="shared" si="53"/>
        <v>#NUM!</v>
      </c>
      <c r="E395" s="171" t="e">
        <f t="shared" si="54"/>
        <v>#NUM!</v>
      </c>
      <c r="F395" s="171" t="e">
        <f t="shared" si="55"/>
        <v>#NUM!</v>
      </c>
      <c r="G395" s="186">
        <f>IF('prijem_zahranicie - viac-dom'!$I$121=TRUE,IF($C$11&gt;0,0.00025*C394,0),IF('prijem_zahranicie - viac-dom'!$I$122=TRUE,IF('prijem_zahranicie - viac-dom'!$F$122&gt;0,0.00025*C394,0),0))</f>
        <v>0</v>
      </c>
      <c r="L395" s="89">
        <v>379</v>
      </c>
      <c r="M395" s="186" t="e">
        <f t="shared" si="56"/>
        <v>#DIV/0!</v>
      </c>
      <c r="N395" s="171" t="e">
        <f t="shared" si="57"/>
        <v>#DIV/0!</v>
      </c>
      <c r="O395" s="171" t="e">
        <f t="shared" si="50"/>
        <v>#DIV/0!</v>
      </c>
      <c r="P395" s="171" t="e">
        <f t="shared" si="58"/>
        <v>#DIV/0!</v>
      </c>
      <c r="Q395" s="171" t="e">
        <f t="shared" si="59"/>
        <v>#DIV/0!</v>
      </c>
      <c r="R395" s="186">
        <f>IF('prijem_zahranicie - viac-dom'!$I$121=TRUE,IF($C$11&gt;0,0.00025*N394,0),IF('prijem_zahranicie - viac-dom'!$I$122=TRUE,IF('prijem_zahranicie - viac-dom'!$F$122&gt;0,0.00025*N394*-1,0),0))</f>
        <v>0</v>
      </c>
    </row>
    <row r="396" spans="1:18" x14ac:dyDescent="0.2">
      <c r="A396" s="89">
        <v>380</v>
      </c>
      <c r="B396" s="186" t="e">
        <f t="shared" si="51"/>
        <v>#NUM!</v>
      </c>
      <c r="C396" s="171" t="e">
        <f t="shared" si="52"/>
        <v>#NUM!</v>
      </c>
      <c r="D396" s="171" t="e">
        <f t="shared" si="53"/>
        <v>#NUM!</v>
      </c>
      <c r="E396" s="171" t="e">
        <f t="shared" si="54"/>
        <v>#NUM!</v>
      </c>
      <c r="F396" s="171" t="e">
        <f t="shared" si="55"/>
        <v>#NUM!</v>
      </c>
      <c r="G396" s="186">
        <f>IF('prijem_zahranicie - viac-dom'!$I$121=TRUE,IF($C$11&gt;0,0.00025*C395,0),IF('prijem_zahranicie - viac-dom'!$I$122=TRUE,IF('prijem_zahranicie - viac-dom'!$F$122&gt;0,0.00025*C395,0),0))</f>
        <v>0</v>
      </c>
      <c r="L396" s="89">
        <v>380</v>
      </c>
      <c r="M396" s="186" t="e">
        <f t="shared" si="56"/>
        <v>#DIV/0!</v>
      </c>
      <c r="N396" s="171" t="e">
        <f t="shared" si="57"/>
        <v>#DIV/0!</v>
      </c>
      <c r="O396" s="171" t="e">
        <f t="shared" si="50"/>
        <v>#DIV/0!</v>
      </c>
      <c r="P396" s="171" t="e">
        <f t="shared" si="58"/>
        <v>#DIV/0!</v>
      </c>
      <c r="Q396" s="171" t="e">
        <f t="shared" si="59"/>
        <v>#DIV/0!</v>
      </c>
      <c r="R396" s="186">
        <f>IF('prijem_zahranicie - viac-dom'!$I$121=TRUE,IF($C$11&gt;0,0.00025*N395,0),IF('prijem_zahranicie - viac-dom'!$I$122=TRUE,IF('prijem_zahranicie - viac-dom'!$F$122&gt;0,0.00025*N395*-1,0),0))</f>
        <v>0</v>
      </c>
    </row>
    <row r="397" spans="1:18" x14ac:dyDescent="0.2">
      <c r="A397" s="89">
        <v>381</v>
      </c>
      <c r="B397" s="186" t="e">
        <f t="shared" si="51"/>
        <v>#NUM!</v>
      </c>
      <c r="C397" s="171" t="e">
        <f t="shared" si="52"/>
        <v>#NUM!</v>
      </c>
      <c r="D397" s="171" t="e">
        <f t="shared" si="53"/>
        <v>#NUM!</v>
      </c>
      <c r="E397" s="171" t="e">
        <f t="shared" si="54"/>
        <v>#NUM!</v>
      </c>
      <c r="F397" s="171" t="e">
        <f t="shared" si="55"/>
        <v>#NUM!</v>
      </c>
      <c r="G397" s="186">
        <f>IF('prijem_zahranicie - viac-dom'!$I$121=TRUE,IF($C$11&gt;0,0.00025*C396,0),IF('prijem_zahranicie - viac-dom'!$I$122=TRUE,IF('prijem_zahranicie - viac-dom'!$F$122&gt;0,0.00025*C396,0),0))</f>
        <v>0</v>
      </c>
      <c r="L397" s="89">
        <v>381</v>
      </c>
      <c r="M397" s="186" t="e">
        <f t="shared" si="56"/>
        <v>#DIV/0!</v>
      </c>
      <c r="N397" s="171" t="e">
        <f t="shared" si="57"/>
        <v>#DIV/0!</v>
      </c>
      <c r="O397" s="171" t="e">
        <f t="shared" si="50"/>
        <v>#DIV/0!</v>
      </c>
      <c r="P397" s="171" t="e">
        <f t="shared" si="58"/>
        <v>#DIV/0!</v>
      </c>
      <c r="Q397" s="171" t="e">
        <f t="shared" si="59"/>
        <v>#DIV/0!</v>
      </c>
      <c r="R397" s="186">
        <f>IF('prijem_zahranicie - viac-dom'!$I$121=TRUE,IF($C$11&gt;0,0.00025*N396,0),IF('prijem_zahranicie - viac-dom'!$I$122=TRUE,IF('prijem_zahranicie - viac-dom'!$F$122&gt;0,0.00025*N396*-1,0),0))</f>
        <v>0</v>
      </c>
    </row>
    <row r="398" spans="1:18" x14ac:dyDescent="0.2">
      <c r="A398" s="89">
        <v>382</v>
      </c>
      <c r="B398" s="186" t="e">
        <f t="shared" si="51"/>
        <v>#NUM!</v>
      </c>
      <c r="C398" s="171" t="e">
        <f t="shared" si="52"/>
        <v>#NUM!</v>
      </c>
      <c r="D398" s="171" t="e">
        <f t="shared" si="53"/>
        <v>#NUM!</v>
      </c>
      <c r="E398" s="171" t="e">
        <f t="shared" si="54"/>
        <v>#NUM!</v>
      </c>
      <c r="F398" s="171" t="e">
        <f t="shared" si="55"/>
        <v>#NUM!</v>
      </c>
      <c r="G398" s="186">
        <f>IF('prijem_zahranicie - viac-dom'!$I$121=TRUE,IF($C$11&gt;0,0.00025*C397,0),IF('prijem_zahranicie - viac-dom'!$I$122=TRUE,IF('prijem_zahranicie - viac-dom'!$F$122&gt;0,0.00025*C397,0),0))</f>
        <v>0</v>
      </c>
      <c r="L398" s="89">
        <v>382</v>
      </c>
      <c r="M398" s="186" t="e">
        <f t="shared" si="56"/>
        <v>#DIV/0!</v>
      </c>
      <c r="N398" s="171" t="e">
        <f t="shared" si="57"/>
        <v>#DIV/0!</v>
      </c>
      <c r="O398" s="171" t="e">
        <f t="shared" si="50"/>
        <v>#DIV/0!</v>
      </c>
      <c r="P398" s="171" t="e">
        <f t="shared" si="58"/>
        <v>#DIV/0!</v>
      </c>
      <c r="Q398" s="171" t="e">
        <f t="shared" si="59"/>
        <v>#DIV/0!</v>
      </c>
      <c r="R398" s="186">
        <f>IF('prijem_zahranicie - viac-dom'!$I$121=TRUE,IF($C$11&gt;0,0.00025*N397,0),IF('prijem_zahranicie - viac-dom'!$I$122=TRUE,IF('prijem_zahranicie - viac-dom'!$F$122&gt;0,0.00025*N397*-1,0),0))</f>
        <v>0</v>
      </c>
    </row>
    <row r="399" spans="1:18" x14ac:dyDescent="0.2">
      <c r="A399" s="89">
        <v>383</v>
      </c>
      <c r="B399" s="186" t="e">
        <f t="shared" si="51"/>
        <v>#NUM!</v>
      </c>
      <c r="C399" s="171" t="e">
        <f t="shared" si="52"/>
        <v>#NUM!</v>
      </c>
      <c r="D399" s="171" t="e">
        <f t="shared" si="53"/>
        <v>#NUM!</v>
      </c>
      <c r="E399" s="171" t="e">
        <f t="shared" si="54"/>
        <v>#NUM!</v>
      </c>
      <c r="F399" s="171" t="e">
        <f t="shared" si="55"/>
        <v>#NUM!</v>
      </c>
      <c r="G399" s="186">
        <f>IF('prijem_zahranicie - viac-dom'!$I$121=TRUE,IF($C$11&gt;0,0.00025*C398,0),IF('prijem_zahranicie - viac-dom'!$I$122=TRUE,IF('prijem_zahranicie - viac-dom'!$F$122&gt;0,0.00025*C398,0),0))</f>
        <v>0</v>
      </c>
      <c r="L399" s="89">
        <v>383</v>
      </c>
      <c r="M399" s="186" t="e">
        <f t="shared" si="56"/>
        <v>#DIV/0!</v>
      </c>
      <c r="N399" s="171" t="e">
        <f t="shared" si="57"/>
        <v>#DIV/0!</v>
      </c>
      <c r="O399" s="171" t="e">
        <f t="shared" si="50"/>
        <v>#DIV/0!</v>
      </c>
      <c r="P399" s="171" t="e">
        <f t="shared" si="58"/>
        <v>#DIV/0!</v>
      </c>
      <c r="Q399" s="171" t="e">
        <f t="shared" si="59"/>
        <v>#DIV/0!</v>
      </c>
      <c r="R399" s="186">
        <f>IF('prijem_zahranicie - viac-dom'!$I$121=TRUE,IF($C$11&gt;0,0.00025*N398,0),IF('prijem_zahranicie - viac-dom'!$I$122=TRUE,IF('prijem_zahranicie - viac-dom'!$F$122&gt;0,0.00025*N398*-1,0),0))</f>
        <v>0</v>
      </c>
    </row>
    <row r="400" spans="1:18" x14ac:dyDescent="0.2">
      <c r="A400" s="89">
        <v>384</v>
      </c>
      <c r="B400" s="186" t="e">
        <f t="shared" si="51"/>
        <v>#NUM!</v>
      </c>
      <c r="C400" s="171" t="e">
        <f t="shared" si="52"/>
        <v>#NUM!</v>
      </c>
      <c r="D400" s="171" t="e">
        <f t="shared" si="53"/>
        <v>#NUM!</v>
      </c>
      <c r="E400" s="171" t="e">
        <f t="shared" si="54"/>
        <v>#NUM!</v>
      </c>
      <c r="F400" s="171" t="e">
        <f t="shared" si="55"/>
        <v>#NUM!</v>
      </c>
      <c r="G400" s="186">
        <f>IF('prijem_zahranicie - viac-dom'!$I$121=TRUE,IF($C$11&gt;0,0.00025*C399,0),IF('prijem_zahranicie - viac-dom'!$I$122=TRUE,IF('prijem_zahranicie - viac-dom'!$F$122&gt;0,0.00025*C399,0),0))</f>
        <v>0</v>
      </c>
      <c r="L400" s="89">
        <v>384</v>
      </c>
      <c r="M400" s="186" t="e">
        <f t="shared" si="56"/>
        <v>#DIV/0!</v>
      </c>
      <c r="N400" s="171" t="e">
        <f t="shared" si="57"/>
        <v>#DIV/0!</v>
      </c>
      <c r="O400" s="171" t="e">
        <f t="shared" si="50"/>
        <v>#DIV/0!</v>
      </c>
      <c r="P400" s="171" t="e">
        <f t="shared" si="58"/>
        <v>#DIV/0!</v>
      </c>
      <c r="Q400" s="171" t="e">
        <f t="shared" si="59"/>
        <v>#DIV/0!</v>
      </c>
      <c r="R400" s="186">
        <f>IF('prijem_zahranicie - viac-dom'!$I$121=TRUE,IF($C$11&gt;0,0.00025*N399,0),IF('prijem_zahranicie - viac-dom'!$I$122=TRUE,IF('prijem_zahranicie - viac-dom'!$F$122&gt;0,0.00025*N399*-1,0),0))</f>
        <v>0</v>
      </c>
    </row>
    <row r="401" spans="1:18" x14ac:dyDescent="0.2">
      <c r="A401" s="89">
        <v>385</v>
      </c>
      <c r="B401" s="186" t="e">
        <f t="shared" si="51"/>
        <v>#NUM!</v>
      </c>
      <c r="C401" s="171" t="e">
        <f t="shared" si="52"/>
        <v>#NUM!</v>
      </c>
      <c r="D401" s="171" t="e">
        <f t="shared" si="53"/>
        <v>#NUM!</v>
      </c>
      <c r="E401" s="171" t="e">
        <f t="shared" si="54"/>
        <v>#NUM!</v>
      </c>
      <c r="F401" s="171" t="e">
        <f t="shared" si="55"/>
        <v>#NUM!</v>
      </c>
      <c r="G401" s="186">
        <f>IF('prijem_zahranicie - viac-dom'!$I$121=TRUE,IF($C$11&gt;0,0.00025*C400,0),IF('prijem_zahranicie - viac-dom'!$I$122=TRUE,IF('prijem_zahranicie - viac-dom'!$F$122&gt;0,0.00025*C400,0),0))</f>
        <v>0</v>
      </c>
      <c r="L401" s="89">
        <v>385</v>
      </c>
      <c r="M401" s="186" t="e">
        <f t="shared" si="56"/>
        <v>#DIV/0!</v>
      </c>
      <c r="N401" s="171" t="e">
        <f t="shared" si="57"/>
        <v>#DIV/0!</v>
      </c>
      <c r="O401" s="171" t="e">
        <f t="shared" ref="O401:O464" si="60">$N$16/$N$5</f>
        <v>#DIV/0!</v>
      </c>
      <c r="P401" s="171" t="e">
        <f t="shared" si="58"/>
        <v>#DIV/0!</v>
      </c>
      <c r="Q401" s="171" t="e">
        <f t="shared" si="59"/>
        <v>#DIV/0!</v>
      </c>
      <c r="R401" s="186">
        <f>IF('prijem_zahranicie - viac-dom'!$I$121=TRUE,IF($C$11&gt;0,0.00025*N400,0),IF('prijem_zahranicie - viac-dom'!$I$122=TRUE,IF('prijem_zahranicie - viac-dom'!$F$122&gt;0,0.00025*N400*-1,0),0))</f>
        <v>0</v>
      </c>
    </row>
    <row r="402" spans="1:18" x14ac:dyDescent="0.2">
      <c r="A402" s="89">
        <v>386</v>
      </c>
      <c r="B402" s="186" t="e">
        <f t="shared" ref="B402:B465" si="61">IF(C401&gt;0.00001,F402-G402,0)</f>
        <v>#NUM!</v>
      </c>
      <c r="C402" s="171" t="e">
        <f t="shared" ref="C402:C465" si="62">MAX(C401-D402,0)</f>
        <v>#NUM!</v>
      </c>
      <c r="D402" s="171" t="e">
        <f t="shared" ref="D402:D465" si="63">(F402-E402)*-1</f>
        <v>#NUM!</v>
      </c>
      <c r="E402" s="171" t="e">
        <f t="shared" ref="E402:E465" si="64">IPMT($C$4/12,1,$C$5,C401)</f>
        <v>#NUM!</v>
      </c>
      <c r="F402" s="171" t="e">
        <f t="shared" ref="F402:F465" si="65">PMT($C$4/12,$C$5,$C$3)</f>
        <v>#NUM!</v>
      </c>
      <c r="G402" s="186">
        <f>IF('prijem_zahranicie - viac-dom'!$I$121=TRUE,IF($C$11&gt;0,0.00025*C401,0),IF('prijem_zahranicie - viac-dom'!$I$122=TRUE,IF('prijem_zahranicie - viac-dom'!$F$122&gt;0,0.00025*C401,0),0))</f>
        <v>0</v>
      </c>
      <c r="L402" s="89">
        <v>386</v>
      </c>
      <c r="M402" s="186" t="e">
        <f t="shared" ref="M402:M465" si="66">IF(N401&gt;0.00001,Q402-R402,0)*-1</f>
        <v>#DIV/0!</v>
      </c>
      <c r="N402" s="171" t="e">
        <f t="shared" ref="N402:N465" si="67">MAX(N401-O402,0)</f>
        <v>#DIV/0!</v>
      </c>
      <c r="O402" s="171" t="e">
        <f t="shared" si="60"/>
        <v>#DIV/0!</v>
      </c>
      <c r="P402" s="171" t="e">
        <f t="shared" ref="P402:P465" si="68">N401*$N$4/12</f>
        <v>#DIV/0!</v>
      </c>
      <c r="Q402" s="171" t="e">
        <f t="shared" ref="Q402:Q465" si="69">P402+O402</f>
        <v>#DIV/0!</v>
      </c>
      <c r="R402" s="186">
        <f>IF('prijem_zahranicie - viac-dom'!$I$121=TRUE,IF($C$11&gt;0,0.00025*N401,0),IF('prijem_zahranicie - viac-dom'!$I$122=TRUE,IF('prijem_zahranicie - viac-dom'!$F$122&gt;0,0.00025*N401*-1,0),0))</f>
        <v>0</v>
      </c>
    </row>
    <row r="403" spans="1:18" x14ac:dyDescent="0.2">
      <c r="A403" s="89">
        <v>387</v>
      </c>
      <c r="B403" s="186" t="e">
        <f t="shared" si="61"/>
        <v>#NUM!</v>
      </c>
      <c r="C403" s="171" t="e">
        <f t="shared" si="62"/>
        <v>#NUM!</v>
      </c>
      <c r="D403" s="171" t="e">
        <f t="shared" si="63"/>
        <v>#NUM!</v>
      </c>
      <c r="E403" s="171" t="e">
        <f t="shared" si="64"/>
        <v>#NUM!</v>
      </c>
      <c r="F403" s="171" t="e">
        <f t="shared" si="65"/>
        <v>#NUM!</v>
      </c>
      <c r="G403" s="186">
        <f>IF('prijem_zahranicie - viac-dom'!$I$121=TRUE,IF($C$11&gt;0,0.00025*C402,0),IF('prijem_zahranicie - viac-dom'!$I$122=TRUE,IF('prijem_zahranicie - viac-dom'!$F$122&gt;0,0.00025*C402,0),0))</f>
        <v>0</v>
      </c>
      <c r="L403" s="89">
        <v>387</v>
      </c>
      <c r="M403" s="186" t="e">
        <f t="shared" si="66"/>
        <v>#DIV/0!</v>
      </c>
      <c r="N403" s="171" t="e">
        <f t="shared" si="67"/>
        <v>#DIV/0!</v>
      </c>
      <c r="O403" s="171" t="e">
        <f t="shared" si="60"/>
        <v>#DIV/0!</v>
      </c>
      <c r="P403" s="171" t="e">
        <f t="shared" si="68"/>
        <v>#DIV/0!</v>
      </c>
      <c r="Q403" s="171" t="e">
        <f t="shared" si="69"/>
        <v>#DIV/0!</v>
      </c>
      <c r="R403" s="186">
        <f>IF('prijem_zahranicie - viac-dom'!$I$121=TRUE,IF($C$11&gt;0,0.00025*N402,0),IF('prijem_zahranicie - viac-dom'!$I$122=TRUE,IF('prijem_zahranicie - viac-dom'!$F$122&gt;0,0.00025*N402*-1,0),0))</f>
        <v>0</v>
      </c>
    </row>
    <row r="404" spans="1:18" x14ac:dyDescent="0.2">
      <c r="A404" s="89">
        <v>388</v>
      </c>
      <c r="B404" s="186" t="e">
        <f t="shared" si="61"/>
        <v>#NUM!</v>
      </c>
      <c r="C404" s="171" t="e">
        <f t="shared" si="62"/>
        <v>#NUM!</v>
      </c>
      <c r="D404" s="171" t="e">
        <f t="shared" si="63"/>
        <v>#NUM!</v>
      </c>
      <c r="E404" s="171" t="e">
        <f t="shared" si="64"/>
        <v>#NUM!</v>
      </c>
      <c r="F404" s="171" t="e">
        <f t="shared" si="65"/>
        <v>#NUM!</v>
      </c>
      <c r="G404" s="186">
        <f>IF('prijem_zahranicie - viac-dom'!$I$121=TRUE,IF($C$11&gt;0,0.00025*C403,0),IF('prijem_zahranicie - viac-dom'!$I$122=TRUE,IF('prijem_zahranicie - viac-dom'!$F$122&gt;0,0.00025*C403,0),0))</f>
        <v>0</v>
      </c>
      <c r="L404" s="89">
        <v>388</v>
      </c>
      <c r="M404" s="186" t="e">
        <f t="shared" si="66"/>
        <v>#DIV/0!</v>
      </c>
      <c r="N404" s="171" t="e">
        <f t="shared" si="67"/>
        <v>#DIV/0!</v>
      </c>
      <c r="O404" s="171" t="e">
        <f t="shared" si="60"/>
        <v>#DIV/0!</v>
      </c>
      <c r="P404" s="171" t="e">
        <f t="shared" si="68"/>
        <v>#DIV/0!</v>
      </c>
      <c r="Q404" s="171" t="e">
        <f t="shared" si="69"/>
        <v>#DIV/0!</v>
      </c>
      <c r="R404" s="186">
        <f>IF('prijem_zahranicie - viac-dom'!$I$121=TRUE,IF($C$11&gt;0,0.00025*N403,0),IF('prijem_zahranicie - viac-dom'!$I$122=TRUE,IF('prijem_zahranicie - viac-dom'!$F$122&gt;0,0.00025*N403*-1,0),0))</f>
        <v>0</v>
      </c>
    </row>
    <row r="405" spans="1:18" x14ac:dyDescent="0.2">
      <c r="A405" s="89">
        <v>389</v>
      </c>
      <c r="B405" s="186" t="e">
        <f t="shared" si="61"/>
        <v>#NUM!</v>
      </c>
      <c r="C405" s="171" t="e">
        <f t="shared" si="62"/>
        <v>#NUM!</v>
      </c>
      <c r="D405" s="171" t="e">
        <f t="shared" si="63"/>
        <v>#NUM!</v>
      </c>
      <c r="E405" s="171" t="e">
        <f t="shared" si="64"/>
        <v>#NUM!</v>
      </c>
      <c r="F405" s="171" t="e">
        <f t="shared" si="65"/>
        <v>#NUM!</v>
      </c>
      <c r="G405" s="186">
        <f>IF('prijem_zahranicie - viac-dom'!$I$121=TRUE,IF($C$11&gt;0,0.00025*C404,0),IF('prijem_zahranicie - viac-dom'!$I$122=TRUE,IF('prijem_zahranicie - viac-dom'!$F$122&gt;0,0.00025*C404,0),0))</f>
        <v>0</v>
      </c>
      <c r="L405" s="89">
        <v>389</v>
      </c>
      <c r="M405" s="186" t="e">
        <f t="shared" si="66"/>
        <v>#DIV/0!</v>
      </c>
      <c r="N405" s="171" t="e">
        <f t="shared" si="67"/>
        <v>#DIV/0!</v>
      </c>
      <c r="O405" s="171" t="e">
        <f t="shared" si="60"/>
        <v>#DIV/0!</v>
      </c>
      <c r="P405" s="171" t="e">
        <f t="shared" si="68"/>
        <v>#DIV/0!</v>
      </c>
      <c r="Q405" s="171" t="e">
        <f t="shared" si="69"/>
        <v>#DIV/0!</v>
      </c>
      <c r="R405" s="186">
        <f>IF('prijem_zahranicie - viac-dom'!$I$121=TRUE,IF($C$11&gt;0,0.00025*N404,0),IF('prijem_zahranicie - viac-dom'!$I$122=TRUE,IF('prijem_zahranicie - viac-dom'!$F$122&gt;0,0.00025*N404*-1,0),0))</f>
        <v>0</v>
      </c>
    </row>
    <row r="406" spans="1:18" x14ac:dyDescent="0.2">
      <c r="A406" s="89">
        <v>390</v>
      </c>
      <c r="B406" s="186" t="e">
        <f t="shared" si="61"/>
        <v>#NUM!</v>
      </c>
      <c r="C406" s="171" t="e">
        <f t="shared" si="62"/>
        <v>#NUM!</v>
      </c>
      <c r="D406" s="171" t="e">
        <f t="shared" si="63"/>
        <v>#NUM!</v>
      </c>
      <c r="E406" s="171" t="e">
        <f t="shared" si="64"/>
        <v>#NUM!</v>
      </c>
      <c r="F406" s="171" t="e">
        <f t="shared" si="65"/>
        <v>#NUM!</v>
      </c>
      <c r="G406" s="186">
        <f>IF('prijem_zahranicie - viac-dom'!$I$121=TRUE,IF($C$11&gt;0,0.00025*C405,0),IF('prijem_zahranicie - viac-dom'!$I$122=TRUE,IF('prijem_zahranicie - viac-dom'!$F$122&gt;0,0.00025*C405,0),0))</f>
        <v>0</v>
      </c>
      <c r="L406" s="89">
        <v>390</v>
      </c>
      <c r="M406" s="186" t="e">
        <f t="shared" si="66"/>
        <v>#DIV/0!</v>
      </c>
      <c r="N406" s="171" t="e">
        <f t="shared" si="67"/>
        <v>#DIV/0!</v>
      </c>
      <c r="O406" s="171" t="e">
        <f t="shared" si="60"/>
        <v>#DIV/0!</v>
      </c>
      <c r="P406" s="171" t="e">
        <f t="shared" si="68"/>
        <v>#DIV/0!</v>
      </c>
      <c r="Q406" s="171" t="e">
        <f t="shared" si="69"/>
        <v>#DIV/0!</v>
      </c>
      <c r="R406" s="186">
        <f>IF('prijem_zahranicie - viac-dom'!$I$121=TRUE,IF($C$11&gt;0,0.00025*N405,0),IF('prijem_zahranicie - viac-dom'!$I$122=TRUE,IF('prijem_zahranicie - viac-dom'!$F$122&gt;0,0.00025*N405*-1,0),0))</f>
        <v>0</v>
      </c>
    </row>
    <row r="407" spans="1:18" x14ac:dyDescent="0.2">
      <c r="A407" s="89">
        <v>391</v>
      </c>
      <c r="B407" s="186" t="e">
        <f t="shared" si="61"/>
        <v>#NUM!</v>
      </c>
      <c r="C407" s="171" t="e">
        <f t="shared" si="62"/>
        <v>#NUM!</v>
      </c>
      <c r="D407" s="171" t="e">
        <f t="shared" si="63"/>
        <v>#NUM!</v>
      </c>
      <c r="E407" s="171" t="e">
        <f t="shared" si="64"/>
        <v>#NUM!</v>
      </c>
      <c r="F407" s="171" t="e">
        <f t="shared" si="65"/>
        <v>#NUM!</v>
      </c>
      <c r="G407" s="186">
        <f>IF('prijem_zahranicie - viac-dom'!$I$121=TRUE,IF($C$11&gt;0,0.00025*C406,0),IF('prijem_zahranicie - viac-dom'!$I$122=TRUE,IF('prijem_zahranicie - viac-dom'!$F$122&gt;0,0.00025*C406,0),0))</f>
        <v>0</v>
      </c>
      <c r="L407" s="89">
        <v>391</v>
      </c>
      <c r="M407" s="186" t="e">
        <f t="shared" si="66"/>
        <v>#DIV/0!</v>
      </c>
      <c r="N407" s="171" t="e">
        <f t="shared" si="67"/>
        <v>#DIV/0!</v>
      </c>
      <c r="O407" s="171" t="e">
        <f t="shared" si="60"/>
        <v>#DIV/0!</v>
      </c>
      <c r="P407" s="171" t="e">
        <f t="shared" si="68"/>
        <v>#DIV/0!</v>
      </c>
      <c r="Q407" s="171" t="e">
        <f t="shared" si="69"/>
        <v>#DIV/0!</v>
      </c>
      <c r="R407" s="186">
        <f>IF('prijem_zahranicie - viac-dom'!$I$121=TRUE,IF($C$11&gt;0,0.00025*N406,0),IF('prijem_zahranicie - viac-dom'!$I$122=TRUE,IF('prijem_zahranicie - viac-dom'!$F$122&gt;0,0.00025*N406*-1,0),0))</f>
        <v>0</v>
      </c>
    </row>
    <row r="408" spans="1:18" x14ac:dyDescent="0.2">
      <c r="A408" s="89">
        <v>392</v>
      </c>
      <c r="B408" s="186" t="e">
        <f t="shared" si="61"/>
        <v>#NUM!</v>
      </c>
      <c r="C408" s="171" t="e">
        <f t="shared" si="62"/>
        <v>#NUM!</v>
      </c>
      <c r="D408" s="171" t="e">
        <f t="shared" si="63"/>
        <v>#NUM!</v>
      </c>
      <c r="E408" s="171" t="e">
        <f t="shared" si="64"/>
        <v>#NUM!</v>
      </c>
      <c r="F408" s="171" t="e">
        <f t="shared" si="65"/>
        <v>#NUM!</v>
      </c>
      <c r="G408" s="186">
        <f>IF('prijem_zahranicie - viac-dom'!$I$121=TRUE,IF($C$11&gt;0,0.00025*C407,0),IF('prijem_zahranicie - viac-dom'!$I$122=TRUE,IF('prijem_zahranicie - viac-dom'!$F$122&gt;0,0.00025*C407,0),0))</f>
        <v>0</v>
      </c>
      <c r="L408" s="89">
        <v>392</v>
      </c>
      <c r="M408" s="186" t="e">
        <f t="shared" si="66"/>
        <v>#DIV/0!</v>
      </c>
      <c r="N408" s="171" t="e">
        <f t="shared" si="67"/>
        <v>#DIV/0!</v>
      </c>
      <c r="O408" s="171" t="e">
        <f t="shared" si="60"/>
        <v>#DIV/0!</v>
      </c>
      <c r="P408" s="171" t="e">
        <f t="shared" si="68"/>
        <v>#DIV/0!</v>
      </c>
      <c r="Q408" s="171" t="e">
        <f t="shared" si="69"/>
        <v>#DIV/0!</v>
      </c>
      <c r="R408" s="186">
        <f>IF('prijem_zahranicie - viac-dom'!$I$121=TRUE,IF($C$11&gt;0,0.00025*N407,0),IF('prijem_zahranicie - viac-dom'!$I$122=TRUE,IF('prijem_zahranicie - viac-dom'!$F$122&gt;0,0.00025*N407*-1,0),0))</f>
        <v>0</v>
      </c>
    </row>
    <row r="409" spans="1:18" x14ac:dyDescent="0.2">
      <c r="A409" s="89">
        <v>393</v>
      </c>
      <c r="B409" s="186" t="e">
        <f t="shared" si="61"/>
        <v>#NUM!</v>
      </c>
      <c r="C409" s="171" t="e">
        <f t="shared" si="62"/>
        <v>#NUM!</v>
      </c>
      <c r="D409" s="171" t="e">
        <f t="shared" si="63"/>
        <v>#NUM!</v>
      </c>
      <c r="E409" s="171" t="e">
        <f t="shared" si="64"/>
        <v>#NUM!</v>
      </c>
      <c r="F409" s="171" t="e">
        <f t="shared" si="65"/>
        <v>#NUM!</v>
      </c>
      <c r="G409" s="186">
        <f>IF('prijem_zahranicie - viac-dom'!$I$121=TRUE,IF($C$11&gt;0,0.00025*C408,0),IF('prijem_zahranicie - viac-dom'!$I$122=TRUE,IF('prijem_zahranicie - viac-dom'!$F$122&gt;0,0.00025*C408,0),0))</f>
        <v>0</v>
      </c>
      <c r="L409" s="89">
        <v>393</v>
      </c>
      <c r="M409" s="186" t="e">
        <f t="shared" si="66"/>
        <v>#DIV/0!</v>
      </c>
      <c r="N409" s="171" t="e">
        <f t="shared" si="67"/>
        <v>#DIV/0!</v>
      </c>
      <c r="O409" s="171" t="e">
        <f t="shared" si="60"/>
        <v>#DIV/0!</v>
      </c>
      <c r="P409" s="171" t="e">
        <f t="shared" si="68"/>
        <v>#DIV/0!</v>
      </c>
      <c r="Q409" s="171" t="e">
        <f t="shared" si="69"/>
        <v>#DIV/0!</v>
      </c>
      <c r="R409" s="186">
        <f>IF('prijem_zahranicie - viac-dom'!$I$121=TRUE,IF($C$11&gt;0,0.00025*N408,0),IF('prijem_zahranicie - viac-dom'!$I$122=TRUE,IF('prijem_zahranicie - viac-dom'!$F$122&gt;0,0.00025*N408*-1,0),0))</f>
        <v>0</v>
      </c>
    </row>
    <row r="410" spans="1:18" x14ac:dyDescent="0.2">
      <c r="A410" s="89">
        <v>394</v>
      </c>
      <c r="B410" s="186" t="e">
        <f t="shared" si="61"/>
        <v>#NUM!</v>
      </c>
      <c r="C410" s="171" t="e">
        <f t="shared" si="62"/>
        <v>#NUM!</v>
      </c>
      <c r="D410" s="171" t="e">
        <f t="shared" si="63"/>
        <v>#NUM!</v>
      </c>
      <c r="E410" s="171" t="e">
        <f t="shared" si="64"/>
        <v>#NUM!</v>
      </c>
      <c r="F410" s="171" t="e">
        <f t="shared" si="65"/>
        <v>#NUM!</v>
      </c>
      <c r="G410" s="186">
        <f>IF('prijem_zahranicie - viac-dom'!$I$121=TRUE,IF($C$11&gt;0,0.00025*C409,0),IF('prijem_zahranicie - viac-dom'!$I$122=TRUE,IF('prijem_zahranicie - viac-dom'!$F$122&gt;0,0.00025*C409,0),0))</f>
        <v>0</v>
      </c>
      <c r="L410" s="89">
        <v>394</v>
      </c>
      <c r="M410" s="186" t="e">
        <f t="shared" si="66"/>
        <v>#DIV/0!</v>
      </c>
      <c r="N410" s="171" t="e">
        <f t="shared" si="67"/>
        <v>#DIV/0!</v>
      </c>
      <c r="O410" s="171" t="e">
        <f t="shared" si="60"/>
        <v>#DIV/0!</v>
      </c>
      <c r="P410" s="171" t="e">
        <f t="shared" si="68"/>
        <v>#DIV/0!</v>
      </c>
      <c r="Q410" s="171" t="e">
        <f t="shared" si="69"/>
        <v>#DIV/0!</v>
      </c>
      <c r="R410" s="186">
        <f>IF('prijem_zahranicie - viac-dom'!$I$121=TRUE,IF($C$11&gt;0,0.00025*N409,0),IF('prijem_zahranicie - viac-dom'!$I$122=TRUE,IF('prijem_zahranicie - viac-dom'!$F$122&gt;0,0.00025*N409*-1,0),0))</f>
        <v>0</v>
      </c>
    </row>
    <row r="411" spans="1:18" x14ac:dyDescent="0.2">
      <c r="A411" s="89">
        <v>395</v>
      </c>
      <c r="B411" s="186" t="e">
        <f t="shared" si="61"/>
        <v>#NUM!</v>
      </c>
      <c r="C411" s="171" t="e">
        <f t="shared" si="62"/>
        <v>#NUM!</v>
      </c>
      <c r="D411" s="171" t="e">
        <f t="shared" si="63"/>
        <v>#NUM!</v>
      </c>
      <c r="E411" s="171" t="e">
        <f t="shared" si="64"/>
        <v>#NUM!</v>
      </c>
      <c r="F411" s="171" t="e">
        <f t="shared" si="65"/>
        <v>#NUM!</v>
      </c>
      <c r="G411" s="186">
        <f>IF('prijem_zahranicie - viac-dom'!$I$121=TRUE,IF($C$11&gt;0,0.00025*C410,0),IF('prijem_zahranicie - viac-dom'!$I$122=TRUE,IF('prijem_zahranicie - viac-dom'!$F$122&gt;0,0.00025*C410,0),0))</f>
        <v>0</v>
      </c>
      <c r="L411" s="89">
        <v>395</v>
      </c>
      <c r="M411" s="186" t="e">
        <f t="shared" si="66"/>
        <v>#DIV/0!</v>
      </c>
      <c r="N411" s="171" t="e">
        <f t="shared" si="67"/>
        <v>#DIV/0!</v>
      </c>
      <c r="O411" s="171" t="e">
        <f t="shared" si="60"/>
        <v>#DIV/0!</v>
      </c>
      <c r="P411" s="171" t="e">
        <f t="shared" si="68"/>
        <v>#DIV/0!</v>
      </c>
      <c r="Q411" s="171" t="e">
        <f t="shared" si="69"/>
        <v>#DIV/0!</v>
      </c>
      <c r="R411" s="186">
        <f>IF('prijem_zahranicie - viac-dom'!$I$121=TRUE,IF($C$11&gt;0,0.00025*N410,0),IF('prijem_zahranicie - viac-dom'!$I$122=TRUE,IF('prijem_zahranicie - viac-dom'!$F$122&gt;0,0.00025*N410*-1,0),0))</f>
        <v>0</v>
      </c>
    </row>
    <row r="412" spans="1:18" x14ac:dyDescent="0.2">
      <c r="A412" s="89">
        <v>396</v>
      </c>
      <c r="B412" s="186" t="e">
        <f t="shared" si="61"/>
        <v>#NUM!</v>
      </c>
      <c r="C412" s="171" t="e">
        <f t="shared" si="62"/>
        <v>#NUM!</v>
      </c>
      <c r="D412" s="171" t="e">
        <f t="shared" si="63"/>
        <v>#NUM!</v>
      </c>
      <c r="E412" s="171" t="e">
        <f t="shared" si="64"/>
        <v>#NUM!</v>
      </c>
      <c r="F412" s="171" t="e">
        <f t="shared" si="65"/>
        <v>#NUM!</v>
      </c>
      <c r="G412" s="186">
        <f>IF('prijem_zahranicie - viac-dom'!$I$121=TRUE,IF($C$11&gt;0,0.00025*C411,0),IF('prijem_zahranicie - viac-dom'!$I$122=TRUE,IF('prijem_zahranicie - viac-dom'!$F$122&gt;0,0.00025*C411,0),0))</f>
        <v>0</v>
      </c>
      <c r="L412" s="89">
        <v>396</v>
      </c>
      <c r="M412" s="186" t="e">
        <f t="shared" si="66"/>
        <v>#DIV/0!</v>
      </c>
      <c r="N412" s="171" t="e">
        <f t="shared" si="67"/>
        <v>#DIV/0!</v>
      </c>
      <c r="O412" s="171" t="e">
        <f t="shared" si="60"/>
        <v>#DIV/0!</v>
      </c>
      <c r="P412" s="171" t="e">
        <f t="shared" si="68"/>
        <v>#DIV/0!</v>
      </c>
      <c r="Q412" s="171" t="e">
        <f t="shared" si="69"/>
        <v>#DIV/0!</v>
      </c>
      <c r="R412" s="186">
        <f>IF('prijem_zahranicie - viac-dom'!$I$121=TRUE,IF($C$11&gt;0,0.00025*N411,0),IF('prijem_zahranicie - viac-dom'!$I$122=TRUE,IF('prijem_zahranicie - viac-dom'!$F$122&gt;0,0.00025*N411*-1,0),0))</f>
        <v>0</v>
      </c>
    </row>
    <row r="413" spans="1:18" x14ac:dyDescent="0.2">
      <c r="A413" s="89">
        <v>397</v>
      </c>
      <c r="B413" s="186" t="e">
        <f t="shared" si="61"/>
        <v>#NUM!</v>
      </c>
      <c r="C413" s="171" t="e">
        <f t="shared" si="62"/>
        <v>#NUM!</v>
      </c>
      <c r="D413" s="171" t="e">
        <f t="shared" si="63"/>
        <v>#NUM!</v>
      </c>
      <c r="E413" s="171" t="e">
        <f t="shared" si="64"/>
        <v>#NUM!</v>
      </c>
      <c r="F413" s="171" t="e">
        <f t="shared" si="65"/>
        <v>#NUM!</v>
      </c>
      <c r="G413" s="186">
        <f>IF('prijem_zahranicie - viac-dom'!$I$121=TRUE,IF($C$11&gt;0,0.00025*C412,0),IF('prijem_zahranicie - viac-dom'!$I$122=TRUE,IF('prijem_zahranicie - viac-dom'!$F$122&gt;0,0.00025*C412,0),0))</f>
        <v>0</v>
      </c>
      <c r="L413" s="89">
        <v>397</v>
      </c>
      <c r="M413" s="186" t="e">
        <f t="shared" si="66"/>
        <v>#DIV/0!</v>
      </c>
      <c r="N413" s="171" t="e">
        <f t="shared" si="67"/>
        <v>#DIV/0!</v>
      </c>
      <c r="O413" s="171" t="e">
        <f t="shared" si="60"/>
        <v>#DIV/0!</v>
      </c>
      <c r="P413" s="171" t="e">
        <f t="shared" si="68"/>
        <v>#DIV/0!</v>
      </c>
      <c r="Q413" s="171" t="e">
        <f t="shared" si="69"/>
        <v>#DIV/0!</v>
      </c>
      <c r="R413" s="186">
        <f>IF('prijem_zahranicie - viac-dom'!$I$121=TRUE,IF($C$11&gt;0,0.00025*N412,0),IF('prijem_zahranicie - viac-dom'!$I$122=TRUE,IF('prijem_zahranicie - viac-dom'!$F$122&gt;0,0.00025*N412*-1,0),0))</f>
        <v>0</v>
      </c>
    </row>
    <row r="414" spans="1:18" x14ac:dyDescent="0.2">
      <c r="A414" s="89">
        <v>398</v>
      </c>
      <c r="B414" s="186" t="e">
        <f t="shared" si="61"/>
        <v>#NUM!</v>
      </c>
      <c r="C414" s="171" t="e">
        <f t="shared" si="62"/>
        <v>#NUM!</v>
      </c>
      <c r="D414" s="171" t="e">
        <f t="shared" si="63"/>
        <v>#NUM!</v>
      </c>
      <c r="E414" s="171" t="e">
        <f t="shared" si="64"/>
        <v>#NUM!</v>
      </c>
      <c r="F414" s="171" t="e">
        <f t="shared" si="65"/>
        <v>#NUM!</v>
      </c>
      <c r="G414" s="186">
        <f>IF('prijem_zahranicie - viac-dom'!$I$121=TRUE,IF($C$11&gt;0,0.00025*C413,0),IF('prijem_zahranicie - viac-dom'!$I$122=TRUE,IF('prijem_zahranicie - viac-dom'!$F$122&gt;0,0.00025*C413,0),0))</f>
        <v>0</v>
      </c>
      <c r="L414" s="89">
        <v>398</v>
      </c>
      <c r="M414" s="186" t="e">
        <f t="shared" si="66"/>
        <v>#DIV/0!</v>
      </c>
      <c r="N414" s="171" t="e">
        <f t="shared" si="67"/>
        <v>#DIV/0!</v>
      </c>
      <c r="O414" s="171" t="e">
        <f t="shared" si="60"/>
        <v>#DIV/0!</v>
      </c>
      <c r="P414" s="171" t="e">
        <f t="shared" si="68"/>
        <v>#DIV/0!</v>
      </c>
      <c r="Q414" s="171" t="e">
        <f t="shared" si="69"/>
        <v>#DIV/0!</v>
      </c>
      <c r="R414" s="186">
        <f>IF('prijem_zahranicie - viac-dom'!$I$121=TRUE,IF($C$11&gt;0,0.00025*N413,0),IF('prijem_zahranicie - viac-dom'!$I$122=TRUE,IF('prijem_zahranicie - viac-dom'!$F$122&gt;0,0.00025*N413*-1,0),0))</f>
        <v>0</v>
      </c>
    </row>
    <row r="415" spans="1:18" x14ac:dyDescent="0.2">
      <c r="A415" s="89">
        <v>399</v>
      </c>
      <c r="B415" s="186" t="e">
        <f t="shared" si="61"/>
        <v>#NUM!</v>
      </c>
      <c r="C415" s="171" t="e">
        <f t="shared" si="62"/>
        <v>#NUM!</v>
      </c>
      <c r="D415" s="171" t="e">
        <f t="shared" si="63"/>
        <v>#NUM!</v>
      </c>
      <c r="E415" s="171" t="e">
        <f t="shared" si="64"/>
        <v>#NUM!</v>
      </c>
      <c r="F415" s="171" t="e">
        <f t="shared" si="65"/>
        <v>#NUM!</v>
      </c>
      <c r="G415" s="186">
        <f>IF('prijem_zahranicie - viac-dom'!$I$121=TRUE,IF($C$11&gt;0,0.00025*C414,0),IF('prijem_zahranicie - viac-dom'!$I$122=TRUE,IF('prijem_zahranicie - viac-dom'!$F$122&gt;0,0.00025*C414,0),0))</f>
        <v>0</v>
      </c>
      <c r="L415" s="89">
        <v>399</v>
      </c>
      <c r="M415" s="186" t="e">
        <f t="shared" si="66"/>
        <v>#DIV/0!</v>
      </c>
      <c r="N415" s="171" t="e">
        <f t="shared" si="67"/>
        <v>#DIV/0!</v>
      </c>
      <c r="O415" s="171" t="e">
        <f t="shared" si="60"/>
        <v>#DIV/0!</v>
      </c>
      <c r="P415" s="171" t="e">
        <f t="shared" si="68"/>
        <v>#DIV/0!</v>
      </c>
      <c r="Q415" s="171" t="e">
        <f t="shared" si="69"/>
        <v>#DIV/0!</v>
      </c>
      <c r="R415" s="186">
        <f>IF('prijem_zahranicie - viac-dom'!$I$121=TRUE,IF($C$11&gt;0,0.00025*N414,0),IF('prijem_zahranicie - viac-dom'!$I$122=TRUE,IF('prijem_zahranicie - viac-dom'!$F$122&gt;0,0.00025*N414*-1,0),0))</f>
        <v>0</v>
      </c>
    </row>
    <row r="416" spans="1:18" x14ac:dyDescent="0.2">
      <c r="A416" s="89">
        <v>400</v>
      </c>
      <c r="B416" s="186" t="e">
        <f t="shared" si="61"/>
        <v>#NUM!</v>
      </c>
      <c r="C416" s="171" t="e">
        <f t="shared" si="62"/>
        <v>#NUM!</v>
      </c>
      <c r="D416" s="171" t="e">
        <f t="shared" si="63"/>
        <v>#NUM!</v>
      </c>
      <c r="E416" s="171" t="e">
        <f t="shared" si="64"/>
        <v>#NUM!</v>
      </c>
      <c r="F416" s="171" t="e">
        <f t="shared" si="65"/>
        <v>#NUM!</v>
      </c>
      <c r="G416" s="186">
        <f>IF('prijem_zahranicie - viac-dom'!$I$121=TRUE,IF($C$11&gt;0,0.00025*C415,0),IF('prijem_zahranicie - viac-dom'!$I$122=TRUE,IF('prijem_zahranicie - viac-dom'!$F$122&gt;0,0.00025*C415,0),0))</f>
        <v>0</v>
      </c>
      <c r="L416" s="89">
        <v>400</v>
      </c>
      <c r="M416" s="186" t="e">
        <f t="shared" si="66"/>
        <v>#DIV/0!</v>
      </c>
      <c r="N416" s="171" t="e">
        <f t="shared" si="67"/>
        <v>#DIV/0!</v>
      </c>
      <c r="O416" s="171" t="e">
        <f t="shared" si="60"/>
        <v>#DIV/0!</v>
      </c>
      <c r="P416" s="171" t="e">
        <f t="shared" si="68"/>
        <v>#DIV/0!</v>
      </c>
      <c r="Q416" s="171" t="e">
        <f t="shared" si="69"/>
        <v>#DIV/0!</v>
      </c>
      <c r="R416" s="186">
        <f>IF('prijem_zahranicie - viac-dom'!$I$121=TRUE,IF($C$11&gt;0,0.00025*N415,0),IF('prijem_zahranicie - viac-dom'!$I$122=TRUE,IF('prijem_zahranicie - viac-dom'!$F$122&gt;0,0.00025*N415*-1,0),0))</f>
        <v>0</v>
      </c>
    </row>
    <row r="417" spans="1:18" x14ac:dyDescent="0.2">
      <c r="A417" s="89">
        <v>401</v>
      </c>
      <c r="B417" s="186" t="e">
        <f t="shared" si="61"/>
        <v>#NUM!</v>
      </c>
      <c r="C417" s="171" t="e">
        <f t="shared" si="62"/>
        <v>#NUM!</v>
      </c>
      <c r="D417" s="171" t="e">
        <f t="shared" si="63"/>
        <v>#NUM!</v>
      </c>
      <c r="E417" s="171" t="e">
        <f t="shared" si="64"/>
        <v>#NUM!</v>
      </c>
      <c r="F417" s="171" t="e">
        <f t="shared" si="65"/>
        <v>#NUM!</v>
      </c>
      <c r="G417" s="186">
        <f>IF('prijem_zahranicie - viac-dom'!$I$121=TRUE,IF($C$11&gt;0,0.00025*C416,0),IF('prijem_zahranicie - viac-dom'!$I$122=TRUE,IF('prijem_zahranicie - viac-dom'!$F$122&gt;0,0.00025*C416,0),0))</f>
        <v>0</v>
      </c>
      <c r="L417" s="89">
        <v>401</v>
      </c>
      <c r="M417" s="186" t="e">
        <f t="shared" si="66"/>
        <v>#DIV/0!</v>
      </c>
      <c r="N417" s="171" t="e">
        <f t="shared" si="67"/>
        <v>#DIV/0!</v>
      </c>
      <c r="O417" s="171" t="e">
        <f t="shared" si="60"/>
        <v>#DIV/0!</v>
      </c>
      <c r="P417" s="171" t="e">
        <f t="shared" si="68"/>
        <v>#DIV/0!</v>
      </c>
      <c r="Q417" s="171" t="e">
        <f t="shared" si="69"/>
        <v>#DIV/0!</v>
      </c>
      <c r="R417" s="186">
        <f>IF('prijem_zahranicie - viac-dom'!$I$121=TRUE,IF($C$11&gt;0,0.00025*N416,0),IF('prijem_zahranicie - viac-dom'!$I$122=TRUE,IF('prijem_zahranicie - viac-dom'!$F$122&gt;0,0.00025*N416*-1,0),0))</f>
        <v>0</v>
      </c>
    </row>
    <row r="418" spans="1:18" x14ac:dyDescent="0.2">
      <c r="A418" s="89">
        <v>402</v>
      </c>
      <c r="B418" s="186" t="e">
        <f t="shared" si="61"/>
        <v>#NUM!</v>
      </c>
      <c r="C418" s="171" t="e">
        <f t="shared" si="62"/>
        <v>#NUM!</v>
      </c>
      <c r="D418" s="171" t="e">
        <f t="shared" si="63"/>
        <v>#NUM!</v>
      </c>
      <c r="E418" s="171" t="e">
        <f t="shared" si="64"/>
        <v>#NUM!</v>
      </c>
      <c r="F418" s="171" t="e">
        <f t="shared" si="65"/>
        <v>#NUM!</v>
      </c>
      <c r="G418" s="186">
        <f>IF('prijem_zahranicie - viac-dom'!$I$121=TRUE,IF($C$11&gt;0,0.00025*C417,0),IF('prijem_zahranicie - viac-dom'!$I$122=TRUE,IF('prijem_zahranicie - viac-dom'!$F$122&gt;0,0.00025*C417,0),0))</f>
        <v>0</v>
      </c>
      <c r="L418" s="89">
        <v>402</v>
      </c>
      <c r="M418" s="186" t="e">
        <f t="shared" si="66"/>
        <v>#DIV/0!</v>
      </c>
      <c r="N418" s="171" t="e">
        <f t="shared" si="67"/>
        <v>#DIV/0!</v>
      </c>
      <c r="O418" s="171" t="e">
        <f t="shared" si="60"/>
        <v>#DIV/0!</v>
      </c>
      <c r="P418" s="171" t="e">
        <f t="shared" si="68"/>
        <v>#DIV/0!</v>
      </c>
      <c r="Q418" s="171" t="e">
        <f t="shared" si="69"/>
        <v>#DIV/0!</v>
      </c>
      <c r="R418" s="186">
        <f>IF('prijem_zahranicie - viac-dom'!$I$121=TRUE,IF($C$11&gt;0,0.00025*N417,0),IF('prijem_zahranicie - viac-dom'!$I$122=TRUE,IF('prijem_zahranicie - viac-dom'!$F$122&gt;0,0.00025*N417*-1,0),0))</f>
        <v>0</v>
      </c>
    </row>
    <row r="419" spans="1:18" x14ac:dyDescent="0.2">
      <c r="A419" s="89">
        <v>403</v>
      </c>
      <c r="B419" s="186" t="e">
        <f t="shared" si="61"/>
        <v>#NUM!</v>
      </c>
      <c r="C419" s="171" t="e">
        <f t="shared" si="62"/>
        <v>#NUM!</v>
      </c>
      <c r="D419" s="171" t="e">
        <f t="shared" si="63"/>
        <v>#NUM!</v>
      </c>
      <c r="E419" s="171" t="e">
        <f t="shared" si="64"/>
        <v>#NUM!</v>
      </c>
      <c r="F419" s="171" t="e">
        <f t="shared" si="65"/>
        <v>#NUM!</v>
      </c>
      <c r="G419" s="186">
        <f>IF('prijem_zahranicie - viac-dom'!$I$121=TRUE,IF($C$11&gt;0,0.00025*C418,0),IF('prijem_zahranicie - viac-dom'!$I$122=TRUE,IF('prijem_zahranicie - viac-dom'!$F$122&gt;0,0.00025*C418,0),0))</f>
        <v>0</v>
      </c>
      <c r="L419" s="89">
        <v>403</v>
      </c>
      <c r="M419" s="186" t="e">
        <f t="shared" si="66"/>
        <v>#DIV/0!</v>
      </c>
      <c r="N419" s="171" t="e">
        <f t="shared" si="67"/>
        <v>#DIV/0!</v>
      </c>
      <c r="O419" s="171" t="e">
        <f t="shared" si="60"/>
        <v>#DIV/0!</v>
      </c>
      <c r="P419" s="171" t="e">
        <f t="shared" si="68"/>
        <v>#DIV/0!</v>
      </c>
      <c r="Q419" s="171" t="e">
        <f t="shared" si="69"/>
        <v>#DIV/0!</v>
      </c>
      <c r="R419" s="186">
        <f>IF('prijem_zahranicie - viac-dom'!$I$121=TRUE,IF($C$11&gt;0,0.00025*N418,0),IF('prijem_zahranicie - viac-dom'!$I$122=TRUE,IF('prijem_zahranicie - viac-dom'!$F$122&gt;0,0.00025*N418*-1,0),0))</f>
        <v>0</v>
      </c>
    </row>
    <row r="420" spans="1:18" x14ac:dyDescent="0.2">
      <c r="A420" s="89">
        <v>404</v>
      </c>
      <c r="B420" s="186" t="e">
        <f t="shared" si="61"/>
        <v>#NUM!</v>
      </c>
      <c r="C420" s="171" t="e">
        <f t="shared" si="62"/>
        <v>#NUM!</v>
      </c>
      <c r="D420" s="171" t="e">
        <f t="shared" si="63"/>
        <v>#NUM!</v>
      </c>
      <c r="E420" s="171" t="e">
        <f t="shared" si="64"/>
        <v>#NUM!</v>
      </c>
      <c r="F420" s="171" t="e">
        <f t="shared" si="65"/>
        <v>#NUM!</v>
      </c>
      <c r="G420" s="186">
        <f>IF('prijem_zahranicie - viac-dom'!$I$121=TRUE,IF($C$11&gt;0,0.00025*C419,0),IF('prijem_zahranicie - viac-dom'!$I$122=TRUE,IF('prijem_zahranicie - viac-dom'!$F$122&gt;0,0.00025*C419,0),0))</f>
        <v>0</v>
      </c>
      <c r="L420" s="89">
        <v>404</v>
      </c>
      <c r="M420" s="186" t="e">
        <f t="shared" si="66"/>
        <v>#DIV/0!</v>
      </c>
      <c r="N420" s="171" t="e">
        <f t="shared" si="67"/>
        <v>#DIV/0!</v>
      </c>
      <c r="O420" s="171" t="e">
        <f t="shared" si="60"/>
        <v>#DIV/0!</v>
      </c>
      <c r="P420" s="171" t="e">
        <f t="shared" si="68"/>
        <v>#DIV/0!</v>
      </c>
      <c r="Q420" s="171" t="e">
        <f t="shared" si="69"/>
        <v>#DIV/0!</v>
      </c>
      <c r="R420" s="186">
        <f>IF('prijem_zahranicie - viac-dom'!$I$121=TRUE,IF($C$11&gt;0,0.00025*N419,0),IF('prijem_zahranicie - viac-dom'!$I$122=TRUE,IF('prijem_zahranicie - viac-dom'!$F$122&gt;0,0.00025*N419*-1,0),0))</f>
        <v>0</v>
      </c>
    </row>
    <row r="421" spans="1:18" x14ac:dyDescent="0.2">
      <c r="A421" s="89">
        <v>405</v>
      </c>
      <c r="B421" s="186" t="e">
        <f t="shared" si="61"/>
        <v>#NUM!</v>
      </c>
      <c r="C421" s="171" t="e">
        <f t="shared" si="62"/>
        <v>#NUM!</v>
      </c>
      <c r="D421" s="171" t="e">
        <f t="shared" si="63"/>
        <v>#NUM!</v>
      </c>
      <c r="E421" s="171" t="e">
        <f t="shared" si="64"/>
        <v>#NUM!</v>
      </c>
      <c r="F421" s="171" t="e">
        <f t="shared" si="65"/>
        <v>#NUM!</v>
      </c>
      <c r="G421" s="186">
        <f>IF('prijem_zahranicie - viac-dom'!$I$121=TRUE,IF($C$11&gt;0,0.00025*C420,0),IF('prijem_zahranicie - viac-dom'!$I$122=TRUE,IF('prijem_zahranicie - viac-dom'!$F$122&gt;0,0.00025*C420,0),0))</f>
        <v>0</v>
      </c>
      <c r="L421" s="89">
        <v>405</v>
      </c>
      <c r="M421" s="186" t="e">
        <f t="shared" si="66"/>
        <v>#DIV/0!</v>
      </c>
      <c r="N421" s="171" t="e">
        <f t="shared" si="67"/>
        <v>#DIV/0!</v>
      </c>
      <c r="O421" s="171" t="e">
        <f t="shared" si="60"/>
        <v>#DIV/0!</v>
      </c>
      <c r="P421" s="171" t="e">
        <f t="shared" si="68"/>
        <v>#DIV/0!</v>
      </c>
      <c r="Q421" s="171" t="e">
        <f t="shared" si="69"/>
        <v>#DIV/0!</v>
      </c>
      <c r="R421" s="186">
        <f>IF('prijem_zahranicie - viac-dom'!$I$121=TRUE,IF($C$11&gt;0,0.00025*N420,0),IF('prijem_zahranicie - viac-dom'!$I$122=TRUE,IF('prijem_zahranicie - viac-dom'!$F$122&gt;0,0.00025*N420*-1,0),0))</f>
        <v>0</v>
      </c>
    </row>
    <row r="422" spans="1:18" x14ac:dyDescent="0.2">
      <c r="A422" s="89">
        <v>406</v>
      </c>
      <c r="B422" s="186" t="e">
        <f t="shared" si="61"/>
        <v>#NUM!</v>
      </c>
      <c r="C422" s="171" t="e">
        <f t="shared" si="62"/>
        <v>#NUM!</v>
      </c>
      <c r="D422" s="171" t="e">
        <f t="shared" si="63"/>
        <v>#NUM!</v>
      </c>
      <c r="E422" s="171" t="e">
        <f t="shared" si="64"/>
        <v>#NUM!</v>
      </c>
      <c r="F422" s="171" t="e">
        <f t="shared" si="65"/>
        <v>#NUM!</v>
      </c>
      <c r="G422" s="186">
        <f>IF('prijem_zahranicie - viac-dom'!$I$121=TRUE,IF($C$11&gt;0,0.00025*C421,0),IF('prijem_zahranicie - viac-dom'!$I$122=TRUE,IF('prijem_zahranicie - viac-dom'!$F$122&gt;0,0.00025*C421,0),0))</f>
        <v>0</v>
      </c>
      <c r="L422" s="89">
        <v>406</v>
      </c>
      <c r="M422" s="186" t="e">
        <f t="shared" si="66"/>
        <v>#DIV/0!</v>
      </c>
      <c r="N422" s="171" t="e">
        <f t="shared" si="67"/>
        <v>#DIV/0!</v>
      </c>
      <c r="O422" s="171" t="e">
        <f t="shared" si="60"/>
        <v>#DIV/0!</v>
      </c>
      <c r="P422" s="171" t="e">
        <f t="shared" si="68"/>
        <v>#DIV/0!</v>
      </c>
      <c r="Q422" s="171" t="e">
        <f t="shared" si="69"/>
        <v>#DIV/0!</v>
      </c>
      <c r="R422" s="186">
        <f>IF('prijem_zahranicie - viac-dom'!$I$121=TRUE,IF($C$11&gt;0,0.00025*N421,0),IF('prijem_zahranicie - viac-dom'!$I$122=TRUE,IF('prijem_zahranicie - viac-dom'!$F$122&gt;0,0.00025*N421*-1,0),0))</f>
        <v>0</v>
      </c>
    </row>
    <row r="423" spans="1:18" x14ac:dyDescent="0.2">
      <c r="A423" s="89">
        <v>407</v>
      </c>
      <c r="B423" s="186" t="e">
        <f t="shared" si="61"/>
        <v>#NUM!</v>
      </c>
      <c r="C423" s="171" t="e">
        <f t="shared" si="62"/>
        <v>#NUM!</v>
      </c>
      <c r="D423" s="171" t="e">
        <f t="shared" si="63"/>
        <v>#NUM!</v>
      </c>
      <c r="E423" s="171" t="e">
        <f t="shared" si="64"/>
        <v>#NUM!</v>
      </c>
      <c r="F423" s="171" t="e">
        <f t="shared" si="65"/>
        <v>#NUM!</v>
      </c>
      <c r="G423" s="186">
        <f>IF('prijem_zahranicie - viac-dom'!$I$121=TRUE,IF($C$11&gt;0,0.00025*C422,0),IF('prijem_zahranicie - viac-dom'!$I$122=TRUE,IF('prijem_zahranicie - viac-dom'!$F$122&gt;0,0.00025*C422,0),0))</f>
        <v>0</v>
      </c>
      <c r="L423" s="89">
        <v>407</v>
      </c>
      <c r="M423" s="186" t="e">
        <f t="shared" si="66"/>
        <v>#DIV/0!</v>
      </c>
      <c r="N423" s="171" t="e">
        <f t="shared" si="67"/>
        <v>#DIV/0!</v>
      </c>
      <c r="O423" s="171" t="e">
        <f t="shared" si="60"/>
        <v>#DIV/0!</v>
      </c>
      <c r="P423" s="171" t="e">
        <f t="shared" si="68"/>
        <v>#DIV/0!</v>
      </c>
      <c r="Q423" s="171" t="e">
        <f t="shared" si="69"/>
        <v>#DIV/0!</v>
      </c>
      <c r="R423" s="186">
        <f>IF('prijem_zahranicie - viac-dom'!$I$121=TRUE,IF($C$11&gt;0,0.00025*N422,0),IF('prijem_zahranicie - viac-dom'!$I$122=TRUE,IF('prijem_zahranicie - viac-dom'!$F$122&gt;0,0.00025*N422*-1,0),0))</f>
        <v>0</v>
      </c>
    </row>
    <row r="424" spans="1:18" x14ac:dyDescent="0.2">
      <c r="A424" s="89">
        <v>408</v>
      </c>
      <c r="B424" s="186" t="e">
        <f t="shared" si="61"/>
        <v>#NUM!</v>
      </c>
      <c r="C424" s="171" t="e">
        <f t="shared" si="62"/>
        <v>#NUM!</v>
      </c>
      <c r="D424" s="171" t="e">
        <f t="shared" si="63"/>
        <v>#NUM!</v>
      </c>
      <c r="E424" s="171" t="e">
        <f t="shared" si="64"/>
        <v>#NUM!</v>
      </c>
      <c r="F424" s="171" t="e">
        <f t="shared" si="65"/>
        <v>#NUM!</v>
      </c>
      <c r="G424" s="186">
        <f>IF('prijem_zahranicie - viac-dom'!$I$121=TRUE,IF($C$11&gt;0,0.00025*C423,0),IF('prijem_zahranicie - viac-dom'!$I$122=TRUE,IF('prijem_zahranicie - viac-dom'!$F$122&gt;0,0.00025*C423,0),0))</f>
        <v>0</v>
      </c>
      <c r="L424" s="89">
        <v>408</v>
      </c>
      <c r="M424" s="186" t="e">
        <f t="shared" si="66"/>
        <v>#DIV/0!</v>
      </c>
      <c r="N424" s="171" t="e">
        <f t="shared" si="67"/>
        <v>#DIV/0!</v>
      </c>
      <c r="O424" s="171" t="e">
        <f t="shared" si="60"/>
        <v>#DIV/0!</v>
      </c>
      <c r="P424" s="171" t="e">
        <f t="shared" si="68"/>
        <v>#DIV/0!</v>
      </c>
      <c r="Q424" s="171" t="e">
        <f t="shared" si="69"/>
        <v>#DIV/0!</v>
      </c>
      <c r="R424" s="186">
        <f>IF('prijem_zahranicie - viac-dom'!$I$121=TRUE,IF($C$11&gt;0,0.00025*N423,0),IF('prijem_zahranicie - viac-dom'!$I$122=TRUE,IF('prijem_zahranicie - viac-dom'!$F$122&gt;0,0.00025*N423*-1,0),0))</f>
        <v>0</v>
      </c>
    </row>
    <row r="425" spans="1:18" x14ac:dyDescent="0.2">
      <c r="A425" s="89">
        <v>409</v>
      </c>
      <c r="B425" s="186" t="e">
        <f t="shared" si="61"/>
        <v>#NUM!</v>
      </c>
      <c r="C425" s="171" t="e">
        <f t="shared" si="62"/>
        <v>#NUM!</v>
      </c>
      <c r="D425" s="171" t="e">
        <f t="shared" si="63"/>
        <v>#NUM!</v>
      </c>
      <c r="E425" s="171" t="e">
        <f t="shared" si="64"/>
        <v>#NUM!</v>
      </c>
      <c r="F425" s="171" t="e">
        <f t="shared" si="65"/>
        <v>#NUM!</v>
      </c>
      <c r="G425" s="186">
        <f>IF('prijem_zahranicie - viac-dom'!$I$121=TRUE,IF($C$11&gt;0,0.00025*C424,0),IF('prijem_zahranicie - viac-dom'!$I$122=TRUE,IF('prijem_zahranicie - viac-dom'!$F$122&gt;0,0.00025*C424,0),0))</f>
        <v>0</v>
      </c>
      <c r="L425" s="89">
        <v>409</v>
      </c>
      <c r="M425" s="186" t="e">
        <f t="shared" si="66"/>
        <v>#DIV/0!</v>
      </c>
      <c r="N425" s="171" t="e">
        <f t="shared" si="67"/>
        <v>#DIV/0!</v>
      </c>
      <c r="O425" s="171" t="e">
        <f t="shared" si="60"/>
        <v>#DIV/0!</v>
      </c>
      <c r="P425" s="171" t="e">
        <f t="shared" si="68"/>
        <v>#DIV/0!</v>
      </c>
      <c r="Q425" s="171" t="e">
        <f t="shared" si="69"/>
        <v>#DIV/0!</v>
      </c>
      <c r="R425" s="186">
        <f>IF('prijem_zahranicie - viac-dom'!$I$121=TRUE,IF($C$11&gt;0,0.00025*N424,0),IF('prijem_zahranicie - viac-dom'!$I$122=TRUE,IF('prijem_zahranicie - viac-dom'!$F$122&gt;0,0.00025*N424*-1,0),0))</f>
        <v>0</v>
      </c>
    </row>
    <row r="426" spans="1:18" x14ac:dyDescent="0.2">
      <c r="A426" s="89">
        <v>410</v>
      </c>
      <c r="B426" s="186" t="e">
        <f t="shared" si="61"/>
        <v>#NUM!</v>
      </c>
      <c r="C426" s="171" t="e">
        <f t="shared" si="62"/>
        <v>#NUM!</v>
      </c>
      <c r="D426" s="171" t="e">
        <f t="shared" si="63"/>
        <v>#NUM!</v>
      </c>
      <c r="E426" s="171" t="e">
        <f t="shared" si="64"/>
        <v>#NUM!</v>
      </c>
      <c r="F426" s="171" t="e">
        <f t="shared" si="65"/>
        <v>#NUM!</v>
      </c>
      <c r="G426" s="186">
        <f>IF('prijem_zahranicie - viac-dom'!$I$121=TRUE,IF($C$11&gt;0,0.00025*C425,0),IF('prijem_zahranicie - viac-dom'!$I$122=TRUE,IF('prijem_zahranicie - viac-dom'!$F$122&gt;0,0.00025*C425,0),0))</f>
        <v>0</v>
      </c>
      <c r="L426" s="89">
        <v>410</v>
      </c>
      <c r="M426" s="186" t="e">
        <f t="shared" si="66"/>
        <v>#DIV/0!</v>
      </c>
      <c r="N426" s="171" t="e">
        <f t="shared" si="67"/>
        <v>#DIV/0!</v>
      </c>
      <c r="O426" s="171" t="e">
        <f t="shared" si="60"/>
        <v>#DIV/0!</v>
      </c>
      <c r="P426" s="171" t="e">
        <f t="shared" si="68"/>
        <v>#DIV/0!</v>
      </c>
      <c r="Q426" s="171" t="e">
        <f t="shared" si="69"/>
        <v>#DIV/0!</v>
      </c>
      <c r="R426" s="186">
        <f>IF('prijem_zahranicie - viac-dom'!$I$121=TRUE,IF($C$11&gt;0,0.00025*N425,0),IF('prijem_zahranicie - viac-dom'!$I$122=TRUE,IF('prijem_zahranicie - viac-dom'!$F$122&gt;0,0.00025*N425*-1,0),0))</f>
        <v>0</v>
      </c>
    </row>
    <row r="427" spans="1:18" x14ac:dyDescent="0.2">
      <c r="A427" s="89">
        <v>411</v>
      </c>
      <c r="B427" s="186" t="e">
        <f t="shared" si="61"/>
        <v>#NUM!</v>
      </c>
      <c r="C427" s="171" t="e">
        <f t="shared" si="62"/>
        <v>#NUM!</v>
      </c>
      <c r="D427" s="171" t="e">
        <f t="shared" si="63"/>
        <v>#NUM!</v>
      </c>
      <c r="E427" s="171" t="e">
        <f t="shared" si="64"/>
        <v>#NUM!</v>
      </c>
      <c r="F427" s="171" t="e">
        <f t="shared" si="65"/>
        <v>#NUM!</v>
      </c>
      <c r="G427" s="186">
        <f>IF('prijem_zahranicie - viac-dom'!$I$121=TRUE,IF($C$11&gt;0,0.00025*C426,0),IF('prijem_zahranicie - viac-dom'!$I$122=TRUE,IF('prijem_zahranicie - viac-dom'!$F$122&gt;0,0.00025*C426,0),0))</f>
        <v>0</v>
      </c>
      <c r="L427" s="89">
        <v>411</v>
      </c>
      <c r="M427" s="186" t="e">
        <f t="shared" si="66"/>
        <v>#DIV/0!</v>
      </c>
      <c r="N427" s="171" t="e">
        <f t="shared" si="67"/>
        <v>#DIV/0!</v>
      </c>
      <c r="O427" s="171" t="e">
        <f t="shared" si="60"/>
        <v>#DIV/0!</v>
      </c>
      <c r="P427" s="171" t="e">
        <f t="shared" si="68"/>
        <v>#DIV/0!</v>
      </c>
      <c r="Q427" s="171" t="e">
        <f t="shared" si="69"/>
        <v>#DIV/0!</v>
      </c>
      <c r="R427" s="186">
        <f>IF('prijem_zahranicie - viac-dom'!$I$121=TRUE,IF($C$11&gt;0,0.00025*N426,0),IF('prijem_zahranicie - viac-dom'!$I$122=TRUE,IF('prijem_zahranicie - viac-dom'!$F$122&gt;0,0.00025*N426*-1,0),0))</f>
        <v>0</v>
      </c>
    </row>
    <row r="428" spans="1:18" x14ac:dyDescent="0.2">
      <c r="A428" s="89">
        <v>412</v>
      </c>
      <c r="B428" s="186" t="e">
        <f t="shared" si="61"/>
        <v>#NUM!</v>
      </c>
      <c r="C428" s="171" t="e">
        <f t="shared" si="62"/>
        <v>#NUM!</v>
      </c>
      <c r="D428" s="171" t="e">
        <f t="shared" si="63"/>
        <v>#NUM!</v>
      </c>
      <c r="E428" s="171" t="e">
        <f t="shared" si="64"/>
        <v>#NUM!</v>
      </c>
      <c r="F428" s="171" t="e">
        <f t="shared" si="65"/>
        <v>#NUM!</v>
      </c>
      <c r="G428" s="186">
        <f>IF('prijem_zahranicie - viac-dom'!$I$121=TRUE,IF($C$11&gt;0,0.00025*C427,0),IF('prijem_zahranicie - viac-dom'!$I$122=TRUE,IF('prijem_zahranicie - viac-dom'!$F$122&gt;0,0.00025*C427,0),0))</f>
        <v>0</v>
      </c>
      <c r="L428" s="89">
        <v>412</v>
      </c>
      <c r="M428" s="186" t="e">
        <f t="shared" si="66"/>
        <v>#DIV/0!</v>
      </c>
      <c r="N428" s="171" t="e">
        <f t="shared" si="67"/>
        <v>#DIV/0!</v>
      </c>
      <c r="O428" s="171" t="e">
        <f t="shared" si="60"/>
        <v>#DIV/0!</v>
      </c>
      <c r="P428" s="171" t="e">
        <f t="shared" si="68"/>
        <v>#DIV/0!</v>
      </c>
      <c r="Q428" s="171" t="e">
        <f t="shared" si="69"/>
        <v>#DIV/0!</v>
      </c>
      <c r="R428" s="186">
        <f>IF('prijem_zahranicie - viac-dom'!$I$121=TRUE,IF($C$11&gt;0,0.00025*N427,0),IF('prijem_zahranicie - viac-dom'!$I$122=TRUE,IF('prijem_zahranicie - viac-dom'!$F$122&gt;0,0.00025*N427*-1,0),0))</f>
        <v>0</v>
      </c>
    </row>
    <row r="429" spans="1:18" x14ac:dyDescent="0.2">
      <c r="A429" s="89">
        <v>413</v>
      </c>
      <c r="B429" s="186" t="e">
        <f t="shared" si="61"/>
        <v>#NUM!</v>
      </c>
      <c r="C429" s="171" t="e">
        <f t="shared" si="62"/>
        <v>#NUM!</v>
      </c>
      <c r="D429" s="171" t="e">
        <f t="shared" si="63"/>
        <v>#NUM!</v>
      </c>
      <c r="E429" s="171" t="e">
        <f t="shared" si="64"/>
        <v>#NUM!</v>
      </c>
      <c r="F429" s="171" t="e">
        <f t="shared" si="65"/>
        <v>#NUM!</v>
      </c>
      <c r="G429" s="186">
        <f>IF('prijem_zahranicie - viac-dom'!$I$121=TRUE,IF($C$11&gt;0,0.00025*C428,0),IF('prijem_zahranicie - viac-dom'!$I$122=TRUE,IF('prijem_zahranicie - viac-dom'!$F$122&gt;0,0.00025*C428,0),0))</f>
        <v>0</v>
      </c>
      <c r="L429" s="89">
        <v>413</v>
      </c>
      <c r="M429" s="186" t="e">
        <f t="shared" si="66"/>
        <v>#DIV/0!</v>
      </c>
      <c r="N429" s="171" t="e">
        <f t="shared" si="67"/>
        <v>#DIV/0!</v>
      </c>
      <c r="O429" s="171" t="e">
        <f t="shared" si="60"/>
        <v>#DIV/0!</v>
      </c>
      <c r="P429" s="171" t="e">
        <f t="shared" si="68"/>
        <v>#DIV/0!</v>
      </c>
      <c r="Q429" s="171" t="e">
        <f t="shared" si="69"/>
        <v>#DIV/0!</v>
      </c>
      <c r="R429" s="186">
        <f>IF('prijem_zahranicie - viac-dom'!$I$121=TRUE,IF($C$11&gt;0,0.00025*N428,0),IF('prijem_zahranicie - viac-dom'!$I$122=TRUE,IF('prijem_zahranicie - viac-dom'!$F$122&gt;0,0.00025*N428*-1,0),0))</f>
        <v>0</v>
      </c>
    </row>
    <row r="430" spans="1:18" x14ac:dyDescent="0.2">
      <c r="A430" s="89">
        <v>414</v>
      </c>
      <c r="B430" s="186" t="e">
        <f t="shared" si="61"/>
        <v>#NUM!</v>
      </c>
      <c r="C430" s="171" t="e">
        <f t="shared" si="62"/>
        <v>#NUM!</v>
      </c>
      <c r="D430" s="171" t="e">
        <f t="shared" si="63"/>
        <v>#NUM!</v>
      </c>
      <c r="E430" s="171" t="e">
        <f t="shared" si="64"/>
        <v>#NUM!</v>
      </c>
      <c r="F430" s="171" t="e">
        <f t="shared" si="65"/>
        <v>#NUM!</v>
      </c>
      <c r="G430" s="186">
        <f>IF('prijem_zahranicie - viac-dom'!$I$121=TRUE,IF($C$11&gt;0,0.00025*C429,0),IF('prijem_zahranicie - viac-dom'!$I$122=TRUE,IF('prijem_zahranicie - viac-dom'!$F$122&gt;0,0.00025*C429,0),0))</f>
        <v>0</v>
      </c>
      <c r="L430" s="89">
        <v>414</v>
      </c>
      <c r="M430" s="186" t="e">
        <f t="shared" si="66"/>
        <v>#DIV/0!</v>
      </c>
      <c r="N430" s="171" t="e">
        <f t="shared" si="67"/>
        <v>#DIV/0!</v>
      </c>
      <c r="O430" s="171" t="e">
        <f t="shared" si="60"/>
        <v>#DIV/0!</v>
      </c>
      <c r="P430" s="171" t="e">
        <f t="shared" si="68"/>
        <v>#DIV/0!</v>
      </c>
      <c r="Q430" s="171" t="e">
        <f t="shared" si="69"/>
        <v>#DIV/0!</v>
      </c>
      <c r="R430" s="186">
        <f>IF('prijem_zahranicie - viac-dom'!$I$121=TRUE,IF($C$11&gt;0,0.00025*N429,0),IF('prijem_zahranicie - viac-dom'!$I$122=TRUE,IF('prijem_zahranicie - viac-dom'!$F$122&gt;0,0.00025*N429*-1,0),0))</f>
        <v>0</v>
      </c>
    </row>
    <row r="431" spans="1:18" x14ac:dyDescent="0.2">
      <c r="A431" s="89">
        <v>415</v>
      </c>
      <c r="B431" s="186" t="e">
        <f t="shared" si="61"/>
        <v>#NUM!</v>
      </c>
      <c r="C431" s="171" t="e">
        <f t="shared" si="62"/>
        <v>#NUM!</v>
      </c>
      <c r="D431" s="171" t="e">
        <f t="shared" si="63"/>
        <v>#NUM!</v>
      </c>
      <c r="E431" s="171" t="e">
        <f t="shared" si="64"/>
        <v>#NUM!</v>
      </c>
      <c r="F431" s="171" t="e">
        <f t="shared" si="65"/>
        <v>#NUM!</v>
      </c>
      <c r="G431" s="186">
        <f>IF('prijem_zahranicie - viac-dom'!$I$121=TRUE,IF($C$11&gt;0,0.00025*C430,0),IF('prijem_zahranicie - viac-dom'!$I$122=TRUE,IF('prijem_zahranicie - viac-dom'!$F$122&gt;0,0.00025*C430,0),0))</f>
        <v>0</v>
      </c>
      <c r="L431" s="89">
        <v>415</v>
      </c>
      <c r="M431" s="186" t="e">
        <f t="shared" si="66"/>
        <v>#DIV/0!</v>
      </c>
      <c r="N431" s="171" t="e">
        <f t="shared" si="67"/>
        <v>#DIV/0!</v>
      </c>
      <c r="O431" s="171" t="e">
        <f t="shared" si="60"/>
        <v>#DIV/0!</v>
      </c>
      <c r="P431" s="171" t="e">
        <f t="shared" si="68"/>
        <v>#DIV/0!</v>
      </c>
      <c r="Q431" s="171" t="e">
        <f t="shared" si="69"/>
        <v>#DIV/0!</v>
      </c>
      <c r="R431" s="186">
        <f>IF('prijem_zahranicie - viac-dom'!$I$121=TRUE,IF($C$11&gt;0,0.00025*N430,0),IF('prijem_zahranicie - viac-dom'!$I$122=TRUE,IF('prijem_zahranicie - viac-dom'!$F$122&gt;0,0.00025*N430*-1,0),0))</f>
        <v>0</v>
      </c>
    </row>
    <row r="432" spans="1:18" x14ac:dyDescent="0.2">
      <c r="A432" s="89">
        <v>416</v>
      </c>
      <c r="B432" s="186" t="e">
        <f t="shared" si="61"/>
        <v>#NUM!</v>
      </c>
      <c r="C432" s="171" t="e">
        <f t="shared" si="62"/>
        <v>#NUM!</v>
      </c>
      <c r="D432" s="171" t="e">
        <f t="shared" si="63"/>
        <v>#NUM!</v>
      </c>
      <c r="E432" s="171" t="e">
        <f t="shared" si="64"/>
        <v>#NUM!</v>
      </c>
      <c r="F432" s="171" t="e">
        <f t="shared" si="65"/>
        <v>#NUM!</v>
      </c>
      <c r="G432" s="186">
        <f>IF('prijem_zahranicie - viac-dom'!$I$121=TRUE,IF($C$11&gt;0,0.00025*C431,0),IF('prijem_zahranicie - viac-dom'!$I$122=TRUE,IF('prijem_zahranicie - viac-dom'!$F$122&gt;0,0.00025*C431,0),0))</f>
        <v>0</v>
      </c>
      <c r="L432" s="89">
        <v>416</v>
      </c>
      <c r="M432" s="186" t="e">
        <f t="shared" si="66"/>
        <v>#DIV/0!</v>
      </c>
      <c r="N432" s="171" t="e">
        <f t="shared" si="67"/>
        <v>#DIV/0!</v>
      </c>
      <c r="O432" s="171" t="e">
        <f t="shared" si="60"/>
        <v>#DIV/0!</v>
      </c>
      <c r="P432" s="171" t="e">
        <f t="shared" si="68"/>
        <v>#DIV/0!</v>
      </c>
      <c r="Q432" s="171" t="e">
        <f t="shared" si="69"/>
        <v>#DIV/0!</v>
      </c>
      <c r="R432" s="186">
        <f>IF('prijem_zahranicie - viac-dom'!$I$121=TRUE,IF($C$11&gt;0,0.00025*N431,0),IF('prijem_zahranicie - viac-dom'!$I$122=TRUE,IF('prijem_zahranicie - viac-dom'!$F$122&gt;0,0.00025*N431*-1,0),0))</f>
        <v>0</v>
      </c>
    </row>
    <row r="433" spans="1:18" x14ac:dyDescent="0.2">
      <c r="A433" s="89">
        <v>417</v>
      </c>
      <c r="B433" s="186" t="e">
        <f t="shared" si="61"/>
        <v>#NUM!</v>
      </c>
      <c r="C433" s="171" t="e">
        <f t="shared" si="62"/>
        <v>#NUM!</v>
      </c>
      <c r="D433" s="171" t="e">
        <f t="shared" si="63"/>
        <v>#NUM!</v>
      </c>
      <c r="E433" s="171" t="e">
        <f t="shared" si="64"/>
        <v>#NUM!</v>
      </c>
      <c r="F433" s="171" t="e">
        <f t="shared" si="65"/>
        <v>#NUM!</v>
      </c>
      <c r="G433" s="186">
        <f>IF('prijem_zahranicie - viac-dom'!$I$121=TRUE,IF($C$11&gt;0,0.00025*C432,0),IF('prijem_zahranicie - viac-dom'!$I$122=TRUE,IF('prijem_zahranicie - viac-dom'!$F$122&gt;0,0.00025*C432,0),0))</f>
        <v>0</v>
      </c>
      <c r="L433" s="89">
        <v>417</v>
      </c>
      <c r="M433" s="186" t="e">
        <f t="shared" si="66"/>
        <v>#DIV/0!</v>
      </c>
      <c r="N433" s="171" t="e">
        <f t="shared" si="67"/>
        <v>#DIV/0!</v>
      </c>
      <c r="O433" s="171" t="e">
        <f t="shared" si="60"/>
        <v>#DIV/0!</v>
      </c>
      <c r="P433" s="171" t="e">
        <f t="shared" si="68"/>
        <v>#DIV/0!</v>
      </c>
      <c r="Q433" s="171" t="e">
        <f t="shared" si="69"/>
        <v>#DIV/0!</v>
      </c>
      <c r="R433" s="186">
        <f>IF('prijem_zahranicie - viac-dom'!$I$121=TRUE,IF($C$11&gt;0,0.00025*N432,0),IF('prijem_zahranicie - viac-dom'!$I$122=TRUE,IF('prijem_zahranicie - viac-dom'!$F$122&gt;0,0.00025*N432*-1,0),0))</f>
        <v>0</v>
      </c>
    </row>
    <row r="434" spans="1:18" x14ac:dyDescent="0.2">
      <c r="A434" s="89">
        <v>418</v>
      </c>
      <c r="B434" s="186" t="e">
        <f t="shared" si="61"/>
        <v>#NUM!</v>
      </c>
      <c r="C434" s="171" t="e">
        <f t="shared" si="62"/>
        <v>#NUM!</v>
      </c>
      <c r="D434" s="171" t="e">
        <f t="shared" si="63"/>
        <v>#NUM!</v>
      </c>
      <c r="E434" s="171" t="e">
        <f t="shared" si="64"/>
        <v>#NUM!</v>
      </c>
      <c r="F434" s="171" t="e">
        <f t="shared" si="65"/>
        <v>#NUM!</v>
      </c>
      <c r="G434" s="186">
        <f>IF('prijem_zahranicie - viac-dom'!$I$121=TRUE,IF($C$11&gt;0,0.00025*C433,0),IF('prijem_zahranicie - viac-dom'!$I$122=TRUE,IF('prijem_zahranicie - viac-dom'!$F$122&gt;0,0.00025*C433,0),0))</f>
        <v>0</v>
      </c>
      <c r="L434" s="89">
        <v>418</v>
      </c>
      <c r="M434" s="186" t="e">
        <f t="shared" si="66"/>
        <v>#DIV/0!</v>
      </c>
      <c r="N434" s="171" t="e">
        <f t="shared" si="67"/>
        <v>#DIV/0!</v>
      </c>
      <c r="O434" s="171" t="e">
        <f t="shared" si="60"/>
        <v>#DIV/0!</v>
      </c>
      <c r="P434" s="171" t="e">
        <f t="shared" si="68"/>
        <v>#DIV/0!</v>
      </c>
      <c r="Q434" s="171" t="e">
        <f t="shared" si="69"/>
        <v>#DIV/0!</v>
      </c>
      <c r="R434" s="186">
        <f>IF('prijem_zahranicie - viac-dom'!$I$121=TRUE,IF($C$11&gt;0,0.00025*N433,0),IF('prijem_zahranicie - viac-dom'!$I$122=TRUE,IF('prijem_zahranicie - viac-dom'!$F$122&gt;0,0.00025*N433*-1,0),0))</f>
        <v>0</v>
      </c>
    </row>
    <row r="435" spans="1:18" x14ac:dyDescent="0.2">
      <c r="A435" s="89">
        <v>419</v>
      </c>
      <c r="B435" s="186" t="e">
        <f t="shared" si="61"/>
        <v>#NUM!</v>
      </c>
      <c r="C435" s="171" t="e">
        <f t="shared" si="62"/>
        <v>#NUM!</v>
      </c>
      <c r="D435" s="171" t="e">
        <f t="shared" si="63"/>
        <v>#NUM!</v>
      </c>
      <c r="E435" s="171" t="e">
        <f t="shared" si="64"/>
        <v>#NUM!</v>
      </c>
      <c r="F435" s="171" t="e">
        <f t="shared" si="65"/>
        <v>#NUM!</v>
      </c>
      <c r="G435" s="186">
        <f>IF('prijem_zahranicie - viac-dom'!$I$121=TRUE,IF($C$11&gt;0,0.00025*C434,0),IF('prijem_zahranicie - viac-dom'!$I$122=TRUE,IF('prijem_zahranicie - viac-dom'!$F$122&gt;0,0.00025*C434,0),0))</f>
        <v>0</v>
      </c>
      <c r="L435" s="89">
        <v>419</v>
      </c>
      <c r="M435" s="186" t="e">
        <f t="shared" si="66"/>
        <v>#DIV/0!</v>
      </c>
      <c r="N435" s="171" t="e">
        <f t="shared" si="67"/>
        <v>#DIV/0!</v>
      </c>
      <c r="O435" s="171" t="e">
        <f t="shared" si="60"/>
        <v>#DIV/0!</v>
      </c>
      <c r="P435" s="171" t="e">
        <f t="shared" si="68"/>
        <v>#DIV/0!</v>
      </c>
      <c r="Q435" s="171" t="e">
        <f t="shared" si="69"/>
        <v>#DIV/0!</v>
      </c>
      <c r="R435" s="186">
        <f>IF('prijem_zahranicie - viac-dom'!$I$121=TRUE,IF($C$11&gt;0,0.00025*N434,0),IF('prijem_zahranicie - viac-dom'!$I$122=TRUE,IF('prijem_zahranicie - viac-dom'!$F$122&gt;0,0.00025*N434*-1,0),0))</f>
        <v>0</v>
      </c>
    </row>
    <row r="436" spans="1:18" x14ac:dyDescent="0.2">
      <c r="A436" s="89">
        <v>420</v>
      </c>
      <c r="B436" s="186" t="e">
        <f t="shared" si="61"/>
        <v>#NUM!</v>
      </c>
      <c r="C436" s="171" t="e">
        <f t="shared" si="62"/>
        <v>#NUM!</v>
      </c>
      <c r="D436" s="171" t="e">
        <f t="shared" si="63"/>
        <v>#NUM!</v>
      </c>
      <c r="E436" s="171" t="e">
        <f t="shared" si="64"/>
        <v>#NUM!</v>
      </c>
      <c r="F436" s="171" t="e">
        <f t="shared" si="65"/>
        <v>#NUM!</v>
      </c>
      <c r="G436" s="186">
        <f>IF('prijem_zahranicie - viac-dom'!$I$121=TRUE,IF($C$11&gt;0,0.00025*C435,0),IF('prijem_zahranicie - viac-dom'!$I$122=TRUE,IF('prijem_zahranicie - viac-dom'!$F$122&gt;0,0.00025*C435,0),0))</f>
        <v>0</v>
      </c>
      <c r="L436" s="89">
        <v>420</v>
      </c>
      <c r="M436" s="186" t="e">
        <f t="shared" si="66"/>
        <v>#DIV/0!</v>
      </c>
      <c r="N436" s="171" t="e">
        <f t="shared" si="67"/>
        <v>#DIV/0!</v>
      </c>
      <c r="O436" s="171" t="e">
        <f t="shared" si="60"/>
        <v>#DIV/0!</v>
      </c>
      <c r="P436" s="171" t="e">
        <f t="shared" si="68"/>
        <v>#DIV/0!</v>
      </c>
      <c r="Q436" s="171" t="e">
        <f t="shared" si="69"/>
        <v>#DIV/0!</v>
      </c>
      <c r="R436" s="186">
        <f>IF('prijem_zahranicie - viac-dom'!$I$121=TRUE,IF($C$11&gt;0,0.00025*N435,0),IF('prijem_zahranicie - viac-dom'!$I$122=TRUE,IF('prijem_zahranicie - viac-dom'!$F$122&gt;0,0.00025*N435*-1,0),0))</f>
        <v>0</v>
      </c>
    </row>
    <row r="437" spans="1:18" x14ac:dyDescent="0.2">
      <c r="A437" s="89">
        <v>421</v>
      </c>
      <c r="B437" s="186" t="e">
        <f t="shared" si="61"/>
        <v>#NUM!</v>
      </c>
      <c r="C437" s="171" t="e">
        <f t="shared" si="62"/>
        <v>#NUM!</v>
      </c>
      <c r="D437" s="171" t="e">
        <f t="shared" si="63"/>
        <v>#NUM!</v>
      </c>
      <c r="E437" s="171" t="e">
        <f t="shared" si="64"/>
        <v>#NUM!</v>
      </c>
      <c r="F437" s="171" t="e">
        <f t="shared" si="65"/>
        <v>#NUM!</v>
      </c>
      <c r="G437" s="186">
        <f>IF('prijem_zahranicie - viac-dom'!$I$121=TRUE,IF($C$11&gt;0,0.00025*C436,0),IF('prijem_zahranicie - viac-dom'!$I$122=TRUE,IF('prijem_zahranicie - viac-dom'!$F$122&gt;0,0.00025*C436,0),0))</f>
        <v>0</v>
      </c>
      <c r="L437" s="89">
        <v>421</v>
      </c>
      <c r="M437" s="186" t="e">
        <f t="shared" si="66"/>
        <v>#DIV/0!</v>
      </c>
      <c r="N437" s="171" t="e">
        <f t="shared" si="67"/>
        <v>#DIV/0!</v>
      </c>
      <c r="O437" s="171" t="e">
        <f t="shared" si="60"/>
        <v>#DIV/0!</v>
      </c>
      <c r="P437" s="171" t="e">
        <f t="shared" si="68"/>
        <v>#DIV/0!</v>
      </c>
      <c r="Q437" s="171" t="e">
        <f t="shared" si="69"/>
        <v>#DIV/0!</v>
      </c>
      <c r="R437" s="186">
        <f>IF('prijem_zahranicie - viac-dom'!$I$121=TRUE,IF($C$11&gt;0,0.00025*N436,0),IF('prijem_zahranicie - viac-dom'!$I$122=TRUE,IF('prijem_zahranicie - viac-dom'!$F$122&gt;0,0.00025*N436*-1,0),0))</f>
        <v>0</v>
      </c>
    </row>
    <row r="438" spans="1:18" x14ac:dyDescent="0.2">
      <c r="A438" s="89">
        <v>422</v>
      </c>
      <c r="B438" s="186" t="e">
        <f t="shared" si="61"/>
        <v>#NUM!</v>
      </c>
      <c r="C438" s="171" t="e">
        <f t="shared" si="62"/>
        <v>#NUM!</v>
      </c>
      <c r="D438" s="171" t="e">
        <f t="shared" si="63"/>
        <v>#NUM!</v>
      </c>
      <c r="E438" s="171" t="e">
        <f t="shared" si="64"/>
        <v>#NUM!</v>
      </c>
      <c r="F438" s="171" t="e">
        <f t="shared" si="65"/>
        <v>#NUM!</v>
      </c>
      <c r="G438" s="186">
        <f>IF('prijem_zahranicie - viac-dom'!$I$121=TRUE,IF($C$11&gt;0,0.00025*C437,0),IF('prijem_zahranicie - viac-dom'!$I$122=TRUE,IF('prijem_zahranicie - viac-dom'!$F$122&gt;0,0.00025*C437,0),0))</f>
        <v>0</v>
      </c>
      <c r="L438" s="89">
        <v>422</v>
      </c>
      <c r="M438" s="186" t="e">
        <f t="shared" si="66"/>
        <v>#DIV/0!</v>
      </c>
      <c r="N438" s="171" t="e">
        <f t="shared" si="67"/>
        <v>#DIV/0!</v>
      </c>
      <c r="O438" s="171" t="e">
        <f t="shared" si="60"/>
        <v>#DIV/0!</v>
      </c>
      <c r="P438" s="171" t="e">
        <f t="shared" si="68"/>
        <v>#DIV/0!</v>
      </c>
      <c r="Q438" s="171" t="e">
        <f t="shared" si="69"/>
        <v>#DIV/0!</v>
      </c>
      <c r="R438" s="186">
        <f>IF('prijem_zahranicie - viac-dom'!$I$121=TRUE,IF($C$11&gt;0,0.00025*N437,0),IF('prijem_zahranicie - viac-dom'!$I$122=TRUE,IF('prijem_zahranicie - viac-dom'!$F$122&gt;0,0.00025*N437*-1,0),0))</f>
        <v>0</v>
      </c>
    </row>
    <row r="439" spans="1:18" x14ac:dyDescent="0.2">
      <c r="A439" s="89">
        <v>423</v>
      </c>
      <c r="B439" s="186" t="e">
        <f t="shared" si="61"/>
        <v>#NUM!</v>
      </c>
      <c r="C439" s="171" t="e">
        <f t="shared" si="62"/>
        <v>#NUM!</v>
      </c>
      <c r="D439" s="171" t="e">
        <f t="shared" si="63"/>
        <v>#NUM!</v>
      </c>
      <c r="E439" s="171" t="e">
        <f t="shared" si="64"/>
        <v>#NUM!</v>
      </c>
      <c r="F439" s="171" t="e">
        <f t="shared" si="65"/>
        <v>#NUM!</v>
      </c>
      <c r="G439" s="186">
        <f>IF('prijem_zahranicie - viac-dom'!$I$121=TRUE,IF($C$11&gt;0,0.00025*C438,0),IF('prijem_zahranicie - viac-dom'!$I$122=TRUE,IF('prijem_zahranicie - viac-dom'!$F$122&gt;0,0.00025*C438,0),0))</f>
        <v>0</v>
      </c>
      <c r="L439" s="89">
        <v>423</v>
      </c>
      <c r="M439" s="186" t="e">
        <f t="shared" si="66"/>
        <v>#DIV/0!</v>
      </c>
      <c r="N439" s="171" t="e">
        <f t="shared" si="67"/>
        <v>#DIV/0!</v>
      </c>
      <c r="O439" s="171" t="e">
        <f t="shared" si="60"/>
        <v>#DIV/0!</v>
      </c>
      <c r="P439" s="171" t="e">
        <f t="shared" si="68"/>
        <v>#DIV/0!</v>
      </c>
      <c r="Q439" s="171" t="e">
        <f t="shared" si="69"/>
        <v>#DIV/0!</v>
      </c>
      <c r="R439" s="186">
        <f>IF('prijem_zahranicie - viac-dom'!$I$121=TRUE,IF($C$11&gt;0,0.00025*N438,0),IF('prijem_zahranicie - viac-dom'!$I$122=TRUE,IF('prijem_zahranicie - viac-dom'!$F$122&gt;0,0.00025*N438*-1,0),0))</f>
        <v>0</v>
      </c>
    </row>
    <row r="440" spans="1:18" x14ac:dyDescent="0.2">
      <c r="A440" s="89">
        <v>424</v>
      </c>
      <c r="B440" s="186" t="e">
        <f t="shared" si="61"/>
        <v>#NUM!</v>
      </c>
      <c r="C440" s="171" t="e">
        <f t="shared" si="62"/>
        <v>#NUM!</v>
      </c>
      <c r="D440" s="171" t="e">
        <f t="shared" si="63"/>
        <v>#NUM!</v>
      </c>
      <c r="E440" s="171" t="e">
        <f t="shared" si="64"/>
        <v>#NUM!</v>
      </c>
      <c r="F440" s="171" t="e">
        <f t="shared" si="65"/>
        <v>#NUM!</v>
      </c>
      <c r="G440" s="186">
        <f>IF('prijem_zahranicie - viac-dom'!$I$121=TRUE,IF($C$11&gt;0,0.00025*C439,0),IF('prijem_zahranicie - viac-dom'!$I$122=TRUE,IF('prijem_zahranicie - viac-dom'!$F$122&gt;0,0.00025*C439,0),0))</f>
        <v>0</v>
      </c>
      <c r="L440" s="89">
        <v>424</v>
      </c>
      <c r="M440" s="186" t="e">
        <f t="shared" si="66"/>
        <v>#DIV/0!</v>
      </c>
      <c r="N440" s="171" t="e">
        <f t="shared" si="67"/>
        <v>#DIV/0!</v>
      </c>
      <c r="O440" s="171" t="e">
        <f t="shared" si="60"/>
        <v>#DIV/0!</v>
      </c>
      <c r="P440" s="171" t="e">
        <f t="shared" si="68"/>
        <v>#DIV/0!</v>
      </c>
      <c r="Q440" s="171" t="e">
        <f t="shared" si="69"/>
        <v>#DIV/0!</v>
      </c>
      <c r="R440" s="186">
        <f>IF('prijem_zahranicie - viac-dom'!$I$121=TRUE,IF($C$11&gt;0,0.00025*N439,0),IF('prijem_zahranicie - viac-dom'!$I$122=TRUE,IF('prijem_zahranicie - viac-dom'!$F$122&gt;0,0.00025*N439*-1,0),0))</f>
        <v>0</v>
      </c>
    </row>
    <row r="441" spans="1:18" x14ac:dyDescent="0.2">
      <c r="A441" s="89">
        <v>425</v>
      </c>
      <c r="B441" s="186" t="e">
        <f t="shared" si="61"/>
        <v>#NUM!</v>
      </c>
      <c r="C441" s="171" t="e">
        <f t="shared" si="62"/>
        <v>#NUM!</v>
      </c>
      <c r="D441" s="171" t="e">
        <f t="shared" si="63"/>
        <v>#NUM!</v>
      </c>
      <c r="E441" s="171" t="e">
        <f t="shared" si="64"/>
        <v>#NUM!</v>
      </c>
      <c r="F441" s="171" t="e">
        <f t="shared" si="65"/>
        <v>#NUM!</v>
      </c>
      <c r="G441" s="186">
        <f>IF('prijem_zahranicie - viac-dom'!$I$121=TRUE,IF($C$11&gt;0,0.00025*C440,0),IF('prijem_zahranicie - viac-dom'!$I$122=TRUE,IF('prijem_zahranicie - viac-dom'!$F$122&gt;0,0.00025*C440,0),0))</f>
        <v>0</v>
      </c>
      <c r="L441" s="89">
        <v>425</v>
      </c>
      <c r="M441" s="186" t="e">
        <f t="shared" si="66"/>
        <v>#DIV/0!</v>
      </c>
      <c r="N441" s="171" t="e">
        <f t="shared" si="67"/>
        <v>#DIV/0!</v>
      </c>
      <c r="O441" s="171" t="e">
        <f t="shared" si="60"/>
        <v>#DIV/0!</v>
      </c>
      <c r="P441" s="171" t="e">
        <f t="shared" si="68"/>
        <v>#DIV/0!</v>
      </c>
      <c r="Q441" s="171" t="e">
        <f t="shared" si="69"/>
        <v>#DIV/0!</v>
      </c>
      <c r="R441" s="186">
        <f>IF('prijem_zahranicie - viac-dom'!$I$121=TRUE,IF($C$11&gt;0,0.00025*N440,0),IF('prijem_zahranicie - viac-dom'!$I$122=TRUE,IF('prijem_zahranicie - viac-dom'!$F$122&gt;0,0.00025*N440*-1,0),0))</f>
        <v>0</v>
      </c>
    </row>
    <row r="442" spans="1:18" x14ac:dyDescent="0.2">
      <c r="A442" s="89">
        <v>426</v>
      </c>
      <c r="B442" s="186" t="e">
        <f t="shared" si="61"/>
        <v>#NUM!</v>
      </c>
      <c r="C442" s="171" t="e">
        <f t="shared" si="62"/>
        <v>#NUM!</v>
      </c>
      <c r="D442" s="171" t="e">
        <f t="shared" si="63"/>
        <v>#NUM!</v>
      </c>
      <c r="E442" s="171" t="e">
        <f t="shared" si="64"/>
        <v>#NUM!</v>
      </c>
      <c r="F442" s="171" t="e">
        <f t="shared" si="65"/>
        <v>#NUM!</v>
      </c>
      <c r="G442" s="186">
        <f>IF('prijem_zahranicie - viac-dom'!$I$121=TRUE,IF($C$11&gt;0,0.00025*C441,0),IF('prijem_zahranicie - viac-dom'!$I$122=TRUE,IF('prijem_zahranicie - viac-dom'!$F$122&gt;0,0.00025*C441,0),0))</f>
        <v>0</v>
      </c>
      <c r="L442" s="89">
        <v>426</v>
      </c>
      <c r="M442" s="186" t="e">
        <f t="shared" si="66"/>
        <v>#DIV/0!</v>
      </c>
      <c r="N442" s="171" t="e">
        <f t="shared" si="67"/>
        <v>#DIV/0!</v>
      </c>
      <c r="O442" s="171" t="e">
        <f t="shared" si="60"/>
        <v>#DIV/0!</v>
      </c>
      <c r="P442" s="171" t="e">
        <f t="shared" si="68"/>
        <v>#DIV/0!</v>
      </c>
      <c r="Q442" s="171" t="e">
        <f t="shared" si="69"/>
        <v>#DIV/0!</v>
      </c>
      <c r="R442" s="186">
        <f>IF('prijem_zahranicie - viac-dom'!$I$121=TRUE,IF($C$11&gt;0,0.00025*N441,0),IF('prijem_zahranicie - viac-dom'!$I$122=TRUE,IF('prijem_zahranicie - viac-dom'!$F$122&gt;0,0.00025*N441*-1,0),0))</f>
        <v>0</v>
      </c>
    </row>
    <row r="443" spans="1:18" x14ac:dyDescent="0.2">
      <c r="A443" s="89">
        <v>427</v>
      </c>
      <c r="B443" s="186" t="e">
        <f t="shared" si="61"/>
        <v>#NUM!</v>
      </c>
      <c r="C443" s="171" t="e">
        <f t="shared" si="62"/>
        <v>#NUM!</v>
      </c>
      <c r="D443" s="171" t="e">
        <f t="shared" si="63"/>
        <v>#NUM!</v>
      </c>
      <c r="E443" s="171" t="e">
        <f t="shared" si="64"/>
        <v>#NUM!</v>
      </c>
      <c r="F443" s="171" t="e">
        <f t="shared" si="65"/>
        <v>#NUM!</v>
      </c>
      <c r="G443" s="186">
        <f>IF('prijem_zahranicie - viac-dom'!$I$121=TRUE,IF($C$11&gt;0,0.00025*C442,0),IF('prijem_zahranicie - viac-dom'!$I$122=TRUE,IF('prijem_zahranicie - viac-dom'!$F$122&gt;0,0.00025*C442,0),0))</f>
        <v>0</v>
      </c>
      <c r="L443" s="89">
        <v>427</v>
      </c>
      <c r="M443" s="186" t="e">
        <f t="shared" si="66"/>
        <v>#DIV/0!</v>
      </c>
      <c r="N443" s="171" t="e">
        <f t="shared" si="67"/>
        <v>#DIV/0!</v>
      </c>
      <c r="O443" s="171" t="e">
        <f t="shared" si="60"/>
        <v>#DIV/0!</v>
      </c>
      <c r="P443" s="171" t="e">
        <f t="shared" si="68"/>
        <v>#DIV/0!</v>
      </c>
      <c r="Q443" s="171" t="e">
        <f t="shared" si="69"/>
        <v>#DIV/0!</v>
      </c>
      <c r="R443" s="186">
        <f>IF('prijem_zahranicie - viac-dom'!$I$121=TRUE,IF($C$11&gt;0,0.00025*N442,0),IF('prijem_zahranicie - viac-dom'!$I$122=TRUE,IF('prijem_zahranicie - viac-dom'!$F$122&gt;0,0.00025*N442*-1,0),0))</f>
        <v>0</v>
      </c>
    </row>
    <row r="444" spans="1:18" x14ac:dyDescent="0.2">
      <c r="A444" s="89">
        <v>428</v>
      </c>
      <c r="B444" s="186" t="e">
        <f t="shared" si="61"/>
        <v>#NUM!</v>
      </c>
      <c r="C444" s="171" t="e">
        <f t="shared" si="62"/>
        <v>#NUM!</v>
      </c>
      <c r="D444" s="171" t="e">
        <f t="shared" si="63"/>
        <v>#NUM!</v>
      </c>
      <c r="E444" s="171" t="e">
        <f t="shared" si="64"/>
        <v>#NUM!</v>
      </c>
      <c r="F444" s="171" t="e">
        <f t="shared" si="65"/>
        <v>#NUM!</v>
      </c>
      <c r="G444" s="186">
        <f>IF('prijem_zahranicie - viac-dom'!$I$121=TRUE,IF($C$11&gt;0,0.00025*C443,0),IF('prijem_zahranicie - viac-dom'!$I$122=TRUE,IF('prijem_zahranicie - viac-dom'!$F$122&gt;0,0.00025*C443,0),0))</f>
        <v>0</v>
      </c>
      <c r="L444" s="89">
        <v>428</v>
      </c>
      <c r="M444" s="186" t="e">
        <f t="shared" si="66"/>
        <v>#DIV/0!</v>
      </c>
      <c r="N444" s="171" t="e">
        <f t="shared" si="67"/>
        <v>#DIV/0!</v>
      </c>
      <c r="O444" s="171" t="e">
        <f t="shared" si="60"/>
        <v>#DIV/0!</v>
      </c>
      <c r="P444" s="171" t="e">
        <f t="shared" si="68"/>
        <v>#DIV/0!</v>
      </c>
      <c r="Q444" s="171" t="e">
        <f t="shared" si="69"/>
        <v>#DIV/0!</v>
      </c>
      <c r="R444" s="186">
        <f>IF('prijem_zahranicie - viac-dom'!$I$121=TRUE,IF($C$11&gt;0,0.00025*N443,0),IF('prijem_zahranicie - viac-dom'!$I$122=TRUE,IF('prijem_zahranicie - viac-dom'!$F$122&gt;0,0.00025*N443*-1,0),0))</f>
        <v>0</v>
      </c>
    </row>
    <row r="445" spans="1:18" x14ac:dyDescent="0.2">
      <c r="A445" s="89">
        <v>429</v>
      </c>
      <c r="B445" s="186" t="e">
        <f t="shared" si="61"/>
        <v>#NUM!</v>
      </c>
      <c r="C445" s="171" t="e">
        <f t="shared" si="62"/>
        <v>#NUM!</v>
      </c>
      <c r="D445" s="171" t="e">
        <f t="shared" si="63"/>
        <v>#NUM!</v>
      </c>
      <c r="E445" s="171" t="e">
        <f t="shared" si="64"/>
        <v>#NUM!</v>
      </c>
      <c r="F445" s="171" t="e">
        <f t="shared" si="65"/>
        <v>#NUM!</v>
      </c>
      <c r="G445" s="186">
        <f>IF('prijem_zahranicie - viac-dom'!$I$121=TRUE,IF($C$11&gt;0,0.00025*C444,0),IF('prijem_zahranicie - viac-dom'!$I$122=TRUE,IF('prijem_zahranicie - viac-dom'!$F$122&gt;0,0.00025*C444,0),0))</f>
        <v>0</v>
      </c>
      <c r="L445" s="89">
        <v>429</v>
      </c>
      <c r="M445" s="186" t="e">
        <f t="shared" si="66"/>
        <v>#DIV/0!</v>
      </c>
      <c r="N445" s="171" t="e">
        <f t="shared" si="67"/>
        <v>#DIV/0!</v>
      </c>
      <c r="O445" s="171" t="e">
        <f t="shared" si="60"/>
        <v>#DIV/0!</v>
      </c>
      <c r="P445" s="171" t="e">
        <f t="shared" si="68"/>
        <v>#DIV/0!</v>
      </c>
      <c r="Q445" s="171" t="e">
        <f t="shared" si="69"/>
        <v>#DIV/0!</v>
      </c>
      <c r="R445" s="186">
        <f>IF('prijem_zahranicie - viac-dom'!$I$121=TRUE,IF($C$11&gt;0,0.00025*N444,0),IF('prijem_zahranicie - viac-dom'!$I$122=TRUE,IF('prijem_zahranicie - viac-dom'!$F$122&gt;0,0.00025*N444*-1,0),0))</f>
        <v>0</v>
      </c>
    </row>
    <row r="446" spans="1:18" x14ac:dyDescent="0.2">
      <c r="A446" s="89">
        <v>430</v>
      </c>
      <c r="B446" s="186" t="e">
        <f t="shared" si="61"/>
        <v>#NUM!</v>
      </c>
      <c r="C446" s="171" t="e">
        <f t="shared" si="62"/>
        <v>#NUM!</v>
      </c>
      <c r="D446" s="171" t="e">
        <f t="shared" si="63"/>
        <v>#NUM!</v>
      </c>
      <c r="E446" s="171" t="e">
        <f t="shared" si="64"/>
        <v>#NUM!</v>
      </c>
      <c r="F446" s="171" t="e">
        <f t="shared" si="65"/>
        <v>#NUM!</v>
      </c>
      <c r="G446" s="186">
        <f>IF('prijem_zahranicie - viac-dom'!$I$121=TRUE,IF($C$11&gt;0,0.00025*C445,0),IF('prijem_zahranicie - viac-dom'!$I$122=TRUE,IF('prijem_zahranicie - viac-dom'!$F$122&gt;0,0.00025*C445,0),0))</f>
        <v>0</v>
      </c>
      <c r="L446" s="89">
        <v>430</v>
      </c>
      <c r="M446" s="186" t="e">
        <f t="shared" si="66"/>
        <v>#DIV/0!</v>
      </c>
      <c r="N446" s="171" t="e">
        <f t="shared" si="67"/>
        <v>#DIV/0!</v>
      </c>
      <c r="O446" s="171" t="e">
        <f t="shared" si="60"/>
        <v>#DIV/0!</v>
      </c>
      <c r="P446" s="171" t="e">
        <f t="shared" si="68"/>
        <v>#DIV/0!</v>
      </c>
      <c r="Q446" s="171" t="e">
        <f t="shared" si="69"/>
        <v>#DIV/0!</v>
      </c>
      <c r="R446" s="186">
        <f>IF('prijem_zahranicie - viac-dom'!$I$121=TRUE,IF($C$11&gt;0,0.00025*N445,0),IF('prijem_zahranicie - viac-dom'!$I$122=TRUE,IF('prijem_zahranicie - viac-dom'!$F$122&gt;0,0.00025*N445*-1,0),0))</f>
        <v>0</v>
      </c>
    </row>
    <row r="447" spans="1:18" x14ac:dyDescent="0.2">
      <c r="A447" s="89">
        <v>431</v>
      </c>
      <c r="B447" s="186" t="e">
        <f t="shared" si="61"/>
        <v>#NUM!</v>
      </c>
      <c r="C447" s="171" t="e">
        <f t="shared" si="62"/>
        <v>#NUM!</v>
      </c>
      <c r="D447" s="171" t="e">
        <f t="shared" si="63"/>
        <v>#NUM!</v>
      </c>
      <c r="E447" s="171" t="e">
        <f t="shared" si="64"/>
        <v>#NUM!</v>
      </c>
      <c r="F447" s="171" t="e">
        <f t="shared" si="65"/>
        <v>#NUM!</v>
      </c>
      <c r="G447" s="186">
        <f>IF('prijem_zahranicie - viac-dom'!$I$121=TRUE,IF($C$11&gt;0,0.00025*C446,0),IF('prijem_zahranicie - viac-dom'!$I$122=TRUE,IF('prijem_zahranicie - viac-dom'!$F$122&gt;0,0.00025*C446,0),0))</f>
        <v>0</v>
      </c>
      <c r="L447" s="89">
        <v>431</v>
      </c>
      <c r="M447" s="186" t="e">
        <f t="shared" si="66"/>
        <v>#DIV/0!</v>
      </c>
      <c r="N447" s="171" t="e">
        <f t="shared" si="67"/>
        <v>#DIV/0!</v>
      </c>
      <c r="O447" s="171" t="e">
        <f t="shared" si="60"/>
        <v>#DIV/0!</v>
      </c>
      <c r="P447" s="171" t="e">
        <f t="shared" si="68"/>
        <v>#DIV/0!</v>
      </c>
      <c r="Q447" s="171" t="e">
        <f t="shared" si="69"/>
        <v>#DIV/0!</v>
      </c>
      <c r="R447" s="186">
        <f>IF('prijem_zahranicie - viac-dom'!$I$121=TRUE,IF($C$11&gt;0,0.00025*N446,0),IF('prijem_zahranicie - viac-dom'!$I$122=TRUE,IF('prijem_zahranicie - viac-dom'!$F$122&gt;0,0.00025*N446*-1,0),0))</f>
        <v>0</v>
      </c>
    </row>
    <row r="448" spans="1:18" x14ac:dyDescent="0.2">
      <c r="A448" s="89">
        <v>432</v>
      </c>
      <c r="B448" s="186" t="e">
        <f t="shared" si="61"/>
        <v>#NUM!</v>
      </c>
      <c r="C448" s="171" t="e">
        <f t="shared" si="62"/>
        <v>#NUM!</v>
      </c>
      <c r="D448" s="171" t="e">
        <f t="shared" si="63"/>
        <v>#NUM!</v>
      </c>
      <c r="E448" s="171" t="e">
        <f t="shared" si="64"/>
        <v>#NUM!</v>
      </c>
      <c r="F448" s="171" t="e">
        <f t="shared" si="65"/>
        <v>#NUM!</v>
      </c>
      <c r="G448" s="186">
        <f>IF('prijem_zahranicie - viac-dom'!$I$121=TRUE,IF($C$11&gt;0,0.00025*C447,0),IF('prijem_zahranicie - viac-dom'!$I$122=TRUE,IF('prijem_zahranicie - viac-dom'!$F$122&gt;0,0.00025*C447,0),0))</f>
        <v>0</v>
      </c>
      <c r="L448" s="89">
        <v>432</v>
      </c>
      <c r="M448" s="186" t="e">
        <f t="shared" si="66"/>
        <v>#DIV/0!</v>
      </c>
      <c r="N448" s="171" t="e">
        <f t="shared" si="67"/>
        <v>#DIV/0!</v>
      </c>
      <c r="O448" s="171" t="e">
        <f t="shared" si="60"/>
        <v>#DIV/0!</v>
      </c>
      <c r="P448" s="171" t="e">
        <f t="shared" si="68"/>
        <v>#DIV/0!</v>
      </c>
      <c r="Q448" s="171" t="e">
        <f t="shared" si="69"/>
        <v>#DIV/0!</v>
      </c>
      <c r="R448" s="186">
        <f>IF('prijem_zahranicie - viac-dom'!$I$121=TRUE,IF($C$11&gt;0,0.00025*N447,0),IF('prijem_zahranicie - viac-dom'!$I$122=TRUE,IF('prijem_zahranicie - viac-dom'!$F$122&gt;0,0.00025*N447*-1,0),0))</f>
        <v>0</v>
      </c>
    </row>
    <row r="449" spans="1:18" x14ac:dyDescent="0.2">
      <c r="A449" s="89">
        <v>433</v>
      </c>
      <c r="B449" s="186" t="e">
        <f t="shared" si="61"/>
        <v>#NUM!</v>
      </c>
      <c r="C449" s="171" t="e">
        <f t="shared" si="62"/>
        <v>#NUM!</v>
      </c>
      <c r="D449" s="171" t="e">
        <f t="shared" si="63"/>
        <v>#NUM!</v>
      </c>
      <c r="E449" s="171" t="e">
        <f t="shared" si="64"/>
        <v>#NUM!</v>
      </c>
      <c r="F449" s="171" t="e">
        <f t="shared" si="65"/>
        <v>#NUM!</v>
      </c>
      <c r="G449" s="186">
        <f>IF('prijem_zahranicie - viac-dom'!$I$121=TRUE,IF($C$11&gt;0,0.00025*C448,0),IF('prijem_zahranicie - viac-dom'!$I$122=TRUE,IF('prijem_zahranicie - viac-dom'!$F$122&gt;0,0.00025*C448,0),0))</f>
        <v>0</v>
      </c>
      <c r="L449" s="89">
        <v>433</v>
      </c>
      <c r="M449" s="186" t="e">
        <f t="shared" si="66"/>
        <v>#DIV/0!</v>
      </c>
      <c r="N449" s="171" t="e">
        <f t="shared" si="67"/>
        <v>#DIV/0!</v>
      </c>
      <c r="O449" s="171" t="e">
        <f t="shared" si="60"/>
        <v>#DIV/0!</v>
      </c>
      <c r="P449" s="171" t="e">
        <f t="shared" si="68"/>
        <v>#DIV/0!</v>
      </c>
      <c r="Q449" s="171" t="e">
        <f t="shared" si="69"/>
        <v>#DIV/0!</v>
      </c>
      <c r="R449" s="186">
        <f>IF('prijem_zahranicie - viac-dom'!$I$121=TRUE,IF($C$11&gt;0,0.00025*N448,0),IF('prijem_zahranicie - viac-dom'!$I$122=TRUE,IF('prijem_zahranicie - viac-dom'!$F$122&gt;0,0.00025*N448*-1,0),0))</f>
        <v>0</v>
      </c>
    </row>
    <row r="450" spans="1:18" x14ac:dyDescent="0.2">
      <c r="A450" s="89">
        <v>434</v>
      </c>
      <c r="B450" s="186" t="e">
        <f t="shared" si="61"/>
        <v>#NUM!</v>
      </c>
      <c r="C450" s="171" t="e">
        <f t="shared" si="62"/>
        <v>#NUM!</v>
      </c>
      <c r="D450" s="171" t="e">
        <f t="shared" si="63"/>
        <v>#NUM!</v>
      </c>
      <c r="E450" s="171" t="e">
        <f t="shared" si="64"/>
        <v>#NUM!</v>
      </c>
      <c r="F450" s="171" t="e">
        <f t="shared" si="65"/>
        <v>#NUM!</v>
      </c>
      <c r="G450" s="186">
        <f>IF('prijem_zahranicie - viac-dom'!$I$121=TRUE,IF($C$11&gt;0,0.00025*C449,0),IF('prijem_zahranicie - viac-dom'!$I$122=TRUE,IF('prijem_zahranicie - viac-dom'!$F$122&gt;0,0.00025*C449,0),0))</f>
        <v>0</v>
      </c>
      <c r="L450" s="89">
        <v>434</v>
      </c>
      <c r="M450" s="186" t="e">
        <f t="shared" si="66"/>
        <v>#DIV/0!</v>
      </c>
      <c r="N450" s="171" t="e">
        <f t="shared" si="67"/>
        <v>#DIV/0!</v>
      </c>
      <c r="O450" s="171" t="e">
        <f t="shared" si="60"/>
        <v>#DIV/0!</v>
      </c>
      <c r="P450" s="171" t="e">
        <f t="shared" si="68"/>
        <v>#DIV/0!</v>
      </c>
      <c r="Q450" s="171" t="e">
        <f t="shared" si="69"/>
        <v>#DIV/0!</v>
      </c>
      <c r="R450" s="186">
        <f>IF('prijem_zahranicie - viac-dom'!$I$121=TRUE,IF($C$11&gt;0,0.00025*N449,0),IF('prijem_zahranicie - viac-dom'!$I$122=TRUE,IF('prijem_zahranicie - viac-dom'!$F$122&gt;0,0.00025*N449*-1,0),0))</f>
        <v>0</v>
      </c>
    </row>
    <row r="451" spans="1:18" x14ac:dyDescent="0.2">
      <c r="A451" s="89">
        <v>435</v>
      </c>
      <c r="B451" s="186" t="e">
        <f t="shared" si="61"/>
        <v>#NUM!</v>
      </c>
      <c r="C451" s="171" t="e">
        <f t="shared" si="62"/>
        <v>#NUM!</v>
      </c>
      <c r="D451" s="171" t="e">
        <f t="shared" si="63"/>
        <v>#NUM!</v>
      </c>
      <c r="E451" s="171" t="e">
        <f t="shared" si="64"/>
        <v>#NUM!</v>
      </c>
      <c r="F451" s="171" t="e">
        <f t="shared" si="65"/>
        <v>#NUM!</v>
      </c>
      <c r="G451" s="186">
        <f>IF('prijem_zahranicie - viac-dom'!$I$121=TRUE,IF($C$11&gt;0,0.00025*C450,0),IF('prijem_zahranicie - viac-dom'!$I$122=TRUE,IF('prijem_zahranicie - viac-dom'!$F$122&gt;0,0.00025*C450,0),0))</f>
        <v>0</v>
      </c>
      <c r="L451" s="89">
        <v>435</v>
      </c>
      <c r="M451" s="186" t="e">
        <f t="shared" si="66"/>
        <v>#DIV/0!</v>
      </c>
      <c r="N451" s="171" t="e">
        <f t="shared" si="67"/>
        <v>#DIV/0!</v>
      </c>
      <c r="O451" s="171" t="e">
        <f t="shared" si="60"/>
        <v>#DIV/0!</v>
      </c>
      <c r="P451" s="171" t="e">
        <f t="shared" si="68"/>
        <v>#DIV/0!</v>
      </c>
      <c r="Q451" s="171" t="e">
        <f t="shared" si="69"/>
        <v>#DIV/0!</v>
      </c>
      <c r="R451" s="186">
        <f>IF('prijem_zahranicie - viac-dom'!$I$121=TRUE,IF($C$11&gt;0,0.00025*N450,0),IF('prijem_zahranicie - viac-dom'!$I$122=TRUE,IF('prijem_zahranicie - viac-dom'!$F$122&gt;0,0.00025*N450*-1,0),0))</f>
        <v>0</v>
      </c>
    </row>
    <row r="452" spans="1:18" x14ac:dyDescent="0.2">
      <c r="A452" s="89">
        <v>436</v>
      </c>
      <c r="B452" s="186" t="e">
        <f t="shared" si="61"/>
        <v>#NUM!</v>
      </c>
      <c r="C452" s="171" t="e">
        <f t="shared" si="62"/>
        <v>#NUM!</v>
      </c>
      <c r="D452" s="171" t="e">
        <f t="shared" si="63"/>
        <v>#NUM!</v>
      </c>
      <c r="E452" s="171" t="e">
        <f t="shared" si="64"/>
        <v>#NUM!</v>
      </c>
      <c r="F452" s="171" t="e">
        <f t="shared" si="65"/>
        <v>#NUM!</v>
      </c>
      <c r="G452" s="186">
        <f>IF('prijem_zahranicie - viac-dom'!$I$121=TRUE,IF($C$11&gt;0,0.00025*C451,0),IF('prijem_zahranicie - viac-dom'!$I$122=TRUE,IF('prijem_zahranicie - viac-dom'!$F$122&gt;0,0.00025*C451,0),0))</f>
        <v>0</v>
      </c>
      <c r="L452" s="89">
        <v>436</v>
      </c>
      <c r="M452" s="186" t="e">
        <f t="shared" si="66"/>
        <v>#DIV/0!</v>
      </c>
      <c r="N452" s="171" t="e">
        <f t="shared" si="67"/>
        <v>#DIV/0!</v>
      </c>
      <c r="O452" s="171" t="e">
        <f t="shared" si="60"/>
        <v>#DIV/0!</v>
      </c>
      <c r="P452" s="171" t="e">
        <f t="shared" si="68"/>
        <v>#DIV/0!</v>
      </c>
      <c r="Q452" s="171" t="e">
        <f t="shared" si="69"/>
        <v>#DIV/0!</v>
      </c>
      <c r="R452" s="186">
        <f>IF('prijem_zahranicie - viac-dom'!$I$121=TRUE,IF($C$11&gt;0,0.00025*N451,0),IF('prijem_zahranicie - viac-dom'!$I$122=TRUE,IF('prijem_zahranicie - viac-dom'!$F$122&gt;0,0.00025*N451*-1,0),0))</f>
        <v>0</v>
      </c>
    </row>
    <row r="453" spans="1:18" x14ac:dyDescent="0.2">
      <c r="A453" s="89">
        <v>437</v>
      </c>
      <c r="B453" s="186" t="e">
        <f t="shared" si="61"/>
        <v>#NUM!</v>
      </c>
      <c r="C453" s="171" t="e">
        <f t="shared" si="62"/>
        <v>#NUM!</v>
      </c>
      <c r="D453" s="171" t="e">
        <f t="shared" si="63"/>
        <v>#NUM!</v>
      </c>
      <c r="E453" s="171" t="e">
        <f t="shared" si="64"/>
        <v>#NUM!</v>
      </c>
      <c r="F453" s="171" t="e">
        <f t="shared" si="65"/>
        <v>#NUM!</v>
      </c>
      <c r="G453" s="186">
        <f>IF('prijem_zahranicie - viac-dom'!$I$121=TRUE,IF($C$11&gt;0,0.00025*C452,0),IF('prijem_zahranicie - viac-dom'!$I$122=TRUE,IF('prijem_zahranicie - viac-dom'!$F$122&gt;0,0.00025*C452,0),0))</f>
        <v>0</v>
      </c>
      <c r="L453" s="89">
        <v>437</v>
      </c>
      <c r="M453" s="186" t="e">
        <f t="shared" si="66"/>
        <v>#DIV/0!</v>
      </c>
      <c r="N453" s="171" t="e">
        <f t="shared" si="67"/>
        <v>#DIV/0!</v>
      </c>
      <c r="O453" s="171" t="e">
        <f t="shared" si="60"/>
        <v>#DIV/0!</v>
      </c>
      <c r="P453" s="171" t="e">
        <f t="shared" si="68"/>
        <v>#DIV/0!</v>
      </c>
      <c r="Q453" s="171" t="e">
        <f t="shared" si="69"/>
        <v>#DIV/0!</v>
      </c>
      <c r="R453" s="186">
        <f>IF('prijem_zahranicie - viac-dom'!$I$121=TRUE,IF($C$11&gt;0,0.00025*N452,0),IF('prijem_zahranicie - viac-dom'!$I$122=TRUE,IF('prijem_zahranicie - viac-dom'!$F$122&gt;0,0.00025*N452*-1,0),0))</f>
        <v>0</v>
      </c>
    </row>
    <row r="454" spans="1:18" x14ac:dyDescent="0.2">
      <c r="A454" s="89">
        <v>438</v>
      </c>
      <c r="B454" s="186" t="e">
        <f t="shared" si="61"/>
        <v>#NUM!</v>
      </c>
      <c r="C454" s="171" t="e">
        <f t="shared" si="62"/>
        <v>#NUM!</v>
      </c>
      <c r="D454" s="171" t="e">
        <f t="shared" si="63"/>
        <v>#NUM!</v>
      </c>
      <c r="E454" s="171" t="e">
        <f t="shared" si="64"/>
        <v>#NUM!</v>
      </c>
      <c r="F454" s="171" t="e">
        <f t="shared" si="65"/>
        <v>#NUM!</v>
      </c>
      <c r="G454" s="186">
        <f>IF('prijem_zahranicie - viac-dom'!$I$121=TRUE,IF($C$11&gt;0,0.00025*C453,0),IF('prijem_zahranicie - viac-dom'!$I$122=TRUE,IF('prijem_zahranicie - viac-dom'!$F$122&gt;0,0.00025*C453,0),0))</f>
        <v>0</v>
      </c>
      <c r="L454" s="89">
        <v>438</v>
      </c>
      <c r="M454" s="186" t="e">
        <f t="shared" si="66"/>
        <v>#DIV/0!</v>
      </c>
      <c r="N454" s="171" t="e">
        <f t="shared" si="67"/>
        <v>#DIV/0!</v>
      </c>
      <c r="O454" s="171" t="e">
        <f t="shared" si="60"/>
        <v>#DIV/0!</v>
      </c>
      <c r="P454" s="171" t="e">
        <f t="shared" si="68"/>
        <v>#DIV/0!</v>
      </c>
      <c r="Q454" s="171" t="e">
        <f t="shared" si="69"/>
        <v>#DIV/0!</v>
      </c>
      <c r="R454" s="186">
        <f>IF('prijem_zahranicie - viac-dom'!$I$121=TRUE,IF($C$11&gt;0,0.00025*N453,0),IF('prijem_zahranicie - viac-dom'!$I$122=TRUE,IF('prijem_zahranicie - viac-dom'!$F$122&gt;0,0.00025*N453*-1,0),0))</f>
        <v>0</v>
      </c>
    </row>
    <row r="455" spans="1:18" x14ac:dyDescent="0.2">
      <c r="A455" s="89">
        <v>439</v>
      </c>
      <c r="B455" s="186" t="e">
        <f t="shared" si="61"/>
        <v>#NUM!</v>
      </c>
      <c r="C455" s="171" t="e">
        <f t="shared" si="62"/>
        <v>#NUM!</v>
      </c>
      <c r="D455" s="171" t="e">
        <f t="shared" si="63"/>
        <v>#NUM!</v>
      </c>
      <c r="E455" s="171" t="e">
        <f t="shared" si="64"/>
        <v>#NUM!</v>
      </c>
      <c r="F455" s="171" t="e">
        <f t="shared" si="65"/>
        <v>#NUM!</v>
      </c>
      <c r="G455" s="186">
        <f>IF('prijem_zahranicie - viac-dom'!$I$121=TRUE,IF($C$11&gt;0,0.00025*C454,0),IF('prijem_zahranicie - viac-dom'!$I$122=TRUE,IF('prijem_zahranicie - viac-dom'!$F$122&gt;0,0.00025*C454,0),0))</f>
        <v>0</v>
      </c>
      <c r="L455" s="89">
        <v>439</v>
      </c>
      <c r="M455" s="186" t="e">
        <f t="shared" si="66"/>
        <v>#DIV/0!</v>
      </c>
      <c r="N455" s="171" t="e">
        <f t="shared" si="67"/>
        <v>#DIV/0!</v>
      </c>
      <c r="O455" s="171" t="e">
        <f t="shared" si="60"/>
        <v>#DIV/0!</v>
      </c>
      <c r="P455" s="171" t="e">
        <f t="shared" si="68"/>
        <v>#DIV/0!</v>
      </c>
      <c r="Q455" s="171" t="e">
        <f t="shared" si="69"/>
        <v>#DIV/0!</v>
      </c>
      <c r="R455" s="186">
        <f>IF('prijem_zahranicie - viac-dom'!$I$121=TRUE,IF($C$11&gt;0,0.00025*N454,0),IF('prijem_zahranicie - viac-dom'!$I$122=TRUE,IF('prijem_zahranicie - viac-dom'!$F$122&gt;0,0.00025*N454*-1,0),0))</f>
        <v>0</v>
      </c>
    </row>
    <row r="456" spans="1:18" x14ac:dyDescent="0.2">
      <c r="A456" s="89">
        <v>440</v>
      </c>
      <c r="B456" s="186" t="e">
        <f t="shared" si="61"/>
        <v>#NUM!</v>
      </c>
      <c r="C456" s="171" t="e">
        <f t="shared" si="62"/>
        <v>#NUM!</v>
      </c>
      <c r="D456" s="171" t="e">
        <f t="shared" si="63"/>
        <v>#NUM!</v>
      </c>
      <c r="E456" s="171" t="e">
        <f t="shared" si="64"/>
        <v>#NUM!</v>
      </c>
      <c r="F456" s="171" t="e">
        <f t="shared" si="65"/>
        <v>#NUM!</v>
      </c>
      <c r="G456" s="186">
        <f>IF('prijem_zahranicie - viac-dom'!$I$121=TRUE,IF($C$11&gt;0,0.00025*C455,0),IF('prijem_zahranicie - viac-dom'!$I$122=TRUE,IF('prijem_zahranicie - viac-dom'!$F$122&gt;0,0.00025*C455,0),0))</f>
        <v>0</v>
      </c>
      <c r="L456" s="89">
        <v>440</v>
      </c>
      <c r="M456" s="186" t="e">
        <f t="shared" si="66"/>
        <v>#DIV/0!</v>
      </c>
      <c r="N456" s="171" t="e">
        <f t="shared" si="67"/>
        <v>#DIV/0!</v>
      </c>
      <c r="O456" s="171" t="e">
        <f t="shared" si="60"/>
        <v>#DIV/0!</v>
      </c>
      <c r="P456" s="171" t="e">
        <f t="shared" si="68"/>
        <v>#DIV/0!</v>
      </c>
      <c r="Q456" s="171" t="e">
        <f t="shared" si="69"/>
        <v>#DIV/0!</v>
      </c>
      <c r="R456" s="186">
        <f>IF('prijem_zahranicie - viac-dom'!$I$121=TRUE,IF($C$11&gt;0,0.00025*N455,0),IF('prijem_zahranicie - viac-dom'!$I$122=TRUE,IF('prijem_zahranicie - viac-dom'!$F$122&gt;0,0.00025*N455*-1,0),0))</f>
        <v>0</v>
      </c>
    </row>
    <row r="457" spans="1:18" x14ac:dyDescent="0.2">
      <c r="A457" s="89">
        <v>441</v>
      </c>
      <c r="B457" s="186" t="e">
        <f t="shared" si="61"/>
        <v>#NUM!</v>
      </c>
      <c r="C457" s="171" t="e">
        <f t="shared" si="62"/>
        <v>#NUM!</v>
      </c>
      <c r="D457" s="171" t="e">
        <f t="shared" si="63"/>
        <v>#NUM!</v>
      </c>
      <c r="E457" s="171" t="e">
        <f t="shared" si="64"/>
        <v>#NUM!</v>
      </c>
      <c r="F457" s="171" t="e">
        <f t="shared" si="65"/>
        <v>#NUM!</v>
      </c>
      <c r="G457" s="186">
        <f>IF('prijem_zahranicie - viac-dom'!$I$121=TRUE,IF($C$11&gt;0,0.00025*C456,0),IF('prijem_zahranicie - viac-dom'!$I$122=TRUE,IF('prijem_zahranicie - viac-dom'!$F$122&gt;0,0.00025*C456,0),0))</f>
        <v>0</v>
      </c>
      <c r="L457" s="89">
        <v>441</v>
      </c>
      <c r="M457" s="186" t="e">
        <f t="shared" si="66"/>
        <v>#DIV/0!</v>
      </c>
      <c r="N457" s="171" t="e">
        <f t="shared" si="67"/>
        <v>#DIV/0!</v>
      </c>
      <c r="O457" s="171" t="e">
        <f t="shared" si="60"/>
        <v>#DIV/0!</v>
      </c>
      <c r="P457" s="171" t="e">
        <f t="shared" si="68"/>
        <v>#DIV/0!</v>
      </c>
      <c r="Q457" s="171" t="e">
        <f t="shared" si="69"/>
        <v>#DIV/0!</v>
      </c>
      <c r="R457" s="186">
        <f>IF('prijem_zahranicie - viac-dom'!$I$121=TRUE,IF($C$11&gt;0,0.00025*N456,0),IF('prijem_zahranicie - viac-dom'!$I$122=TRUE,IF('prijem_zahranicie - viac-dom'!$F$122&gt;0,0.00025*N456*-1,0),0))</f>
        <v>0</v>
      </c>
    </row>
    <row r="458" spans="1:18" x14ac:dyDescent="0.2">
      <c r="A458" s="89">
        <v>442</v>
      </c>
      <c r="B458" s="186" t="e">
        <f t="shared" si="61"/>
        <v>#NUM!</v>
      </c>
      <c r="C458" s="171" t="e">
        <f t="shared" si="62"/>
        <v>#NUM!</v>
      </c>
      <c r="D458" s="171" t="e">
        <f t="shared" si="63"/>
        <v>#NUM!</v>
      </c>
      <c r="E458" s="171" t="e">
        <f t="shared" si="64"/>
        <v>#NUM!</v>
      </c>
      <c r="F458" s="171" t="e">
        <f t="shared" si="65"/>
        <v>#NUM!</v>
      </c>
      <c r="G458" s="186">
        <f>IF('prijem_zahranicie - viac-dom'!$I$121=TRUE,IF($C$11&gt;0,0.00025*C457,0),IF('prijem_zahranicie - viac-dom'!$I$122=TRUE,IF('prijem_zahranicie - viac-dom'!$F$122&gt;0,0.00025*C457,0),0))</f>
        <v>0</v>
      </c>
      <c r="L458" s="89">
        <v>442</v>
      </c>
      <c r="M458" s="186" t="e">
        <f t="shared" si="66"/>
        <v>#DIV/0!</v>
      </c>
      <c r="N458" s="171" t="e">
        <f t="shared" si="67"/>
        <v>#DIV/0!</v>
      </c>
      <c r="O458" s="171" t="e">
        <f t="shared" si="60"/>
        <v>#DIV/0!</v>
      </c>
      <c r="P458" s="171" t="e">
        <f t="shared" si="68"/>
        <v>#DIV/0!</v>
      </c>
      <c r="Q458" s="171" t="e">
        <f t="shared" si="69"/>
        <v>#DIV/0!</v>
      </c>
      <c r="R458" s="186">
        <f>IF('prijem_zahranicie - viac-dom'!$I$121=TRUE,IF($C$11&gt;0,0.00025*N457,0),IF('prijem_zahranicie - viac-dom'!$I$122=TRUE,IF('prijem_zahranicie - viac-dom'!$F$122&gt;0,0.00025*N457*-1,0),0))</f>
        <v>0</v>
      </c>
    </row>
    <row r="459" spans="1:18" x14ac:dyDescent="0.2">
      <c r="A459" s="89">
        <v>443</v>
      </c>
      <c r="B459" s="186" t="e">
        <f t="shared" si="61"/>
        <v>#NUM!</v>
      </c>
      <c r="C459" s="171" t="e">
        <f t="shared" si="62"/>
        <v>#NUM!</v>
      </c>
      <c r="D459" s="171" t="e">
        <f t="shared" si="63"/>
        <v>#NUM!</v>
      </c>
      <c r="E459" s="171" t="e">
        <f t="shared" si="64"/>
        <v>#NUM!</v>
      </c>
      <c r="F459" s="171" t="e">
        <f t="shared" si="65"/>
        <v>#NUM!</v>
      </c>
      <c r="G459" s="186">
        <f>IF('prijem_zahranicie - viac-dom'!$I$121=TRUE,IF($C$11&gt;0,0.00025*C458,0),IF('prijem_zahranicie - viac-dom'!$I$122=TRUE,IF('prijem_zahranicie - viac-dom'!$F$122&gt;0,0.00025*C458,0),0))</f>
        <v>0</v>
      </c>
      <c r="L459" s="89">
        <v>443</v>
      </c>
      <c r="M459" s="186" t="e">
        <f t="shared" si="66"/>
        <v>#DIV/0!</v>
      </c>
      <c r="N459" s="171" t="e">
        <f t="shared" si="67"/>
        <v>#DIV/0!</v>
      </c>
      <c r="O459" s="171" t="e">
        <f t="shared" si="60"/>
        <v>#DIV/0!</v>
      </c>
      <c r="P459" s="171" t="e">
        <f t="shared" si="68"/>
        <v>#DIV/0!</v>
      </c>
      <c r="Q459" s="171" t="e">
        <f t="shared" si="69"/>
        <v>#DIV/0!</v>
      </c>
      <c r="R459" s="186">
        <f>IF('prijem_zahranicie - viac-dom'!$I$121=TRUE,IF($C$11&gt;0,0.00025*N458,0),IF('prijem_zahranicie - viac-dom'!$I$122=TRUE,IF('prijem_zahranicie - viac-dom'!$F$122&gt;0,0.00025*N458*-1,0),0))</f>
        <v>0</v>
      </c>
    </row>
    <row r="460" spans="1:18" x14ac:dyDescent="0.2">
      <c r="A460" s="89">
        <v>444</v>
      </c>
      <c r="B460" s="186" t="e">
        <f t="shared" si="61"/>
        <v>#NUM!</v>
      </c>
      <c r="C460" s="171" t="e">
        <f t="shared" si="62"/>
        <v>#NUM!</v>
      </c>
      <c r="D460" s="171" t="e">
        <f t="shared" si="63"/>
        <v>#NUM!</v>
      </c>
      <c r="E460" s="171" t="e">
        <f t="shared" si="64"/>
        <v>#NUM!</v>
      </c>
      <c r="F460" s="171" t="e">
        <f t="shared" si="65"/>
        <v>#NUM!</v>
      </c>
      <c r="G460" s="186">
        <f>IF('prijem_zahranicie - viac-dom'!$I$121=TRUE,IF($C$11&gt;0,0.00025*C459,0),IF('prijem_zahranicie - viac-dom'!$I$122=TRUE,IF('prijem_zahranicie - viac-dom'!$F$122&gt;0,0.00025*C459,0),0))</f>
        <v>0</v>
      </c>
      <c r="L460" s="89">
        <v>444</v>
      </c>
      <c r="M460" s="186" t="e">
        <f t="shared" si="66"/>
        <v>#DIV/0!</v>
      </c>
      <c r="N460" s="171" t="e">
        <f t="shared" si="67"/>
        <v>#DIV/0!</v>
      </c>
      <c r="O460" s="171" t="e">
        <f t="shared" si="60"/>
        <v>#DIV/0!</v>
      </c>
      <c r="P460" s="171" t="e">
        <f t="shared" si="68"/>
        <v>#DIV/0!</v>
      </c>
      <c r="Q460" s="171" t="e">
        <f t="shared" si="69"/>
        <v>#DIV/0!</v>
      </c>
      <c r="R460" s="186">
        <f>IF('prijem_zahranicie - viac-dom'!$I$121=TRUE,IF($C$11&gt;0,0.00025*N459,0),IF('prijem_zahranicie - viac-dom'!$I$122=TRUE,IF('prijem_zahranicie - viac-dom'!$F$122&gt;0,0.00025*N459*-1,0),0))</f>
        <v>0</v>
      </c>
    </row>
    <row r="461" spans="1:18" x14ac:dyDescent="0.2">
      <c r="A461" s="89">
        <v>445</v>
      </c>
      <c r="B461" s="186" t="e">
        <f t="shared" si="61"/>
        <v>#NUM!</v>
      </c>
      <c r="C461" s="171" t="e">
        <f t="shared" si="62"/>
        <v>#NUM!</v>
      </c>
      <c r="D461" s="171" t="e">
        <f t="shared" si="63"/>
        <v>#NUM!</v>
      </c>
      <c r="E461" s="171" t="e">
        <f t="shared" si="64"/>
        <v>#NUM!</v>
      </c>
      <c r="F461" s="171" t="e">
        <f t="shared" si="65"/>
        <v>#NUM!</v>
      </c>
      <c r="G461" s="186">
        <f>IF('prijem_zahranicie - viac-dom'!$I$121=TRUE,IF($C$11&gt;0,0.00025*C460,0),IF('prijem_zahranicie - viac-dom'!$I$122=TRUE,IF('prijem_zahranicie - viac-dom'!$F$122&gt;0,0.00025*C460,0),0))</f>
        <v>0</v>
      </c>
      <c r="L461" s="89">
        <v>445</v>
      </c>
      <c r="M461" s="186" t="e">
        <f t="shared" si="66"/>
        <v>#DIV/0!</v>
      </c>
      <c r="N461" s="171" t="e">
        <f t="shared" si="67"/>
        <v>#DIV/0!</v>
      </c>
      <c r="O461" s="171" t="e">
        <f t="shared" si="60"/>
        <v>#DIV/0!</v>
      </c>
      <c r="P461" s="171" t="e">
        <f t="shared" si="68"/>
        <v>#DIV/0!</v>
      </c>
      <c r="Q461" s="171" t="e">
        <f t="shared" si="69"/>
        <v>#DIV/0!</v>
      </c>
      <c r="R461" s="186">
        <f>IF('prijem_zahranicie - viac-dom'!$I$121=TRUE,IF($C$11&gt;0,0.00025*N460,0),IF('prijem_zahranicie - viac-dom'!$I$122=TRUE,IF('prijem_zahranicie - viac-dom'!$F$122&gt;0,0.00025*N460*-1,0),0))</f>
        <v>0</v>
      </c>
    </row>
    <row r="462" spans="1:18" x14ac:dyDescent="0.2">
      <c r="A462" s="89">
        <v>446</v>
      </c>
      <c r="B462" s="186" t="e">
        <f t="shared" si="61"/>
        <v>#NUM!</v>
      </c>
      <c r="C462" s="171" t="e">
        <f t="shared" si="62"/>
        <v>#NUM!</v>
      </c>
      <c r="D462" s="171" t="e">
        <f t="shared" si="63"/>
        <v>#NUM!</v>
      </c>
      <c r="E462" s="171" t="e">
        <f t="shared" si="64"/>
        <v>#NUM!</v>
      </c>
      <c r="F462" s="171" t="e">
        <f t="shared" si="65"/>
        <v>#NUM!</v>
      </c>
      <c r="G462" s="186">
        <f>IF('prijem_zahranicie - viac-dom'!$I$121=TRUE,IF($C$11&gt;0,0.00025*C461,0),IF('prijem_zahranicie - viac-dom'!$I$122=TRUE,IF('prijem_zahranicie - viac-dom'!$F$122&gt;0,0.00025*C461,0),0))</f>
        <v>0</v>
      </c>
      <c r="L462" s="89">
        <v>446</v>
      </c>
      <c r="M462" s="186" t="e">
        <f t="shared" si="66"/>
        <v>#DIV/0!</v>
      </c>
      <c r="N462" s="171" t="e">
        <f t="shared" si="67"/>
        <v>#DIV/0!</v>
      </c>
      <c r="O462" s="171" t="e">
        <f t="shared" si="60"/>
        <v>#DIV/0!</v>
      </c>
      <c r="P462" s="171" t="e">
        <f t="shared" si="68"/>
        <v>#DIV/0!</v>
      </c>
      <c r="Q462" s="171" t="e">
        <f t="shared" si="69"/>
        <v>#DIV/0!</v>
      </c>
      <c r="R462" s="186">
        <f>IF('prijem_zahranicie - viac-dom'!$I$121=TRUE,IF($C$11&gt;0,0.00025*N461,0),IF('prijem_zahranicie - viac-dom'!$I$122=TRUE,IF('prijem_zahranicie - viac-dom'!$F$122&gt;0,0.00025*N461*-1,0),0))</f>
        <v>0</v>
      </c>
    </row>
    <row r="463" spans="1:18" x14ac:dyDescent="0.2">
      <c r="A463" s="89">
        <v>447</v>
      </c>
      <c r="B463" s="186" t="e">
        <f t="shared" si="61"/>
        <v>#NUM!</v>
      </c>
      <c r="C463" s="171" t="e">
        <f t="shared" si="62"/>
        <v>#NUM!</v>
      </c>
      <c r="D463" s="171" t="e">
        <f t="shared" si="63"/>
        <v>#NUM!</v>
      </c>
      <c r="E463" s="171" t="e">
        <f t="shared" si="64"/>
        <v>#NUM!</v>
      </c>
      <c r="F463" s="171" t="e">
        <f t="shared" si="65"/>
        <v>#NUM!</v>
      </c>
      <c r="G463" s="186">
        <f>IF('prijem_zahranicie - viac-dom'!$I$121=TRUE,IF($C$11&gt;0,0.00025*C462,0),IF('prijem_zahranicie - viac-dom'!$I$122=TRUE,IF('prijem_zahranicie - viac-dom'!$F$122&gt;0,0.00025*C462,0),0))</f>
        <v>0</v>
      </c>
      <c r="L463" s="89">
        <v>447</v>
      </c>
      <c r="M463" s="186" t="e">
        <f t="shared" si="66"/>
        <v>#DIV/0!</v>
      </c>
      <c r="N463" s="171" t="e">
        <f t="shared" si="67"/>
        <v>#DIV/0!</v>
      </c>
      <c r="O463" s="171" t="e">
        <f t="shared" si="60"/>
        <v>#DIV/0!</v>
      </c>
      <c r="P463" s="171" t="e">
        <f t="shared" si="68"/>
        <v>#DIV/0!</v>
      </c>
      <c r="Q463" s="171" t="e">
        <f t="shared" si="69"/>
        <v>#DIV/0!</v>
      </c>
      <c r="R463" s="186">
        <f>IF('prijem_zahranicie - viac-dom'!$I$121=TRUE,IF($C$11&gt;0,0.00025*N462,0),IF('prijem_zahranicie - viac-dom'!$I$122=TRUE,IF('prijem_zahranicie - viac-dom'!$F$122&gt;0,0.00025*N462*-1,0),0))</f>
        <v>0</v>
      </c>
    </row>
    <row r="464" spans="1:18" x14ac:dyDescent="0.2">
      <c r="A464" s="89">
        <v>448</v>
      </c>
      <c r="B464" s="186" t="e">
        <f t="shared" si="61"/>
        <v>#NUM!</v>
      </c>
      <c r="C464" s="171" t="e">
        <f t="shared" si="62"/>
        <v>#NUM!</v>
      </c>
      <c r="D464" s="171" t="e">
        <f t="shared" si="63"/>
        <v>#NUM!</v>
      </c>
      <c r="E464" s="171" t="e">
        <f t="shared" si="64"/>
        <v>#NUM!</v>
      </c>
      <c r="F464" s="171" t="e">
        <f t="shared" si="65"/>
        <v>#NUM!</v>
      </c>
      <c r="G464" s="186">
        <f>IF('prijem_zahranicie - viac-dom'!$I$121=TRUE,IF($C$11&gt;0,0.00025*C463,0),IF('prijem_zahranicie - viac-dom'!$I$122=TRUE,IF('prijem_zahranicie - viac-dom'!$F$122&gt;0,0.00025*C463,0),0))</f>
        <v>0</v>
      </c>
      <c r="L464" s="89">
        <v>448</v>
      </c>
      <c r="M464" s="186" t="e">
        <f t="shared" si="66"/>
        <v>#DIV/0!</v>
      </c>
      <c r="N464" s="171" t="e">
        <f t="shared" si="67"/>
        <v>#DIV/0!</v>
      </c>
      <c r="O464" s="171" t="e">
        <f t="shared" si="60"/>
        <v>#DIV/0!</v>
      </c>
      <c r="P464" s="171" t="e">
        <f t="shared" si="68"/>
        <v>#DIV/0!</v>
      </c>
      <c r="Q464" s="171" t="e">
        <f t="shared" si="69"/>
        <v>#DIV/0!</v>
      </c>
      <c r="R464" s="186">
        <f>IF('prijem_zahranicie - viac-dom'!$I$121=TRUE,IF($C$11&gt;0,0.00025*N463,0),IF('prijem_zahranicie - viac-dom'!$I$122=TRUE,IF('prijem_zahranicie - viac-dom'!$F$122&gt;0,0.00025*N463*-1,0),0))</f>
        <v>0</v>
      </c>
    </row>
    <row r="465" spans="1:18" x14ac:dyDescent="0.2">
      <c r="A465" s="89">
        <v>449</v>
      </c>
      <c r="B465" s="186" t="e">
        <f t="shared" si="61"/>
        <v>#NUM!</v>
      </c>
      <c r="C465" s="171" t="e">
        <f t="shared" si="62"/>
        <v>#NUM!</v>
      </c>
      <c r="D465" s="171" t="e">
        <f t="shared" si="63"/>
        <v>#NUM!</v>
      </c>
      <c r="E465" s="171" t="e">
        <f t="shared" si="64"/>
        <v>#NUM!</v>
      </c>
      <c r="F465" s="171" t="e">
        <f t="shared" si="65"/>
        <v>#NUM!</v>
      </c>
      <c r="G465" s="186">
        <f>IF('prijem_zahranicie - viac-dom'!$I$121=TRUE,IF($C$11&gt;0,0.00025*C464,0),IF('prijem_zahranicie - viac-dom'!$I$122=TRUE,IF('prijem_zahranicie - viac-dom'!$F$122&gt;0,0.00025*C464,0),0))</f>
        <v>0</v>
      </c>
      <c r="L465" s="89">
        <v>449</v>
      </c>
      <c r="M465" s="186" t="e">
        <f t="shared" si="66"/>
        <v>#DIV/0!</v>
      </c>
      <c r="N465" s="171" t="e">
        <f t="shared" si="67"/>
        <v>#DIV/0!</v>
      </c>
      <c r="O465" s="171" t="e">
        <f t="shared" ref="O465:O496" si="70">$N$16/$N$5</f>
        <v>#DIV/0!</v>
      </c>
      <c r="P465" s="171" t="e">
        <f t="shared" si="68"/>
        <v>#DIV/0!</v>
      </c>
      <c r="Q465" s="171" t="e">
        <f t="shared" si="69"/>
        <v>#DIV/0!</v>
      </c>
      <c r="R465" s="186">
        <f>IF('prijem_zahranicie - viac-dom'!$I$121=TRUE,IF($C$11&gt;0,0.00025*N464,0),IF('prijem_zahranicie - viac-dom'!$I$122=TRUE,IF('prijem_zahranicie - viac-dom'!$F$122&gt;0,0.00025*N464*-1,0),0))</f>
        <v>0</v>
      </c>
    </row>
    <row r="466" spans="1:18" x14ac:dyDescent="0.2">
      <c r="A466" s="89">
        <v>450</v>
      </c>
      <c r="B466" s="186" t="e">
        <f t="shared" ref="B466:B496" si="71">IF(C465&gt;0.00001,F466-G466,0)</f>
        <v>#NUM!</v>
      </c>
      <c r="C466" s="171" t="e">
        <f t="shared" ref="C466:C496" si="72">MAX(C465-D466,0)</f>
        <v>#NUM!</v>
      </c>
      <c r="D466" s="171" t="e">
        <f t="shared" ref="D466:D496" si="73">(F466-E466)*-1</f>
        <v>#NUM!</v>
      </c>
      <c r="E466" s="171" t="e">
        <f t="shared" ref="E466:E496" si="74">IPMT($C$4/12,1,$C$5,C465)</f>
        <v>#NUM!</v>
      </c>
      <c r="F466" s="171" t="e">
        <f t="shared" ref="F466:F496" si="75">PMT($C$4/12,$C$5,$C$3)</f>
        <v>#NUM!</v>
      </c>
      <c r="G466" s="186">
        <f>IF('prijem_zahranicie - viac-dom'!$I$121=TRUE,IF($C$11&gt;0,0.00025*C465,0),IF('prijem_zahranicie - viac-dom'!$I$122=TRUE,IF('prijem_zahranicie - viac-dom'!$F$122&gt;0,0.00025*C465,0),0))</f>
        <v>0</v>
      </c>
      <c r="L466" s="89">
        <v>450</v>
      </c>
      <c r="M466" s="186" t="e">
        <f t="shared" ref="M466:M496" si="76">IF(N465&gt;0.00001,Q466-R466,0)*-1</f>
        <v>#DIV/0!</v>
      </c>
      <c r="N466" s="171" t="e">
        <f t="shared" ref="N466:N496" si="77">MAX(N465-O466,0)</f>
        <v>#DIV/0!</v>
      </c>
      <c r="O466" s="171" t="e">
        <f t="shared" si="70"/>
        <v>#DIV/0!</v>
      </c>
      <c r="P466" s="171" t="e">
        <f t="shared" ref="P466:P496" si="78">N465*$N$4/12</f>
        <v>#DIV/0!</v>
      </c>
      <c r="Q466" s="171" t="e">
        <f t="shared" ref="Q466:Q496" si="79">P466+O466</f>
        <v>#DIV/0!</v>
      </c>
      <c r="R466" s="186">
        <f>IF('prijem_zahranicie - viac-dom'!$I$121=TRUE,IF($C$11&gt;0,0.00025*N465,0),IF('prijem_zahranicie - viac-dom'!$I$122=TRUE,IF('prijem_zahranicie - viac-dom'!$F$122&gt;0,0.00025*N465*-1,0),0))</f>
        <v>0</v>
      </c>
    </row>
    <row r="467" spans="1:18" x14ac:dyDescent="0.2">
      <c r="A467" s="89">
        <v>451</v>
      </c>
      <c r="B467" s="186" t="e">
        <f t="shared" si="71"/>
        <v>#NUM!</v>
      </c>
      <c r="C467" s="171" t="e">
        <f t="shared" si="72"/>
        <v>#NUM!</v>
      </c>
      <c r="D467" s="171" t="e">
        <f t="shared" si="73"/>
        <v>#NUM!</v>
      </c>
      <c r="E467" s="171" t="e">
        <f t="shared" si="74"/>
        <v>#NUM!</v>
      </c>
      <c r="F467" s="171" t="e">
        <f t="shared" si="75"/>
        <v>#NUM!</v>
      </c>
      <c r="G467" s="186">
        <f>IF('prijem_zahranicie - viac-dom'!$I$121=TRUE,IF($C$11&gt;0,0.00025*C466,0),IF('prijem_zahranicie - viac-dom'!$I$122=TRUE,IF('prijem_zahranicie - viac-dom'!$F$122&gt;0,0.00025*C466,0),0))</f>
        <v>0</v>
      </c>
      <c r="L467" s="89">
        <v>451</v>
      </c>
      <c r="M467" s="186" t="e">
        <f t="shared" si="76"/>
        <v>#DIV/0!</v>
      </c>
      <c r="N467" s="171" t="e">
        <f t="shared" si="77"/>
        <v>#DIV/0!</v>
      </c>
      <c r="O467" s="171" t="e">
        <f t="shared" si="70"/>
        <v>#DIV/0!</v>
      </c>
      <c r="P467" s="171" t="e">
        <f t="shared" si="78"/>
        <v>#DIV/0!</v>
      </c>
      <c r="Q467" s="171" t="e">
        <f t="shared" si="79"/>
        <v>#DIV/0!</v>
      </c>
      <c r="R467" s="186">
        <f>IF('prijem_zahranicie - viac-dom'!$I$121=TRUE,IF($C$11&gt;0,0.00025*N466,0),IF('prijem_zahranicie - viac-dom'!$I$122=TRUE,IF('prijem_zahranicie - viac-dom'!$F$122&gt;0,0.00025*N466*-1,0),0))</f>
        <v>0</v>
      </c>
    </row>
    <row r="468" spans="1:18" x14ac:dyDescent="0.2">
      <c r="A468" s="89">
        <v>452</v>
      </c>
      <c r="B468" s="186" t="e">
        <f t="shared" si="71"/>
        <v>#NUM!</v>
      </c>
      <c r="C468" s="171" t="e">
        <f t="shared" si="72"/>
        <v>#NUM!</v>
      </c>
      <c r="D468" s="171" t="e">
        <f t="shared" si="73"/>
        <v>#NUM!</v>
      </c>
      <c r="E468" s="171" t="e">
        <f t="shared" si="74"/>
        <v>#NUM!</v>
      </c>
      <c r="F468" s="171" t="e">
        <f t="shared" si="75"/>
        <v>#NUM!</v>
      </c>
      <c r="G468" s="186">
        <f>IF('prijem_zahranicie - viac-dom'!$I$121=TRUE,IF($C$11&gt;0,0.00025*C467,0),IF('prijem_zahranicie - viac-dom'!$I$122=TRUE,IF('prijem_zahranicie - viac-dom'!$F$122&gt;0,0.00025*C467,0),0))</f>
        <v>0</v>
      </c>
      <c r="L468" s="89">
        <v>452</v>
      </c>
      <c r="M468" s="186" t="e">
        <f t="shared" si="76"/>
        <v>#DIV/0!</v>
      </c>
      <c r="N468" s="171" t="e">
        <f t="shared" si="77"/>
        <v>#DIV/0!</v>
      </c>
      <c r="O468" s="171" t="e">
        <f t="shared" si="70"/>
        <v>#DIV/0!</v>
      </c>
      <c r="P468" s="171" t="e">
        <f t="shared" si="78"/>
        <v>#DIV/0!</v>
      </c>
      <c r="Q468" s="171" t="e">
        <f t="shared" si="79"/>
        <v>#DIV/0!</v>
      </c>
      <c r="R468" s="186">
        <f>IF('prijem_zahranicie - viac-dom'!$I$121=TRUE,IF($C$11&gt;0,0.00025*N467,0),IF('prijem_zahranicie - viac-dom'!$I$122=TRUE,IF('prijem_zahranicie - viac-dom'!$F$122&gt;0,0.00025*N467*-1,0),0))</f>
        <v>0</v>
      </c>
    </row>
    <row r="469" spans="1:18" x14ac:dyDescent="0.2">
      <c r="A469" s="89">
        <v>453</v>
      </c>
      <c r="B469" s="186" t="e">
        <f t="shared" si="71"/>
        <v>#NUM!</v>
      </c>
      <c r="C469" s="171" t="e">
        <f t="shared" si="72"/>
        <v>#NUM!</v>
      </c>
      <c r="D469" s="171" t="e">
        <f t="shared" si="73"/>
        <v>#NUM!</v>
      </c>
      <c r="E469" s="171" t="e">
        <f t="shared" si="74"/>
        <v>#NUM!</v>
      </c>
      <c r="F469" s="171" t="e">
        <f t="shared" si="75"/>
        <v>#NUM!</v>
      </c>
      <c r="G469" s="186">
        <f>IF('prijem_zahranicie - viac-dom'!$I$121=TRUE,IF($C$11&gt;0,0.00025*C468,0),IF('prijem_zahranicie - viac-dom'!$I$122=TRUE,IF('prijem_zahranicie - viac-dom'!$F$122&gt;0,0.00025*C468,0),0))</f>
        <v>0</v>
      </c>
      <c r="L469" s="89">
        <v>453</v>
      </c>
      <c r="M469" s="186" t="e">
        <f t="shared" si="76"/>
        <v>#DIV/0!</v>
      </c>
      <c r="N469" s="171" t="e">
        <f t="shared" si="77"/>
        <v>#DIV/0!</v>
      </c>
      <c r="O469" s="171" t="e">
        <f t="shared" si="70"/>
        <v>#DIV/0!</v>
      </c>
      <c r="P469" s="171" t="e">
        <f t="shared" si="78"/>
        <v>#DIV/0!</v>
      </c>
      <c r="Q469" s="171" t="e">
        <f t="shared" si="79"/>
        <v>#DIV/0!</v>
      </c>
      <c r="R469" s="186">
        <f>IF('prijem_zahranicie - viac-dom'!$I$121=TRUE,IF($C$11&gt;0,0.00025*N468,0),IF('prijem_zahranicie - viac-dom'!$I$122=TRUE,IF('prijem_zahranicie - viac-dom'!$F$122&gt;0,0.00025*N468*-1,0),0))</f>
        <v>0</v>
      </c>
    </row>
    <row r="470" spans="1:18" x14ac:dyDescent="0.2">
      <c r="A470" s="89">
        <v>454</v>
      </c>
      <c r="B470" s="186" t="e">
        <f t="shared" si="71"/>
        <v>#NUM!</v>
      </c>
      <c r="C470" s="171" t="e">
        <f t="shared" si="72"/>
        <v>#NUM!</v>
      </c>
      <c r="D470" s="171" t="e">
        <f t="shared" si="73"/>
        <v>#NUM!</v>
      </c>
      <c r="E470" s="171" t="e">
        <f t="shared" si="74"/>
        <v>#NUM!</v>
      </c>
      <c r="F470" s="171" t="e">
        <f t="shared" si="75"/>
        <v>#NUM!</v>
      </c>
      <c r="G470" s="186">
        <f>IF('prijem_zahranicie - viac-dom'!$I$121=TRUE,IF($C$11&gt;0,0.00025*C469,0),IF('prijem_zahranicie - viac-dom'!$I$122=TRUE,IF('prijem_zahranicie - viac-dom'!$F$122&gt;0,0.00025*C469,0),0))</f>
        <v>0</v>
      </c>
      <c r="L470" s="89">
        <v>454</v>
      </c>
      <c r="M470" s="186" t="e">
        <f t="shared" si="76"/>
        <v>#DIV/0!</v>
      </c>
      <c r="N470" s="171" t="e">
        <f t="shared" si="77"/>
        <v>#DIV/0!</v>
      </c>
      <c r="O470" s="171" t="e">
        <f t="shared" si="70"/>
        <v>#DIV/0!</v>
      </c>
      <c r="P470" s="171" t="e">
        <f t="shared" si="78"/>
        <v>#DIV/0!</v>
      </c>
      <c r="Q470" s="171" t="e">
        <f t="shared" si="79"/>
        <v>#DIV/0!</v>
      </c>
      <c r="R470" s="186">
        <f>IF('prijem_zahranicie - viac-dom'!$I$121=TRUE,IF($C$11&gt;0,0.00025*N469,0),IF('prijem_zahranicie - viac-dom'!$I$122=TRUE,IF('prijem_zahranicie - viac-dom'!$F$122&gt;0,0.00025*N469*-1,0),0))</f>
        <v>0</v>
      </c>
    </row>
    <row r="471" spans="1:18" x14ac:dyDescent="0.2">
      <c r="A471" s="89">
        <v>455</v>
      </c>
      <c r="B471" s="186" t="e">
        <f t="shared" si="71"/>
        <v>#NUM!</v>
      </c>
      <c r="C471" s="171" t="e">
        <f t="shared" si="72"/>
        <v>#NUM!</v>
      </c>
      <c r="D471" s="171" t="e">
        <f t="shared" si="73"/>
        <v>#NUM!</v>
      </c>
      <c r="E471" s="171" t="e">
        <f t="shared" si="74"/>
        <v>#NUM!</v>
      </c>
      <c r="F471" s="171" t="e">
        <f t="shared" si="75"/>
        <v>#NUM!</v>
      </c>
      <c r="G471" s="186">
        <f>IF('prijem_zahranicie - viac-dom'!$I$121=TRUE,IF($C$11&gt;0,0.00025*C470,0),IF('prijem_zahranicie - viac-dom'!$I$122=TRUE,IF('prijem_zahranicie - viac-dom'!$F$122&gt;0,0.00025*C470,0),0))</f>
        <v>0</v>
      </c>
      <c r="L471" s="89">
        <v>455</v>
      </c>
      <c r="M471" s="186" t="e">
        <f t="shared" si="76"/>
        <v>#DIV/0!</v>
      </c>
      <c r="N471" s="171" t="e">
        <f t="shared" si="77"/>
        <v>#DIV/0!</v>
      </c>
      <c r="O471" s="171" t="e">
        <f t="shared" si="70"/>
        <v>#DIV/0!</v>
      </c>
      <c r="P471" s="171" t="e">
        <f t="shared" si="78"/>
        <v>#DIV/0!</v>
      </c>
      <c r="Q471" s="171" t="e">
        <f t="shared" si="79"/>
        <v>#DIV/0!</v>
      </c>
      <c r="R471" s="186">
        <f>IF('prijem_zahranicie - viac-dom'!$I$121=TRUE,IF($C$11&gt;0,0.00025*N470,0),IF('prijem_zahranicie - viac-dom'!$I$122=TRUE,IF('prijem_zahranicie - viac-dom'!$F$122&gt;0,0.00025*N470*-1,0),0))</f>
        <v>0</v>
      </c>
    </row>
    <row r="472" spans="1:18" x14ac:dyDescent="0.2">
      <c r="A472" s="89">
        <v>456</v>
      </c>
      <c r="B472" s="186" t="e">
        <f t="shared" si="71"/>
        <v>#NUM!</v>
      </c>
      <c r="C472" s="171" t="e">
        <f t="shared" si="72"/>
        <v>#NUM!</v>
      </c>
      <c r="D472" s="171" t="e">
        <f t="shared" si="73"/>
        <v>#NUM!</v>
      </c>
      <c r="E472" s="171" t="e">
        <f t="shared" si="74"/>
        <v>#NUM!</v>
      </c>
      <c r="F472" s="171" t="e">
        <f t="shared" si="75"/>
        <v>#NUM!</v>
      </c>
      <c r="G472" s="186">
        <f>IF('prijem_zahranicie - viac-dom'!$I$121=TRUE,IF($C$11&gt;0,0.00025*C471,0),IF('prijem_zahranicie - viac-dom'!$I$122=TRUE,IF('prijem_zahranicie - viac-dom'!$F$122&gt;0,0.00025*C471,0),0))</f>
        <v>0</v>
      </c>
      <c r="L472" s="89">
        <v>456</v>
      </c>
      <c r="M472" s="186" t="e">
        <f t="shared" si="76"/>
        <v>#DIV/0!</v>
      </c>
      <c r="N472" s="171" t="e">
        <f t="shared" si="77"/>
        <v>#DIV/0!</v>
      </c>
      <c r="O472" s="171" t="e">
        <f t="shared" si="70"/>
        <v>#DIV/0!</v>
      </c>
      <c r="P472" s="171" t="e">
        <f t="shared" si="78"/>
        <v>#DIV/0!</v>
      </c>
      <c r="Q472" s="171" t="e">
        <f t="shared" si="79"/>
        <v>#DIV/0!</v>
      </c>
      <c r="R472" s="186">
        <f>IF('prijem_zahranicie - viac-dom'!$I$121=TRUE,IF($C$11&gt;0,0.00025*N471,0),IF('prijem_zahranicie - viac-dom'!$I$122=TRUE,IF('prijem_zahranicie - viac-dom'!$F$122&gt;0,0.00025*N471*-1,0),0))</f>
        <v>0</v>
      </c>
    </row>
    <row r="473" spans="1:18" x14ac:dyDescent="0.2">
      <c r="A473" s="89">
        <v>457</v>
      </c>
      <c r="B473" s="186" t="e">
        <f t="shared" si="71"/>
        <v>#NUM!</v>
      </c>
      <c r="C473" s="171" t="e">
        <f t="shared" si="72"/>
        <v>#NUM!</v>
      </c>
      <c r="D473" s="171" t="e">
        <f t="shared" si="73"/>
        <v>#NUM!</v>
      </c>
      <c r="E473" s="171" t="e">
        <f t="shared" si="74"/>
        <v>#NUM!</v>
      </c>
      <c r="F473" s="171" t="e">
        <f t="shared" si="75"/>
        <v>#NUM!</v>
      </c>
      <c r="G473" s="186">
        <f>IF('prijem_zahranicie - viac-dom'!$I$121=TRUE,IF($C$11&gt;0,0.00025*C472,0),IF('prijem_zahranicie - viac-dom'!$I$122=TRUE,IF('prijem_zahranicie - viac-dom'!$F$122&gt;0,0.00025*C472,0),0))</f>
        <v>0</v>
      </c>
      <c r="L473" s="89">
        <v>457</v>
      </c>
      <c r="M473" s="186" t="e">
        <f t="shared" si="76"/>
        <v>#DIV/0!</v>
      </c>
      <c r="N473" s="171" t="e">
        <f t="shared" si="77"/>
        <v>#DIV/0!</v>
      </c>
      <c r="O473" s="171" t="e">
        <f t="shared" si="70"/>
        <v>#DIV/0!</v>
      </c>
      <c r="P473" s="171" t="e">
        <f t="shared" si="78"/>
        <v>#DIV/0!</v>
      </c>
      <c r="Q473" s="171" t="e">
        <f t="shared" si="79"/>
        <v>#DIV/0!</v>
      </c>
      <c r="R473" s="186">
        <f>IF('prijem_zahranicie - viac-dom'!$I$121=TRUE,IF($C$11&gt;0,0.00025*N472,0),IF('prijem_zahranicie - viac-dom'!$I$122=TRUE,IF('prijem_zahranicie - viac-dom'!$F$122&gt;0,0.00025*N472*-1,0),0))</f>
        <v>0</v>
      </c>
    </row>
    <row r="474" spans="1:18" x14ac:dyDescent="0.2">
      <c r="A474" s="89">
        <v>458</v>
      </c>
      <c r="B474" s="186" t="e">
        <f t="shared" si="71"/>
        <v>#NUM!</v>
      </c>
      <c r="C474" s="171" t="e">
        <f t="shared" si="72"/>
        <v>#NUM!</v>
      </c>
      <c r="D474" s="171" t="e">
        <f t="shared" si="73"/>
        <v>#NUM!</v>
      </c>
      <c r="E474" s="171" t="e">
        <f t="shared" si="74"/>
        <v>#NUM!</v>
      </c>
      <c r="F474" s="171" t="e">
        <f t="shared" si="75"/>
        <v>#NUM!</v>
      </c>
      <c r="G474" s="186">
        <f>IF('prijem_zahranicie - viac-dom'!$I$121=TRUE,IF($C$11&gt;0,0.00025*C473,0),IF('prijem_zahranicie - viac-dom'!$I$122=TRUE,IF('prijem_zahranicie - viac-dom'!$F$122&gt;0,0.00025*C473,0),0))</f>
        <v>0</v>
      </c>
      <c r="L474" s="89">
        <v>458</v>
      </c>
      <c r="M474" s="186" t="e">
        <f t="shared" si="76"/>
        <v>#DIV/0!</v>
      </c>
      <c r="N474" s="171" t="e">
        <f t="shared" si="77"/>
        <v>#DIV/0!</v>
      </c>
      <c r="O474" s="171" t="e">
        <f t="shared" si="70"/>
        <v>#DIV/0!</v>
      </c>
      <c r="P474" s="171" t="e">
        <f t="shared" si="78"/>
        <v>#DIV/0!</v>
      </c>
      <c r="Q474" s="171" t="e">
        <f t="shared" si="79"/>
        <v>#DIV/0!</v>
      </c>
      <c r="R474" s="186">
        <f>IF('prijem_zahranicie - viac-dom'!$I$121=TRUE,IF($C$11&gt;0,0.00025*N473,0),IF('prijem_zahranicie - viac-dom'!$I$122=TRUE,IF('prijem_zahranicie - viac-dom'!$F$122&gt;0,0.00025*N473*-1,0),0))</f>
        <v>0</v>
      </c>
    </row>
    <row r="475" spans="1:18" x14ac:dyDescent="0.2">
      <c r="A475" s="89">
        <v>459</v>
      </c>
      <c r="B475" s="186" t="e">
        <f t="shared" si="71"/>
        <v>#NUM!</v>
      </c>
      <c r="C475" s="171" t="e">
        <f t="shared" si="72"/>
        <v>#NUM!</v>
      </c>
      <c r="D475" s="171" t="e">
        <f t="shared" si="73"/>
        <v>#NUM!</v>
      </c>
      <c r="E475" s="171" t="e">
        <f t="shared" si="74"/>
        <v>#NUM!</v>
      </c>
      <c r="F475" s="171" t="e">
        <f t="shared" si="75"/>
        <v>#NUM!</v>
      </c>
      <c r="G475" s="186">
        <f>IF('prijem_zahranicie - viac-dom'!$I$121=TRUE,IF($C$11&gt;0,0.00025*C474,0),IF('prijem_zahranicie - viac-dom'!$I$122=TRUE,IF('prijem_zahranicie - viac-dom'!$F$122&gt;0,0.00025*C474,0),0))</f>
        <v>0</v>
      </c>
      <c r="L475" s="89">
        <v>459</v>
      </c>
      <c r="M475" s="186" t="e">
        <f t="shared" si="76"/>
        <v>#DIV/0!</v>
      </c>
      <c r="N475" s="171" t="e">
        <f t="shared" si="77"/>
        <v>#DIV/0!</v>
      </c>
      <c r="O475" s="171" t="e">
        <f t="shared" si="70"/>
        <v>#DIV/0!</v>
      </c>
      <c r="P475" s="171" t="e">
        <f t="shared" si="78"/>
        <v>#DIV/0!</v>
      </c>
      <c r="Q475" s="171" t="e">
        <f t="shared" si="79"/>
        <v>#DIV/0!</v>
      </c>
      <c r="R475" s="186">
        <f>IF('prijem_zahranicie - viac-dom'!$I$121=TRUE,IF($C$11&gt;0,0.00025*N474,0),IF('prijem_zahranicie - viac-dom'!$I$122=TRUE,IF('prijem_zahranicie - viac-dom'!$F$122&gt;0,0.00025*N474*-1,0),0))</f>
        <v>0</v>
      </c>
    </row>
    <row r="476" spans="1:18" x14ac:dyDescent="0.2">
      <c r="A476" s="89">
        <v>460</v>
      </c>
      <c r="B476" s="186" t="e">
        <f t="shared" si="71"/>
        <v>#NUM!</v>
      </c>
      <c r="C476" s="171" t="e">
        <f t="shared" si="72"/>
        <v>#NUM!</v>
      </c>
      <c r="D476" s="171" t="e">
        <f t="shared" si="73"/>
        <v>#NUM!</v>
      </c>
      <c r="E476" s="171" t="e">
        <f t="shared" si="74"/>
        <v>#NUM!</v>
      </c>
      <c r="F476" s="171" t="e">
        <f t="shared" si="75"/>
        <v>#NUM!</v>
      </c>
      <c r="G476" s="186">
        <f>IF('prijem_zahranicie - viac-dom'!$I$121=TRUE,IF($C$11&gt;0,0.00025*C475,0),IF('prijem_zahranicie - viac-dom'!$I$122=TRUE,IF('prijem_zahranicie - viac-dom'!$F$122&gt;0,0.00025*C475,0),0))</f>
        <v>0</v>
      </c>
      <c r="L476" s="89">
        <v>460</v>
      </c>
      <c r="M476" s="186" t="e">
        <f t="shared" si="76"/>
        <v>#DIV/0!</v>
      </c>
      <c r="N476" s="171" t="e">
        <f t="shared" si="77"/>
        <v>#DIV/0!</v>
      </c>
      <c r="O476" s="171" t="e">
        <f t="shared" si="70"/>
        <v>#DIV/0!</v>
      </c>
      <c r="P476" s="171" t="e">
        <f t="shared" si="78"/>
        <v>#DIV/0!</v>
      </c>
      <c r="Q476" s="171" t="e">
        <f t="shared" si="79"/>
        <v>#DIV/0!</v>
      </c>
      <c r="R476" s="186">
        <f>IF('prijem_zahranicie - viac-dom'!$I$121=TRUE,IF($C$11&gt;0,0.00025*N475,0),IF('prijem_zahranicie - viac-dom'!$I$122=TRUE,IF('prijem_zahranicie - viac-dom'!$F$122&gt;0,0.00025*N475*-1,0),0))</f>
        <v>0</v>
      </c>
    </row>
    <row r="477" spans="1:18" x14ac:dyDescent="0.2">
      <c r="A477" s="89">
        <v>461</v>
      </c>
      <c r="B477" s="186" t="e">
        <f t="shared" si="71"/>
        <v>#NUM!</v>
      </c>
      <c r="C477" s="171" t="e">
        <f t="shared" si="72"/>
        <v>#NUM!</v>
      </c>
      <c r="D477" s="171" t="e">
        <f t="shared" si="73"/>
        <v>#NUM!</v>
      </c>
      <c r="E477" s="171" t="e">
        <f t="shared" si="74"/>
        <v>#NUM!</v>
      </c>
      <c r="F477" s="171" t="e">
        <f t="shared" si="75"/>
        <v>#NUM!</v>
      </c>
      <c r="G477" s="186">
        <f>IF('prijem_zahranicie - viac-dom'!$I$121=TRUE,IF($C$11&gt;0,0.00025*C476,0),IF('prijem_zahranicie - viac-dom'!$I$122=TRUE,IF('prijem_zahranicie - viac-dom'!$F$122&gt;0,0.00025*C476,0),0))</f>
        <v>0</v>
      </c>
      <c r="L477" s="89">
        <v>461</v>
      </c>
      <c r="M477" s="186" t="e">
        <f t="shared" si="76"/>
        <v>#DIV/0!</v>
      </c>
      <c r="N477" s="171" t="e">
        <f t="shared" si="77"/>
        <v>#DIV/0!</v>
      </c>
      <c r="O477" s="171" t="e">
        <f t="shared" si="70"/>
        <v>#DIV/0!</v>
      </c>
      <c r="P477" s="171" t="e">
        <f t="shared" si="78"/>
        <v>#DIV/0!</v>
      </c>
      <c r="Q477" s="171" t="e">
        <f t="shared" si="79"/>
        <v>#DIV/0!</v>
      </c>
      <c r="R477" s="186">
        <f>IF('prijem_zahranicie - viac-dom'!$I$121=TRUE,IF($C$11&gt;0,0.00025*N476,0),IF('prijem_zahranicie - viac-dom'!$I$122=TRUE,IF('prijem_zahranicie - viac-dom'!$F$122&gt;0,0.00025*N476*-1,0),0))</f>
        <v>0</v>
      </c>
    </row>
    <row r="478" spans="1:18" x14ac:dyDescent="0.2">
      <c r="A478" s="89">
        <v>462</v>
      </c>
      <c r="B478" s="186" t="e">
        <f t="shared" si="71"/>
        <v>#NUM!</v>
      </c>
      <c r="C478" s="171" t="e">
        <f t="shared" si="72"/>
        <v>#NUM!</v>
      </c>
      <c r="D478" s="171" t="e">
        <f t="shared" si="73"/>
        <v>#NUM!</v>
      </c>
      <c r="E478" s="171" t="e">
        <f t="shared" si="74"/>
        <v>#NUM!</v>
      </c>
      <c r="F478" s="171" t="e">
        <f t="shared" si="75"/>
        <v>#NUM!</v>
      </c>
      <c r="G478" s="186">
        <f>IF('prijem_zahranicie - viac-dom'!$I$121=TRUE,IF($C$11&gt;0,0.00025*C477,0),IF('prijem_zahranicie - viac-dom'!$I$122=TRUE,IF('prijem_zahranicie - viac-dom'!$F$122&gt;0,0.00025*C477,0),0))</f>
        <v>0</v>
      </c>
      <c r="L478" s="89">
        <v>462</v>
      </c>
      <c r="M478" s="186" t="e">
        <f t="shared" si="76"/>
        <v>#DIV/0!</v>
      </c>
      <c r="N478" s="171" t="e">
        <f t="shared" si="77"/>
        <v>#DIV/0!</v>
      </c>
      <c r="O478" s="171" t="e">
        <f t="shared" si="70"/>
        <v>#DIV/0!</v>
      </c>
      <c r="P478" s="171" t="e">
        <f t="shared" si="78"/>
        <v>#DIV/0!</v>
      </c>
      <c r="Q478" s="171" t="e">
        <f t="shared" si="79"/>
        <v>#DIV/0!</v>
      </c>
      <c r="R478" s="186">
        <f>IF('prijem_zahranicie - viac-dom'!$I$121=TRUE,IF($C$11&gt;0,0.00025*N477,0),IF('prijem_zahranicie - viac-dom'!$I$122=TRUE,IF('prijem_zahranicie - viac-dom'!$F$122&gt;0,0.00025*N477*-1,0),0))</f>
        <v>0</v>
      </c>
    </row>
    <row r="479" spans="1:18" x14ac:dyDescent="0.2">
      <c r="A479" s="89">
        <v>463</v>
      </c>
      <c r="B479" s="186" t="e">
        <f t="shared" si="71"/>
        <v>#NUM!</v>
      </c>
      <c r="C479" s="171" t="e">
        <f t="shared" si="72"/>
        <v>#NUM!</v>
      </c>
      <c r="D479" s="171" t="e">
        <f t="shared" si="73"/>
        <v>#NUM!</v>
      </c>
      <c r="E479" s="171" t="e">
        <f t="shared" si="74"/>
        <v>#NUM!</v>
      </c>
      <c r="F479" s="171" t="e">
        <f t="shared" si="75"/>
        <v>#NUM!</v>
      </c>
      <c r="G479" s="186">
        <f>IF('prijem_zahranicie - viac-dom'!$I$121=TRUE,IF($C$11&gt;0,0.00025*C478,0),IF('prijem_zahranicie - viac-dom'!$I$122=TRUE,IF('prijem_zahranicie - viac-dom'!$F$122&gt;0,0.00025*C478,0),0))</f>
        <v>0</v>
      </c>
      <c r="L479" s="89">
        <v>463</v>
      </c>
      <c r="M479" s="186" t="e">
        <f t="shared" si="76"/>
        <v>#DIV/0!</v>
      </c>
      <c r="N479" s="171" t="e">
        <f t="shared" si="77"/>
        <v>#DIV/0!</v>
      </c>
      <c r="O479" s="171" t="e">
        <f t="shared" si="70"/>
        <v>#DIV/0!</v>
      </c>
      <c r="P479" s="171" t="e">
        <f t="shared" si="78"/>
        <v>#DIV/0!</v>
      </c>
      <c r="Q479" s="171" t="e">
        <f t="shared" si="79"/>
        <v>#DIV/0!</v>
      </c>
      <c r="R479" s="186">
        <f>IF('prijem_zahranicie - viac-dom'!$I$121=TRUE,IF($C$11&gt;0,0.00025*N478,0),IF('prijem_zahranicie - viac-dom'!$I$122=TRUE,IF('prijem_zahranicie - viac-dom'!$F$122&gt;0,0.00025*N478*-1,0),0))</f>
        <v>0</v>
      </c>
    </row>
    <row r="480" spans="1:18" x14ac:dyDescent="0.2">
      <c r="A480" s="89">
        <v>464</v>
      </c>
      <c r="B480" s="186" t="e">
        <f t="shared" si="71"/>
        <v>#NUM!</v>
      </c>
      <c r="C480" s="171" t="e">
        <f t="shared" si="72"/>
        <v>#NUM!</v>
      </c>
      <c r="D480" s="171" t="e">
        <f t="shared" si="73"/>
        <v>#NUM!</v>
      </c>
      <c r="E480" s="171" t="e">
        <f t="shared" si="74"/>
        <v>#NUM!</v>
      </c>
      <c r="F480" s="171" t="e">
        <f t="shared" si="75"/>
        <v>#NUM!</v>
      </c>
      <c r="G480" s="186">
        <f>IF('prijem_zahranicie - viac-dom'!$I$121=TRUE,IF($C$11&gt;0,0.00025*C479,0),IF('prijem_zahranicie - viac-dom'!$I$122=TRUE,IF('prijem_zahranicie - viac-dom'!$F$122&gt;0,0.00025*C479,0),0))</f>
        <v>0</v>
      </c>
      <c r="L480" s="89">
        <v>464</v>
      </c>
      <c r="M480" s="186" t="e">
        <f t="shared" si="76"/>
        <v>#DIV/0!</v>
      </c>
      <c r="N480" s="171" t="e">
        <f t="shared" si="77"/>
        <v>#DIV/0!</v>
      </c>
      <c r="O480" s="171" t="e">
        <f t="shared" si="70"/>
        <v>#DIV/0!</v>
      </c>
      <c r="P480" s="171" t="e">
        <f t="shared" si="78"/>
        <v>#DIV/0!</v>
      </c>
      <c r="Q480" s="171" t="e">
        <f t="shared" si="79"/>
        <v>#DIV/0!</v>
      </c>
      <c r="R480" s="186">
        <f>IF('prijem_zahranicie - viac-dom'!$I$121=TRUE,IF($C$11&gt;0,0.00025*N479,0),IF('prijem_zahranicie - viac-dom'!$I$122=TRUE,IF('prijem_zahranicie - viac-dom'!$F$122&gt;0,0.00025*N479*-1,0),0))</f>
        <v>0</v>
      </c>
    </row>
    <row r="481" spans="1:18" x14ac:dyDescent="0.2">
      <c r="A481" s="89">
        <v>465</v>
      </c>
      <c r="B481" s="186" t="e">
        <f t="shared" si="71"/>
        <v>#NUM!</v>
      </c>
      <c r="C481" s="171" t="e">
        <f t="shared" si="72"/>
        <v>#NUM!</v>
      </c>
      <c r="D481" s="171" t="e">
        <f t="shared" si="73"/>
        <v>#NUM!</v>
      </c>
      <c r="E481" s="171" t="e">
        <f t="shared" si="74"/>
        <v>#NUM!</v>
      </c>
      <c r="F481" s="171" t="e">
        <f t="shared" si="75"/>
        <v>#NUM!</v>
      </c>
      <c r="G481" s="186">
        <f>IF('prijem_zahranicie - viac-dom'!$I$121=TRUE,IF($C$11&gt;0,0.00025*C480,0),IF('prijem_zahranicie - viac-dom'!$I$122=TRUE,IF('prijem_zahranicie - viac-dom'!$F$122&gt;0,0.00025*C480,0),0))</f>
        <v>0</v>
      </c>
      <c r="L481" s="89">
        <v>465</v>
      </c>
      <c r="M481" s="186" t="e">
        <f t="shared" si="76"/>
        <v>#DIV/0!</v>
      </c>
      <c r="N481" s="171" t="e">
        <f t="shared" si="77"/>
        <v>#DIV/0!</v>
      </c>
      <c r="O481" s="171" t="e">
        <f t="shared" si="70"/>
        <v>#DIV/0!</v>
      </c>
      <c r="P481" s="171" t="e">
        <f t="shared" si="78"/>
        <v>#DIV/0!</v>
      </c>
      <c r="Q481" s="171" t="e">
        <f t="shared" si="79"/>
        <v>#DIV/0!</v>
      </c>
      <c r="R481" s="186">
        <f>IF('prijem_zahranicie - viac-dom'!$I$121=TRUE,IF($C$11&gt;0,0.00025*N480,0),IF('prijem_zahranicie - viac-dom'!$I$122=TRUE,IF('prijem_zahranicie - viac-dom'!$F$122&gt;0,0.00025*N480*-1,0),0))</f>
        <v>0</v>
      </c>
    </row>
    <row r="482" spans="1:18" x14ac:dyDescent="0.2">
      <c r="A482" s="89">
        <v>466</v>
      </c>
      <c r="B482" s="186" t="e">
        <f t="shared" si="71"/>
        <v>#NUM!</v>
      </c>
      <c r="C482" s="171" t="e">
        <f t="shared" si="72"/>
        <v>#NUM!</v>
      </c>
      <c r="D482" s="171" t="e">
        <f t="shared" si="73"/>
        <v>#NUM!</v>
      </c>
      <c r="E482" s="171" t="e">
        <f t="shared" si="74"/>
        <v>#NUM!</v>
      </c>
      <c r="F482" s="171" t="e">
        <f t="shared" si="75"/>
        <v>#NUM!</v>
      </c>
      <c r="G482" s="186">
        <f>IF('prijem_zahranicie - viac-dom'!$I$121=TRUE,IF($C$11&gt;0,0.00025*C481,0),IF('prijem_zahranicie - viac-dom'!$I$122=TRUE,IF('prijem_zahranicie - viac-dom'!$F$122&gt;0,0.00025*C481,0),0))</f>
        <v>0</v>
      </c>
      <c r="L482" s="89">
        <v>466</v>
      </c>
      <c r="M482" s="186" t="e">
        <f t="shared" si="76"/>
        <v>#DIV/0!</v>
      </c>
      <c r="N482" s="171" t="e">
        <f t="shared" si="77"/>
        <v>#DIV/0!</v>
      </c>
      <c r="O482" s="171" t="e">
        <f t="shared" si="70"/>
        <v>#DIV/0!</v>
      </c>
      <c r="P482" s="171" t="e">
        <f t="shared" si="78"/>
        <v>#DIV/0!</v>
      </c>
      <c r="Q482" s="171" t="e">
        <f t="shared" si="79"/>
        <v>#DIV/0!</v>
      </c>
      <c r="R482" s="186">
        <f>IF('prijem_zahranicie - viac-dom'!$I$121=TRUE,IF($C$11&gt;0,0.00025*N481,0),IF('prijem_zahranicie - viac-dom'!$I$122=TRUE,IF('prijem_zahranicie - viac-dom'!$F$122&gt;0,0.00025*N481*-1,0),0))</f>
        <v>0</v>
      </c>
    </row>
    <row r="483" spans="1:18" x14ac:dyDescent="0.2">
      <c r="A483" s="89">
        <v>467</v>
      </c>
      <c r="B483" s="186" t="e">
        <f t="shared" si="71"/>
        <v>#NUM!</v>
      </c>
      <c r="C483" s="171" t="e">
        <f t="shared" si="72"/>
        <v>#NUM!</v>
      </c>
      <c r="D483" s="171" t="e">
        <f t="shared" si="73"/>
        <v>#NUM!</v>
      </c>
      <c r="E483" s="171" t="e">
        <f t="shared" si="74"/>
        <v>#NUM!</v>
      </c>
      <c r="F483" s="171" t="e">
        <f t="shared" si="75"/>
        <v>#NUM!</v>
      </c>
      <c r="G483" s="186">
        <f>IF('prijem_zahranicie - viac-dom'!$I$121=TRUE,IF($C$11&gt;0,0.00025*C482,0),IF('prijem_zahranicie - viac-dom'!$I$122=TRUE,IF('prijem_zahranicie - viac-dom'!$F$122&gt;0,0.00025*C482,0),0))</f>
        <v>0</v>
      </c>
      <c r="L483" s="89">
        <v>467</v>
      </c>
      <c r="M483" s="186" t="e">
        <f t="shared" si="76"/>
        <v>#DIV/0!</v>
      </c>
      <c r="N483" s="171" t="e">
        <f t="shared" si="77"/>
        <v>#DIV/0!</v>
      </c>
      <c r="O483" s="171" t="e">
        <f t="shared" si="70"/>
        <v>#DIV/0!</v>
      </c>
      <c r="P483" s="171" t="e">
        <f t="shared" si="78"/>
        <v>#DIV/0!</v>
      </c>
      <c r="Q483" s="171" t="e">
        <f t="shared" si="79"/>
        <v>#DIV/0!</v>
      </c>
      <c r="R483" s="186">
        <f>IF('prijem_zahranicie - viac-dom'!$I$121=TRUE,IF($C$11&gt;0,0.00025*N482,0),IF('prijem_zahranicie - viac-dom'!$I$122=TRUE,IF('prijem_zahranicie - viac-dom'!$F$122&gt;0,0.00025*N482*-1,0),0))</f>
        <v>0</v>
      </c>
    </row>
    <row r="484" spans="1:18" x14ac:dyDescent="0.2">
      <c r="A484" s="89">
        <v>468</v>
      </c>
      <c r="B484" s="186" t="e">
        <f t="shared" si="71"/>
        <v>#NUM!</v>
      </c>
      <c r="C484" s="171" t="e">
        <f t="shared" si="72"/>
        <v>#NUM!</v>
      </c>
      <c r="D484" s="171" t="e">
        <f t="shared" si="73"/>
        <v>#NUM!</v>
      </c>
      <c r="E484" s="171" t="e">
        <f t="shared" si="74"/>
        <v>#NUM!</v>
      </c>
      <c r="F484" s="171" t="e">
        <f t="shared" si="75"/>
        <v>#NUM!</v>
      </c>
      <c r="G484" s="186">
        <f>IF('prijem_zahranicie - viac-dom'!$I$121=TRUE,IF($C$11&gt;0,0.00025*C483,0),IF('prijem_zahranicie - viac-dom'!$I$122=TRUE,IF('prijem_zahranicie - viac-dom'!$F$122&gt;0,0.00025*C483,0),0))</f>
        <v>0</v>
      </c>
      <c r="L484" s="89">
        <v>468</v>
      </c>
      <c r="M484" s="186" t="e">
        <f t="shared" si="76"/>
        <v>#DIV/0!</v>
      </c>
      <c r="N484" s="171" t="e">
        <f t="shared" si="77"/>
        <v>#DIV/0!</v>
      </c>
      <c r="O484" s="171" t="e">
        <f t="shared" si="70"/>
        <v>#DIV/0!</v>
      </c>
      <c r="P484" s="171" t="e">
        <f t="shared" si="78"/>
        <v>#DIV/0!</v>
      </c>
      <c r="Q484" s="171" t="e">
        <f t="shared" si="79"/>
        <v>#DIV/0!</v>
      </c>
      <c r="R484" s="186">
        <f>IF('prijem_zahranicie - viac-dom'!$I$121=TRUE,IF($C$11&gt;0,0.00025*N483,0),IF('prijem_zahranicie - viac-dom'!$I$122=TRUE,IF('prijem_zahranicie - viac-dom'!$F$122&gt;0,0.00025*N483*-1,0),0))</f>
        <v>0</v>
      </c>
    </row>
    <row r="485" spans="1:18" x14ac:dyDescent="0.2">
      <c r="A485" s="89">
        <v>469</v>
      </c>
      <c r="B485" s="186" t="e">
        <f t="shared" si="71"/>
        <v>#NUM!</v>
      </c>
      <c r="C485" s="171" t="e">
        <f t="shared" si="72"/>
        <v>#NUM!</v>
      </c>
      <c r="D485" s="171" t="e">
        <f t="shared" si="73"/>
        <v>#NUM!</v>
      </c>
      <c r="E485" s="171" t="e">
        <f t="shared" si="74"/>
        <v>#NUM!</v>
      </c>
      <c r="F485" s="171" t="e">
        <f t="shared" si="75"/>
        <v>#NUM!</v>
      </c>
      <c r="G485" s="186">
        <f>IF('prijem_zahranicie - viac-dom'!$I$121=TRUE,IF($C$11&gt;0,0.00025*C484,0),IF('prijem_zahranicie - viac-dom'!$I$122=TRUE,IF('prijem_zahranicie - viac-dom'!$F$122&gt;0,0.00025*C484,0),0))</f>
        <v>0</v>
      </c>
      <c r="L485" s="89">
        <v>469</v>
      </c>
      <c r="M485" s="186" t="e">
        <f t="shared" si="76"/>
        <v>#DIV/0!</v>
      </c>
      <c r="N485" s="171" t="e">
        <f t="shared" si="77"/>
        <v>#DIV/0!</v>
      </c>
      <c r="O485" s="171" t="e">
        <f t="shared" si="70"/>
        <v>#DIV/0!</v>
      </c>
      <c r="P485" s="171" t="e">
        <f t="shared" si="78"/>
        <v>#DIV/0!</v>
      </c>
      <c r="Q485" s="171" t="e">
        <f t="shared" si="79"/>
        <v>#DIV/0!</v>
      </c>
      <c r="R485" s="186">
        <f>IF('prijem_zahranicie - viac-dom'!$I$121=TRUE,IF($C$11&gt;0,0.00025*N484,0),IF('prijem_zahranicie - viac-dom'!$I$122=TRUE,IF('prijem_zahranicie - viac-dom'!$F$122&gt;0,0.00025*N484*-1,0),0))</f>
        <v>0</v>
      </c>
    </row>
    <row r="486" spans="1:18" x14ac:dyDescent="0.2">
      <c r="A486" s="89">
        <v>470</v>
      </c>
      <c r="B486" s="186" t="e">
        <f t="shared" si="71"/>
        <v>#NUM!</v>
      </c>
      <c r="C486" s="171" t="e">
        <f t="shared" si="72"/>
        <v>#NUM!</v>
      </c>
      <c r="D486" s="171" t="e">
        <f t="shared" si="73"/>
        <v>#NUM!</v>
      </c>
      <c r="E486" s="171" t="e">
        <f t="shared" si="74"/>
        <v>#NUM!</v>
      </c>
      <c r="F486" s="171" t="e">
        <f t="shared" si="75"/>
        <v>#NUM!</v>
      </c>
      <c r="G486" s="186">
        <f>IF('prijem_zahranicie - viac-dom'!$I$121=TRUE,IF($C$11&gt;0,0.00025*C485,0),IF('prijem_zahranicie - viac-dom'!$I$122=TRUE,IF('prijem_zahranicie - viac-dom'!$F$122&gt;0,0.00025*C485,0),0))</f>
        <v>0</v>
      </c>
      <c r="L486" s="89">
        <v>470</v>
      </c>
      <c r="M486" s="186" t="e">
        <f t="shared" si="76"/>
        <v>#DIV/0!</v>
      </c>
      <c r="N486" s="171" t="e">
        <f t="shared" si="77"/>
        <v>#DIV/0!</v>
      </c>
      <c r="O486" s="171" t="e">
        <f t="shared" si="70"/>
        <v>#DIV/0!</v>
      </c>
      <c r="P486" s="171" t="e">
        <f t="shared" si="78"/>
        <v>#DIV/0!</v>
      </c>
      <c r="Q486" s="171" t="e">
        <f t="shared" si="79"/>
        <v>#DIV/0!</v>
      </c>
      <c r="R486" s="186">
        <f>IF('prijem_zahranicie - viac-dom'!$I$121=TRUE,IF($C$11&gt;0,0.00025*N485,0),IF('prijem_zahranicie - viac-dom'!$I$122=TRUE,IF('prijem_zahranicie - viac-dom'!$F$122&gt;0,0.00025*N485*-1,0),0))</f>
        <v>0</v>
      </c>
    </row>
    <row r="487" spans="1:18" x14ac:dyDescent="0.2">
      <c r="A487" s="89">
        <v>471</v>
      </c>
      <c r="B487" s="186" t="e">
        <f t="shared" si="71"/>
        <v>#NUM!</v>
      </c>
      <c r="C487" s="171" t="e">
        <f t="shared" si="72"/>
        <v>#NUM!</v>
      </c>
      <c r="D487" s="171" t="e">
        <f t="shared" si="73"/>
        <v>#NUM!</v>
      </c>
      <c r="E487" s="171" t="e">
        <f t="shared" si="74"/>
        <v>#NUM!</v>
      </c>
      <c r="F487" s="171" t="e">
        <f t="shared" si="75"/>
        <v>#NUM!</v>
      </c>
      <c r="G487" s="186">
        <f>IF('prijem_zahranicie - viac-dom'!$I$121=TRUE,IF($C$11&gt;0,0.00025*C486,0),IF('prijem_zahranicie - viac-dom'!$I$122=TRUE,IF('prijem_zahranicie - viac-dom'!$F$122&gt;0,0.00025*C486,0),0))</f>
        <v>0</v>
      </c>
      <c r="L487" s="89">
        <v>471</v>
      </c>
      <c r="M487" s="186" t="e">
        <f t="shared" si="76"/>
        <v>#DIV/0!</v>
      </c>
      <c r="N487" s="171" t="e">
        <f t="shared" si="77"/>
        <v>#DIV/0!</v>
      </c>
      <c r="O487" s="171" t="e">
        <f t="shared" si="70"/>
        <v>#DIV/0!</v>
      </c>
      <c r="P487" s="171" t="e">
        <f t="shared" si="78"/>
        <v>#DIV/0!</v>
      </c>
      <c r="Q487" s="171" t="e">
        <f t="shared" si="79"/>
        <v>#DIV/0!</v>
      </c>
      <c r="R487" s="186">
        <f>IF('prijem_zahranicie - viac-dom'!$I$121=TRUE,IF($C$11&gt;0,0.00025*N486,0),IF('prijem_zahranicie - viac-dom'!$I$122=TRUE,IF('prijem_zahranicie - viac-dom'!$F$122&gt;0,0.00025*N486*-1,0),0))</f>
        <v>0</v>
      </c>
    </row>
    <row r="488" spans="1:18" x14ac:dyDescent="0.2">
      <c r="A488" s="89">
        <v>472</v>
      </c>
      <c r="B488" s="186" t="e">
        <f t="shared" si="71"/>
        <v>#NUM!</v>
      </c>
      <c r="C488" s="171" t="e">
        <f t="shared" si="72"/>
        <v>#NUM!</v>
      </c>
      <c r="D488" s="171" t="e">
        <f t="shared" si="73"/>
        <v>#NUM!</v>
      </c>
      <c r="E488" s="171" t="e">
        <f t="shared" si="74"/>
        <v>#NUM!</v>
      </c>
      <c r="F488" s="171" t="e">
        <f t="shared" si="75"/>
        <v>#NUM!</v>
      </c>
      <c r="G488" s="186">
        <f>IF('prijem_zahranicie - viac-dom'!$I$121=TRUE,IF($C$11&gt;0,0.00025*C487,0),IF('prijem_zahranicie - viac-dom'!$I$122=TRUE,IF('prijem_zahranicie - viac-dom'!$F$122&gt;0,0.00025*C487,0),0))</f>
        <v>0</v>
      </c>
      <c r="L488" s="89">
        <v>472</v>
      </c>
      <c r="M488" s="186" t="e">
        <f t="shared" si="76"/>
        <v>#DIV/0!</v>
      </c>
      <c r="N488" s="171" t="e">
        <f t="shared" si="77"/>
        <v>#DIV/0!</v>
      </c>
      <c r="O488" s="171" t="e">
        <f t="shared" si="70"/>
        <v>#DIV/0!</v>
      </c>
      <c r="P488" s="171" t="e">
        <f t="shared" si="78"/>
        <v>#DIV/0!</v>
      </c>
      <c r="Q488" s="171" t="e">
        <f t="shared" si="79"/>
        <v>#DIV/0!</v>
      </c>
      <c r="R488" s="186">
        <f>IF('prijem_zahranicie - viac-dom'!$I$121=TRUE,IF($C$11&gt;0,0.00025*N487,0),IF('prijem_zahranicie - viac-dom'!$I$122=TRUE,IF('prijem_zahranicie - viac-dom'!$F$122&gt;0,0.00025*N487*-1,0),0))</f>
        <v>0</v>
      </c>
    </row>
    <row r="489" spans="1:18" x14ac:dyDescent="0.2">
      <c r="A489" s="89">
        <v>473</v>
      </c>
      <c r="B489" s="186" t="e">
        <f t="shared" si="71"/>
        <v>#NUM!</v>
      </c>
      <c r="C489" s="171" t="e">
        <f t="shared" si="72"/>
        <v>#NUM!</v>
      </c>
      <c r="D489" s="171" t="e">
        <f t="shared" si="73"/>
        <v>#NUM!</v>
      </c>
      <c r="E489" s="171" t="e">
        <f t="shared" si="74"/>
        <v>#NUM!</v>
      </c>
      <c r="F489" s="171" t="e">
        <f t="shared" si="75"/>
        <v>#NUM!</v>
      </c>
      <c r="G489" s="186">
        <f>IF('prijem_zahranicie - viac-dom'!$I$121=TRUE,IF($C$11&gt;0,0.00025*C488,0),IF('prijem_zahranicie - viac-dom'!$I$122=TRUE,IF('prijem_zahranicie - viac-dom'!$F$122&gt;0,0.00025*C488,0),0))</f>
        <v>0</v>
      </c>
      <c r="L489" s="89">
        <v>473</v>
      </c>
      <c r="M489" s="186" t="e">
        <f t="shared" si="76"/>
        <v>#DIV/0!</v>
      </c>
      <c r="N489" s="171" t="e">
        <f t="shared" si="77"/>
        <v>#DIV/0!</v>
      </c>
      <c r="O489" s="171" t="e">
        <f t="shared" si="70"/>
        <v>#DIV/0!</v>
      </c>
      <c r="P489" s="171" t="e">
        <f t="shared" si="78"/>
        <v>#DIV/0!</v>
      </c>
      <c r="Q489" s="171" t="e">
        <f t="shared" si="79"/>
        <v>#DIV/0!</v>
      </c>
      <c r="R489" s="186">
        <f>IF('prijem_zahranicie - viac-dom'!$I$121=TRUE,IF($C$11&gt;0,0.00025*N488,0),IF('prijem_zahranicie - viac-dom'!$I$122=TRUE,IF('prijem_zahranicie - viac-dom'!$F$122&gt;0,0.00025*N488*-1,0),0))</f>
        <v>0</v>
      </c>
    </row>
    <row r="490" spans="1:18" x14ac:dyDescent="0.2">
      <c r="A490" s="89">
        <v>474</v>
      </c>
      <c r="B490" s="186" t="e">
        <f t="shared" si="71"/>
        <v>#NUM!</v>
      </c>
      <c r="C490" s="171" t="e">
        <f t="shared" si="72"/>
        <v>#NUM!</v>
      </c>
      <c r="D490" s="171" t="e">
        <f t="shared" si="73"/>
        <v>#NUM!</v>
      </c>
      <c r="E490" s="171" t="e">
        <f t="shared" si="74"/>
        <v>#NUM!</v>
      </c>
      <c r="F490" s="171" t="e">
        <f t="shared" si="75"/>
        <v>#NUM!</v>
      </c>
      <c r="G490" s="186">
        <f>IF('prijem_zahranicie - viac-dom'!$I$121=TRUE,IF($C$11&gt;0,0.00025*C489,0),IF('prijem_zahranicie - viac-dom'!$I$122=TRUE,IF('prijem_zahranicie - viac-dom'!$F$122&gt;0,0.00025*C489,0),0))</f>
        <v>0</v>
      </c>
      <c r="L490" s="89">
        <v>474</v>
      </c>
      <c r="M490" s="186" t="e">
        <f t="shared" si="76"/>
        <v>#DIV/0!</v>
      </c>
      <c r="N490" s="171" t="e">
        <f t="shared" si="77"/>
        <v>#DIV/0!</v>
      </c>
      <c r="O490" s="171" t="e">
        <f t="shared" si="70"/>
        <v>#DIV/0!</v>
      </c>
      <c r="P490" s="171" t="e">
        <f t="shared" si="78"/>
        <v>#DIV/0!</v>
      </c>
      <c r="Q490" s="171" t="e">
        <f t="shared" si="79"/>
        <v>#DIV/0!</v>
      </c>
      <c r="R490" s="186">
        <f>IF('prijem_zahranicie - viac-dom'!$I$121=TRUE,IF($C$11&gt;0,0.00025*N489,0),IF('prijem_zahranicie - viac-dom'!$I$122=TRUE,IF('prijem_zahranicie - viac-dom'!$F$122&gt;0,0.00025*N489*-1,0),0))</f>
        <v>0</v>
      </c>
    </row>
    <row r="491" spans="1:18" x14ac:dyDescent="0.2">
      <c r="A491" s="89">
        <v>475</v>
      </c>
      <c r="B491" s="186" t="e">
        <f t="shared" si="71"/>
        <v>#NUM!</v>
      </c>
      <c r="C491" s="171" t="e">
        <f t="shared" si="72"/>
        <v>#NUM!</v>
      </c>
      <c r="D491" s="171" t="e">
        <f t="shared" si="73"/>
        <v>#NUM!</v>
      </c>
      <c r="E491" s="171" t="e">
        <f t="shared" si="74"/>
        <v>#NUM!</v>
      </c>
      <c r="F491" s="171" t="e">
        <f t="shared" si="75"/>
        <v>#NUM!</v>
      </c>
      <c r="G491" s="186">
        <f>IF('prijem_zahranicie - viac-dom'!$I$121=TRUE,IF($C$11&gt;0,0.00025*C490,0),IF('prijem_zahranicie - viac-dom'!$I$122=TRUE,IF('prijem_zahranicie - viac-dom'!$F$122&gt;0,0.00025*C490,0),0))</f>
        <v>0</v>
      </c>
      <c r="L491" s="89">
        <v>475</v>
      </c>
      <c r="M491" s="186" t="e">
        <f t="shared" si="76"/>
        <v>#DIV/0!</v>
      </c>
      <c r="N491" s="171" t="e">
        <f t="shared" si="77"/>
        <v>#DIV/0!</v>
      </c>
      <c r="O491" s="171" t="e">
        <f t="shared" si="70"/>
        <v>#DIV/0!</v>
      </c>
      <c r="P491" s="171" t="e">
        <f t="shared" si="78"/>
        <v>#DIV/0!</v>
      </c>
      <c r="Q491" s="171" t="e">
        <f t="shared" si="79"/>
        <v>#DIV/0!</v>
      </c>
      <c r="R491" s="186">
        <f>IF('prijem_zahranicie - viac-dom'!$I$121=TRUE,IF($C$11&gt;0,0.00025*N490,0),IF('prijem_zahranicie - viac-dom'!$I$122=TRUE,IF('prijem_zahranicie - viac-dom'!$F$122&gt;0,0.00025*N490*-1,0),0))</f>
        <v>0</v>
      </c>
    </row>
    <row r="492" spans="1:18" x14ac:dyDescent="0.2">
      <c r="A492" s="89">
        <v>476</v>
      </c>
      <c r="B492" s="186" t="e">
        <f t="shared" si="71"/>
        <v>#NUM!</v>
      </c>
      <c r="C492" s="171" t="e">
        <f t="shared" si="72"/>
        <v>#NUM!</v>
      </c>
      <c r="D492" s="171" t="e">
        <f t="shared" si="73"/>
        <v>#NUM!</v>
      </c>
      <c r="E492" s="171" t="e">
        <f t="shared" si="74"/>
        <v>#NUM!</v>
      </c>
      <c r="F492" s="171" t="e">
        <f t="shared" si="75"/>
        <v>#NUM!</v>
      </c>
      <c r="G492" s="186">
        <f>IF('prijem_zahranicie - viac-dom'!$I$121=TRUE,IF($C$11&gt;0,0.00025*C491,0),IF('prijem_zahranicie - viac-dom'!$I$122=TRUE,IF('prijem_zahranicie - viac-dom'!$F$122&gt;0,0.00025*C491,0),0))</f>
        <v>0</v>
      </c>
      <c r="L492" s="89">
        <v>476</v>
      </c>
      <c r="M492" s="186" t="e">
        <f t="shared" si="76"/>
        <v>#DIV/0!</v>
      </c>
      <c r="N492" s="171" t="e">
        <f t="shared" si="77"/>
        <v>#DIV/0!</v>
      </c>
      <c r="O492" s="171" t="e">
        <f t="shared" si="70"/>
        <v>#DIV/0!</v>
      </c>
      <c r="P492" s="171" t="e">
        <f t="shared" si="78"/>
        <v>#DIV/0!</v>
      </c>
      <c r="Q492" s="171" t="e">
        <f t="shared" si="79"/>
        <v>#DIV/0!</v>
      </c>
      <c r="R492" s="186">
        <f>IF('prijem_zahranicie - viac-dom'!$I$121=TRUE,IF($C$11&gt;0,0.00025*N491,0),IF('prijem_zahranicie - viac-dom'!$I$122=TRUE,IF('prijem_zahranicie - viac-dom'!$F$122&gt;0,0.00025*N491*-1,0),0))</f>
        <v>0</v>
      </c>
    </row>
    <row r="493" spans="1:18" x14ac:dyDescent="0.2">
      <c r="A493" s="89">
        <v>477</v>
      </c>
      <c r="B493" s="186" t="e">
        <f t="shared" si="71"/>
        <v>#NUM!</v>
      </c>
      <c r="C493" s="171" t="e">
        <f t="shared" si="72"/>
        <v>#NUM!</v>
      </c>
      <c r="D493" s="171" t="e">
        <f t="shared" si="73"/>
        <v>#NUM!</v>
      </c>
      <c r="E493" s="171" t="e">
        <f t="shared" si="74"/>
        <v>#NUM!</v>
      </c>
      <c r="F493" s="171" t="e">
        <f t="shared" si="75"/>
        <v>#NUM!</v>
      </c>
      <c r="G493" s="186">
        <f>IF('prijem_zahranicie - viac-dom'!$I$121=TRUE,IF($C$11&gt;0,0.00025*C492,0),IF('prijem_zahranicie - viac-dom'!$I$122=TRUE,IF('prijem_zahranicie - viac-dom'!$F$122&gt;0,0.00025*C492,0),0))</f>
        <v>0</v>
      </c>
      <c r="L493" s="89">
        <v>477</v>
      </c>
      <c r="M493" s="186" t="e">
        <f t="shared" si="76"/>
        <v>#DIV/0!</v>
      </c>
      <c r="N493" s="171" t="e">
        <f t="shared" si="77"/>
        <v>#DIV/0!</v>
      </c>
      <c r="O493" s="171" t="e">
        <f t="shared" si="70"/>
        <v>#DIV/0!</v>
      </c>
      <c r="P493" s="171" t="e">
        <f t="shared" si="78"/>
        <v>#DIV/0!</v>
      </c>
      <c r="Q493" s="171" t="e">
        <f t="shared" si="79"/>
        <v>#DIV/0!</v>
      </c>
      <c r="R493" s="186">
        <f>IF('prijem_zahranicie - viac-dom'!$I$121=TRUE,IF($C$11&gt;0,0.00025*N492,0),IF('prijem_zahranicie - viac-dom'!$I$122=TRUE,IF('prijem_zahranicie - viac-dom'!$F$122&gt;0,0.00025*N492*-1,0),0))</f>
        <v>0</v>
      </c>
    </row>
    <row r="494" spans="1:18" x14ac:dyDescent="0.2">
      <c r="A494" s="89">
        <v>478</v>
      </c>
      <c r="B494" s="186" t="e">
        <f t="shared" si="71"/>
        <v>#NUM!</v>
      </c>
      <c r="C494" s="171" t="e">
        <f t="shared" si="72"/>
        <v>#NUM!</v>
      </c>
      <c r="D494" s="171" t="e">
        <f t="shared" si="73"/>
        <v>#NUM!</v>
      </c>
      <c r="E494" s="171" t="e">
        <f t="shared" si="74"/>
        <v>#NUM!</v>
      </c>
      <c r="F494" s="171" t="e">
        <f t="shared" si="75"/>
        <v>#NUM!</v>
      </c>
      <c r="G494" s="186">
        <f>IF('prijem_zahranicie - viac-dom'!$I$121=TRUE,IF($C$11&gt;0,0.00025*C493,0),IF('prijem_zahranicie - viac-dom'!$I$122=TRUE,IF('prijem_zahranicie - viac-dom'!$F$122&gt;0,0.00025*C493,0),0))</f>
        <v>0</v>
      </c>
      <c r="L494" s="89">
        <v>478</v>
      </c>
      <c r="M494" s="186" t="e">
        <f t="shared" si="76"/>
        <v>#DIV/0!</v>
      </c>
      <c r="N494" s="171" t="e">
        <f t="shared" si="77"/>
        <v>#DIV/0!</v>
      </c>
      <c r="O494" s="171" t="e">
        <f t="shared" si="70"/>
        <v>#DIV/0!</v>
      </c>
      <c r="P494" s="171" t="e">
        <f t="shared" si="78"/>
        <v>#DIV/0!</v>
      </c>
      <c r="Q494" s="171" t="e">
        <f t="shared" si="79"/>
        <v>#DIV/0!</v>
      </c>
      <c r="R494" s="186">
        <f>IF('prijem_zahranicie - viac-dom'!$I$121=TRUE,IF($C$11&gt;0,0.00025*N493,0),IF('prijem_zahranicie - viac-dom'!$I$122=TRUE,IF('prijem_zahranicie - viac-dom'!$F$122&gt;0,0.00025*N493*-1,0),0))</f>
        <v>0</v>
      </c>
    </row>
    <row r="495" spans="1:18" x14ac:dyDescent="0.2">
      <c r="A495" s="89">
        <v>479</v>
      </c>
      <c r="B495" s="186" t="e">
        <f t="shared" si="71"/>
        <v>#NUM!</v>
      </c>
      <c r="C495" s="171" t="e">
        <f t="shared" si="72"/>
        <v>#NUM!</v>
      </c>
      <c r="D495" s="171" t="e">
        <f t="shared" si="73"/>
        <v>#NUM!</v>
      </c>
      <c r="E495" s="171" t="e">
        <f t="shared" si="74"/>
        <v>#NUM!</v>
      </c>
      <c r="F495" s="171" t="e">
        <f t="shared" si="75"/>
        <v>#NUM!</v>
      </c>
      <c r="G495" s="186">
        <f>IF('prijem_zahranicie - viac-dom'!$I$121=TRUE,IF($C$11&gt;0,0.00025*C494,0),IF('prijem_zahranicie - viac-dom'!$I$122=TRUE,IF('prijem_zahranicie - viac-dom'!$F$122&gt;0,0.00025*C494,0),0))</f>
        <v>0</v>
      </c>
      <c r="L495" s="89">
        <v>479</v>
      </c>
      <c r="M495" s="186" t="e">
        <f t="shared" si="76"/>
        <v>#DIV/0!</v>
      </c>
      <c r="N495" s="171" t="e">
        <f t="shared" si="77"/>
        <v>#DIV/0!</v>
      </c>
      <c r="O495" s="171" t="e">
        <f t="shared" si="70"/>
        <v>#DIV/0!</v>
      </c>
      <c r="P495" s="171" t="e">
        <f t="shared" si="78"/>
        <v>#DIV/0!</v>
      </c>
      <c r="Q495" s="171" t="e">
        <f t="shared" si="79"/>
        <v>#DIV/0!</v>
      </c>
      <c r="R495" s="186">
        <f>IF('prijem_zahranicie - viac-dom'!$I$121=TRUE,IF($C$11&gt;0,0.00025*N494,0),IF('prijem_zahranicie - viac-dom'!$I$122=TRUE,IF('prijem_zahranicie - viac-dom'!$F$122&gt;0,0.00025*N494*-1,0),0))</f>
        <v>0</v>
      </c>
    </row>
    <row r="496" spans="1:18" x14ac:dyDescent="0.2">
      <c r="A496" s="89">
        <v>480</v>
      </c>
      <c r="B496" s="186" t="e">
        <f t="shared" si="71"/>
        <v>#NUM!</v>
      </c>
      <c r="C496" s="171" t="e">
        <f t="shared" si="72"/>
        <v>#NUM!</v>
      </c>
      <c r="D496" s="171" t="e">
        <f t="shared" si="73"/>
        <v>#NUM!</v>
      </c>
      <c r="E496" s="171" t="e">
        <f t="shared" si="74"/>
        <v>#NUM!</v>
      </c>
      <c r="F496" s="171" t="e">
        <f t="shared" si="75"/>
        <v>#NUM!</v>
      </c>
      <c r="G496" s="186">
        <f>IF('prijem_zahranicie - viac-dom'!$I$121=TRUE,IF($C$11&gt;0,0.00025*C495,0),IF('prijem_zahranicie - viac-dom'!$I$122=TRUE,IF('prijem_zahranicie - viac-dom'!$F$122&gt;0,0.00025*C495,0),0))</f>
        <v>0</v>
      </c>
      <c r="L496" s="89">
        <v>480</v>
      </c>
      <c r="M496" s="186" t="e">
        <f t="shared" si="76"/>
        <v>#DIV/0!</v>
      </c>
      <c r="N496" s="171" t="e">
        <f t="shared" si="77"/>
        <v>#DIV/0!</v>
      </c>
      <c r="O496" s="171" t="e">
        <f t="shared" si="70"/>
        <v>#DIV/0!</v>
      </c>
      <c r="P496" s="171" t="e">
        <f t="shared" si="78"/>
        <v>#DIV/0!</v>
      </c>
      <c r="Q496" s="171" t="e">
        <f t="shared" si="79"/>
        <v>#DIV/0!</v>
      </c>
      <c r="R496" s="186">
        <f>IF('prijem_zahranicie - viac-dom'!$I$121=TRUE,IF($C$11&gt;0,0.00025*N495,0),IF('prijem_zahranicie - viac-dom'!$I$122=TRUE,IF('prijem_zahranicie - viac-dom'!$F$122&gt;0,0.00025*N495*-1,0),0))</f>
        <v>0</v>
      </c>
    </row>
    <row r="497" spans="1:12" x14ac:dyDescent="0.2">
      <c r="A497" s="89">
        <v>481</v>
      </c>
      <c r="L497" s="89">
        <v>481</v>
      </c>
    </row>
  </sheetData>
  <pageMargins left="0.7" right="0.7" top="0.75" bottom="0.75" header="0.3" footer="0.3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ist4"/>
  <dimension ref="A1:F572"/>
  <sheetViews>
    <sheetView workbookViewId="0">
      <selection activeCell="F14" sqref="F14"/>
    </sheetView>
  </sheetViews>
  <sheetFormatPr defaultColWidth="9.140625" defaultRowHeight="12.75" x14ac:dyDescent="0.2"/>
  <cols>
    <col min="1" max="1" width="14.7109375" style="133" customWidth="1"/>
    <col min="2" max="5" width="13.7109375" style="56" customWidth="1"/>
    <col min="6" max="6" width="14.7109375" style="56" bestFit="1" customWidth="1"/>
    <col min="7" max="16384" width="9.140625" style="56"/>
  </cols>
  <sheetData>
    <row r="1" spans="1:6" ht="15.75" thickTop="1" x14ac:dyDescent="0.25">
      <c r="A1" s="113" t="s">
        <v>48</v>
      </c>
      <c r="B1" s="114"/>
      <c r="C1" s="114"/>
      <c r="D1" s="114"/>
      <c r="E1" s="114"/>
      <c r="F1" s="117"/>
    </row>
    <row r="2" spans="1:6" ht="7.5" customHeight="1" x14ac:dyDescent="0.2">
      <c r="A2" s="115"/>
      <c r="B2" s="116"/>
      <c r="C2" s="116"/>
      <c r="D2" s="116"/>
      <c r="E2" s="116"/>
      <c r="F2" s="117"/>
    </row>
    <row r="3" spans="1:6" x14ac:dyDescent="0.2">
      <c r="A3" s="288" t="s">
        <v>49</v>
      </c>
      <c r="B3" s="135">
        <f>IF('prijem - EUR'!F49&gt;0,'prijem - EUR'!F49,vyska_uveru_z)</f>
        <v>0</v>
      </c>
      <c r="C3" s="117"/>
      <c r="D3" s="116"/>
      <c r="E3" s="116"/>
      <c r="F3" s="117"/>
    </row>
    <row r="4" spans="1:6" x14ac:dyDescent="0.2">
      <c r="A4" s="288" t="s">
        <v>50</v>
      </c>
      <c r="B4" s="136">
        <f>IF(urokova_sadzba&gt;0,urokova_sadzba,urokova_sadzba_z)</f>
        <v>0</v>
      </c>
      <c r="C4" s="116"/>
      <c r="D4" s="117"/>
      <c r="E4" s="116"/>
      <c r="F4" s="117"/>
    </row>
    <row r="5" spans="1:6" x14ac:dyDescent="0.2">
      <c r="A5" s="288" t="s">
        <v>51</v>
      </c>
      <c r="B5" s="137">
        <f>IF(doba_m&gt;0,doba_m,doba_m_z)</f>
        <v>0</v>
      </c>
      <c r="C5" s="118">
        <f>SUM(B4/12)</f>
        <v>0</v>
      </c>
      <c r="D5" s="119" t="e">
        <f>PMT(C5,B5,-B3)</f>
        <v>#NUM!</v>
      </c>
      <c r="E5" s="116"/>
      <c r="F5" s="117"/>
    </row>
    <row r="6" spans="1:6" x14ac:dyDescent="0.2">
      <c r="A6" s="120"/>
      <c r="B6" s="121"/>
      <c r="C6" s="116"/>
      <c r="D6" s="116"/>
      <c r="E6" s="116"/>
      <c r="F6" s="117"/>
    </row>
    <row r="7" spans="1:6" s="122" customFormat="1" ht="24" customHeight="1" x14ac:dyDescent="0.2">
      <c r="A7" s="488" t="s">
        <v>52</v>
      </c>
      <c r="B7" s="489"/>
      <c r="C7" s="489"/>
      <c r="D7" s="489"/>
      <c r="E7" s="489"/>
      <c r="F7" s="489"/>
    </row>
    <row r="8" spans="1:6" s="122" customFormat="1" ht="7.5" customHeight="1" thickBot="1" x14ac:dyDescent="0.25">
      <c r="A8" s="123"/>
      <c r="B8" s="125"/>
      <c r="C8" s="124"/>
      <c r="D8" s="124"/>
      <c r="E8" s="124"/>
      <c r="F8" s="116"/>
    </row>
    <row r="9" spans="1:6" ht="13.5" thickTop="1" x14ac:dyDescent="0.2">
      <c r="A9" s="126" t="s">
        <v>53</v>
      </c>
      <c r="B9" s="127" t="s">
        <v>54</v>
      </c>
      <c r="C9" s="127" t="s">
        <v>55</v>
      </c>
      <c r="D9" s="127" t="s">
        <v>56</v>
      </c>
      <c r="E9" s="127" t="s">
        <v>57</v>
      </c>
      <c r="F9" s="127" t="s">
        <v>173</v>
      </c>
    </row>
    <row r="10" spans="1:6" x14ac:dyDescent="0.2">
      <c r="A10" s="128"/>
      <c r="B10" s="129" t="s">
        <v>58</v>
      </c>
      <c r="C10" s="129" t="s">
        <v>58</v>
      </c>
      <c r="D10" s="129" t="s">
        <v>58</v>
      </c>
      <c r="E10" s="129" t="s">
        <v>58</v>
      </c>
      <c r="F10" s="129" t="s">
        <v>58</v>
      </c>
    </row>
    <row r="11" spans="1:6" x14ac:dyDescent="0.2">
      <c r="A11" s="78"/>
      <c r="B11" s="79"/>
      <c r="C11" s="79"/>
      <c r="D11" s="79"/>
      <c r="E11" s="80">
        <f>SUM(B3)</f>
        <v>0</v>
      </c>
      <c r="F11" s="80"/>
    </row>
    <row r="12" spans="1:6" x14ac:dyDescent="0.2">
      <c r="A12" s="81">
        <v>1</v>
      </c>
      <c r="B12" s="80" t="e">
        <f t="shared" ref="B12:B75" si="0">PPMT(C$5,A12,B$5,-E$11)</f>
        <v>#NUM!</v>
      </c>
      <c r="C12" s="80" t="e">
        <f t="shared" ref="C12:C75" si="1">IPMT(C$5,A12,B$5,-E$11)</f>
        <v>#NUM!</v>
      </c>
      <c r="D12" s="80" t="e">
        <f t="shared" ref="D12:D75" si="2">SUM($D$5)</f>
        <v>#NUM!</v>
      </c>
      <c r="E12" s="80" t="e">
        <f t="shared" ref="E12:E75" si="3">PV(C$5,B$5-A12,-D$12)</f>
        <v>#NUM!</v>
      </c>
      <c r="F12" s="80"/>
    </row>
    <row r="13" spans="1:6" x14ac:dyDescent="0.2">
      <c r="A13" s="81">
        <v>2</v>
      </c>
      <c r="B13" s="80" t="e">
        <f t="shared" si="0"/>
        <v>#NUM!</v>
      </c>
      <c r="C13" s="80" t="e">
        <f t="shared" si="1"/>
        <v>#NUM!</v>
      </c>
      <c r="D13" s="80" t="e">
        <f t="shared" si="2"/>
        <v>#NUM!</v>
      </c>
      <c r="E13" s="80" t="e">
        <f t="shared" si="3"/>
        <v>#NUM!</v>
      </c>
      <c r="F13" s="80"/>
    </row>
    <row r="14" spans="1:6" x14ac:dyDescent="0.2">
      <c r="A14" s="81">
        <v>3</v>
      </c>
      <c r="B14" s="80" t="e">
        <f t="shared" si="0"/>
        <v>#NUM!</v>
      </c>
      <c r="C14" s="80" t="e">
        <f t="shared" si="1"/>
        <v>#NUM!</v>
      </c>
      <c r="D14" s="80" t="e">
        <f t="shared" si="2"/>
        <v>#NUM!</v>
      </c>
      <c r="E14" s="80" t="e">
        <f t="shared" si="3"/>
        <v>#NUM!</v>
      </c>
      <c r="F14" s="80"/>
    </row>
    <row r="15" spans="1:6" x14ac:dyDescent="0.2">
      <c r="A15" s="81">
        <v>4</v>
      </c>
      <c r="B15" s="80" t="e">
        <f t="shared" si="0"/>
        <v>#NUM!</v>
      </c>
      <c r="C15" s="80" t="e">
        <f t="shared" si="1"/>
        <v>#NUM!</v>
      </c>
      <c r="D15" s="80" t="e">
        <f t="shared" si="2"/>
        <v>#NUM!</v>
      </c>
      <c r="E15" s="80" t="e">
        <f t="shared" si="3"/>
        <v>#NUM!</v>
      </c>
      <c r="F15" s="80"/>
    </row>
    <row r="16" spans="1:6" x14ac:dyDescent="0.2">
      <c r="A16" s="81">
        <v>5</v>
      </c>
      <c r="B16" s="80" t="e">
        <f t="shared" si="0"/>
        <v>#NUM!</v>
      </c>
      <c r="C16" s="80" t="e">
        <f t="shared" si="1"/>
        <v>#NUM!</v>
      </c>
      <c r="D16" s="80" t="e">
        <f t="shared" si="2"/>
        <v>#NUM!</v>
      </c>
      <c r="E16" s="80" t="e">
        <f t="shared" si="3"/>
        <v>#NUM!</v>
      </c>
      <c r="F16" s="80"/>
    </row>
    <row r="17" spans="1:6" x14ac:dyDescent="0.2">
      <c r="A17" s="81">
        <v>6</v>
      </c>
      <c r="B17" s="80" t="e">
        <f t="shared" si="0"/>
        <v>#NUM!</v>
      </c>
      <c r="C17" s="80" t="e">
        <f t="shared" si="1"/>
        <v>#NUM!</v>
      </c>
      <c r="D17" s="80" t="e">
        <f t="shared" si="2"/>
        <v>#NUM!</v>
      </c>
      <c r="E17" s="80" t="e">
        <f t="shared" si="3"/>
        <v>#NUM!</v>
      </c>
      <c r="F17" s="80"/>
    </row>
    <row r="18" spans="1:6" x14ac:dyDescent="0.2">
      <c r="A18" s="81">
        <v>7</v>
      </c>
      <c r="B18" s="80" t="e">
        <f t="shared" si="0"/>
        <v>#NUM!</v>
      </c>
      <c r="C18" s="80" t="e">
        <f t="shared" si="1"/>
        <v>#NUM!</v>
      </c>
      <c r="D18" s="80" t="e">
        <f t="shared" si="2"/>
        <v>#NUM!</v>
      </c>
      <c r="E18" s="80" t="e">
        <f t="shared" si="3"/>
        <v>#NUM!</v>
      </c>
      <c r="F18" s="80"/>
    </row>
    <row r="19" spans="1:6" x14ac:dyDescent="0.2">
      <c r="A19" s="81">
        <v>8</v>
      </c>
      <c r="B19" s="80" t="e">
        <f t="shared" si="0"/>
        <v>#NUM!</v>
      </c>
      <c r="C19" s="80" t="e">
        <f t="shared" si="1"/>
        <v>#NUM!</v>
      </c>
      <c r="D19" s="80" t="e">
        <f t="shared" si="2"/>
        <v>#NUM!</v>
      </c>
      <c r="E19" s="80" t="e">
        <f t="shared" si="3"/>
        <v>#NUM!</v>
      </c>
      <c r="F19" s="80"/>
    </row>
    <row r="20" spans="1:6" x14ac:dyDescent="0.2">
      <c r="A20" s="81">
        <v>9</v>
      </c>
      <c r="B20" s="80" t="e">
        <f t="shared" si="0"/>
        <v>#NUM!</v>
      </c>
      <c r="C20" s="80" t="e">
        <f t="shared" si="1"/>
        <v>#NUM!</v>
      </c>
      <c r="D20" s="80" t="e">
        <f t="shared" si="2"/>
        <v>#NUM!</v>
      </c>
      <c r="E20" s="80" t="e">
        <f t="shared" si="3"/>
        <v>#NUM!</v>
      </c>
      <c r="F20" s="80"/>
    </row>
    <row r="21" spans="1:6" x14ac:dyDescent="0.2">
      <c r="A21" s="81">
        <v>10</v>
      </c>
      <c r="B21" s="80" t="e">
        <f t="shared" si="0"/>
        <v>#NUM!</v>
      </c>
      <c r="C21" s="80" t="e">
        <f t="shared" si="1"/>
        <v>#NUM!</v>
      </c>
      <c r="D21" s="80" t="e">
        <f t="shared" si="2"/>
        <v>#NUM!</v>
      </c>
      <c r="E21" s="80" t="e">
        <f t="shared" si="3"/>
        <v>#NUM!</v>
      </c>
      <c r="F21" s="80"/>
    </row>
    <row r="22" spans="1:6" x14ac:dyDescent="0.2">
      <c r="A22" s="81">
        <v>11</v>
      </c>
      <c r="B22" s="80" t="e">
        <f t="shared" si="0"/>
        <v>#NUM!</v>
      </c>
      <c r="C22" s="80" t="e">
        <f t="shared" si="1"/>
        <v>#NUM!</v>
      </c>
      <c r="D22" s="80" t="e">
        <f t="shared" si="2"/>
        <v>#NUM!</v>
      </c>
      <c r="E22" s="80" t="e">
        <f t="shared" si="3"/>
        <v>#NUM!</v>
      </c>
      <c r="F22" s="80"/>
    </row>
    <row r="23" spans="1:6" x14ac:dyDescent="0.2">
      <c r="A23" s="81">
        <v>12</v>
      </c>
      <c r="B23" s="80" t="e">
        <f t="shared" si="0"/>
        <v>#NUM!</v>
      </c>
      <c r="C23" s="80" t="e">
        <f t="shared" si="1"/>
        <v>#NUM!</v>
      </c>
      <c r="D23" s="80" t="e">
        <f t="shared" si="2"/>
        <v>#NUM!</v>
      </c>
      <c r="E23" s="80" t="e">
        <f t="shared" si="3"/>
        <v>#NUM!</v>
      </c>
      <c r="F23" s="80"/>
    </row>
    <row r="24" spans="1:6" x14ac:dyDescent="0.2">
      <c r="A24" s="81">
        <v>13</v>
      </c>
      <c r="B24" s="80" t="e">
        <f t="shared" si="0"/>
        <v>#NUM!</v>
      </c>
      <c r="C24" s="80" t="e">
        <f t="shared" si="1"/>
        <v>#NUM!</v>
      </c>
      <c r="D24" s="80" t="e">
        <f t="shared" si="2"/>
        <v>#NUM!</v>
      </c>
      <c r="E24" s="80" t="e">
        <f t="shared" si="3"/>
        <v>#NUM!</v>
      </c>
      <c r="F24" s="80"/>
    </row>
    <row r="25" spans="1:6" x14ac:dyDescent="0.2">
      <c r="A25" s="81">
        <v>14</v>
      </c>
      <c r="B25" s="80" t="e">
        <f t="shared" si="0"/>
        <v>#NUM!</v>
      </c>
      <c r="C25" s="80" t="e">
        <f t="shared" si="1"/>
        <v>#NUM!</v>
      </c>
      <c r="D25" s="80" t="e">
        <f t="shared" si="2"/>
        <v>#NUM!</v>
      </c>
      <c r="E25" s="80" t="e">
        <f t="shared" si="3"/>
        <v>#NUM!</v>
      </c>
      <c r="F25" s="80"/>
    </row>
    <row r="26" spans="1:6" x14ac:dyDescent="0.2">
      <c r="A26" s="81">
        <v>15</v>
      </c>
      <c r="B26" s="80" t="e">
        <f t="shared" si="0"/>
        <v>#NUM!</v>
      </c>
      <c r="C26" s="80" t="e">
        <f t="shared" si="1"/>
        <v>#NUM!</v>
      </c>
      <c r="D26" s="80" t="e">
        <f t="shared" si="2"/>
        <v>#NUM!</v>
      </c>
      <c r="E26" s="80" t="e">
        <f t="shared" si="3"/>
        <v>#NUM!</v>
      </c>
      <c r="F26" s="80"/>
    </row>
    <row r="27" spans="1:6" x14ac:dyDescent="0.2">
      <c r="A27" s="81">
        <v>16</v>
      </c>
      <c r="B27" s="80" t="e">
        <f t="shared" si="0"/>
        <v>#NUM!</v>
      </c>
      <c r="C27" s="80" t="e">
        <f t="shared" si="1"/>
        <v>#NUM!</v>
      </c>
      <c r="D27" s="80" t="e">
        <f t="shared" si="2"/>
        <v>#NUM!</v>
      </c>
      <c r="E27" s="80" t="e">
        <f t="shared" si="3"/>
        <v>#NUM!</v>
      </c>
      <c r="F27" s="80"/>
    </row>
    <row r="28" spans="1:6" x14ac:dyDescent="0.2">
      <c r="A28" s="81">
        <v>17</v>
      </c>
      <c r="B28" s="80" t="e">
        <f t="shared" si="0"/>
        <v>#NUM!</v>
      </c>
      <c r="C28" s="80" t="e">
        <f t="shared" si="1"/>
        <v>#NUM!</v>
      </c>
      <c r="D28" s="80" t="e">
        <f t="shared" si="2"/>
        <v>#NUM!</v>
      </c>
      <c r="E28" s="80" t="e">
        <f t="shared" si="3"/>
        <v>#NUM!</v>
      </c>
      <c r="F28" s="80"/>
    </row>
    <row r="29" spans="1:6" x14ac:dyDescent="0.2">
      <c r="A29" s="81">
        <v>18</v>
      </c>
      <c r="B29" s="80" t="e">
        <f t="shared" si="0"/>
        <v>#NUM!</v>
      </c>
      <c r="C29" s="80" t="e">
        <f t="shared" si="1"/>
        <v>#NUM!</v>
      </c>
      <c r="D29" s="80" t="e">
        <f t="shared" si="2"/>
        <v>#NUM!</v>
      </c>
      <c r="E29" s="80" t="e">
        <f t="shared" si="3"/>
        <v>#NUM!</v>
      </c>
      <c r="F29" s="80"/>
    </row>
    <row r="30" spans="1:6" x14ac:dyDescent="0.2">
      <c r="A30" s="81">
        <v>19</v>
      </c>
      <c r="B30" s="80" t="e">
        <f t="shared" si="0"/>
        <v>#NUM!</v>
      </c>
      <c r="C30" s="80" t="e">
        <f t="shared" si="1"/>
        <v>#NUM!</v>
      </c>
      <c r="D30" s="80" t="e">
        <f t="shared" si="2"/>
        <v>#NUM!</v>
      </c>
      <c r="E30" s="80" t="e">
        <f t="shared" si="3"/>
        <v>#NUM!</v>
      </c>
      <c r="F30" s="80"/>
    </row>
    <row r="31" spans="1:6" x14ac:dyDescent="0.2">
      <c r="A31" s="81">
        <v>20</v>
      </c>
      <c r="B31" s="80" t="e">
        <f t="shared" si="0"/>
        <v>#NUM!</v>
      </c>
      <c r="C31" s="80" t="e">
        <f t="shared" si="1"/>
        <v>#NUM!</v>
      </c>
      <c r="D31" s="80" t="e">
        <f t="shared" si="2"/>
        <v>#NUM!</v>
      </c>
      <c r="E31" s="80" t="e">
        <f t="shared" si="3"/>
        <v>#NUM!</v>
      </c>
      <c r="F31" s="80"/>
    </row>
    <row r="32" spans="1:6" x14ac:dyDescent="0.2">
      <c r="A32" s="81">
        <v>21</v>
      </c>
      <c r="B32" s="80" t="e">
        <f t="shared" si="0"/>
        <v>#NUM!</v>
      </c>
      <c r="C32" s="80" t="e">
        <f t="shared" si="1"/>
        <v>#NUM!</v>
      </c>
      <c r="D32" s="80" t="e">
        <f t="shared" si="2"/>
        <v>#NUM!</v>
      </c>
      <c r="E32" s="80" t="e">
        <f t="shared" si="3"/>
        <v>#NUM!</v>
      </c>
      <c r="F32" s="80"/>
    </row>
    <row r="33" spans="1:6" x14ac:dyDescent="0.2">
      <c r="A33" s="81">
        <v>22</v>
      </c>
      <c r="B33" s="80" t="e">
        <f t="shared" si="0"/>
        <v>#NUM!</v>
      </c>
      <c r="C33" s="80" t="e">
        <f t="shared" si="1"/>
        <v>#NUM!</v>
      </c>
      <c r="D33" s="80" t="e">
        <f t="shared" si="2"/>
        <v>#NUM!</v>
      </c>
      <c r="E33" s="80" t="e">
        <f t="shared" si="3"/>
        <v>#NUM!</v>
      </c>
      <c r="F33" s="80"/>
    </row>
    <row r="34" spans="1:6" x14ac:dyDescent="0.2">
      <c r="A34" s="81">
        <v>23</v>
      </c>
      <c r="B34" s="80" t="e">
        <f t="shared" si="0"/>
        <v>#NUM!</v>
      </c>
      <c r="C34" s="80" t="e">
        <f t="shared" si="1"/>
        <v>#NUM!</v>
      </c>
      <c r="D34" s="80" t="e">
        <f t="shared" si="2"/>
        <v>#NUM!</v>
      </c>
      <c r="E34" s="80" t="e">
        <f t="shared" si="3"/>
        <v>#NUM!</v>
      </c>
      <c r="F34" s="80"/>
    </row>
    <row r="35" spans="1:6" x14ac:dyDescent="0.2">
      <c r="A35" s="81">
        <v>24</v>
      </c>
      <c r="B35" s="80" t="e">
        <f t="shared" si="0"/>
        <v>#NUM!</v>
      </c>
      <c r="C35" s="80" t="e">
        <f t="shared" si="1"/>
        <v>#NUM!</v>
      </c>
      <c r="D35" s="80" t="e">
        <f t="shared" si="2"/>
        <v>#NUM!</v>
      </c>
      <c r="E35" s="80" t="e">
        <f t="shared" si="3"/>
        <v>#NUM!</v>
      </c>
      <c r="F35" s="80"/>
    </row>
    <row r="36" spans="1:6" x14ac:dyDescent="0.2">
      <c r="A36" s="81">
        <v>25</v>
      </c>
      <c r="B36" s="80" t="e">
        <f t="shared" si="0"/>
        <v>#NUM!</v>
      </c>
      <c r="C36" s="80" t="e">
        <f t="shared" si="1"/>
        <v>#NUM!</v>
      </c>
      <c r="D36" s="80" t="e">
        <f t="shared" si="2"/>
        <v>#NUM!</v>
      </c>
      <c r="E36" s="80" t="e">
        <f t="shared" si="3"/>
        <v>#NUM!</v>
      </c>
      <c r="F36" s="80" t="e">
        <f>E36*0.00025</f>
        <v>#NUM!</v>
      </c>
    </row>
    <row r="37" spans="1:6" x14ac:dyDescent="0.2">
      <c r="A37" s="81">
        <v>26</v>
      </c>
      <c r="B37" s="80" t="e">
        <f t="shared" si="0"/>
        <v>#NUM!</v>
      </c>
      <c r="C37" s="80" t="e">
        <f t="shared" si="1"/>
        <v>#NUM!</v>
      </c>
      <c r="D37" s="80" t="e">
        <f t="shared" si="2"/>
        <v>#NUM!</v>
      </c>
      <c r="E37" s="80" t="e">
        <f t="shared" si="3"/>
        <v>#NUM!</v>
      </c>
      <c r="F37" s="80" t="e">
        <f t="shared" ref="F37:F100" si="4">E37*0.00025</f>
        <v>#NUM!</v>
      </c>
    </row>
    <row r="38" spans="1:6" x14ac:dyDescent="0.2">
      <c r="A38" s="81">
        <v>27</v>
      </c>
      <c r="B38" s="80" t="e">
        <f t="shared" si="0"/>
        <v>#NUM!</v>
      </c>
      <c r="C38" s="80" t="e">
        <f t="shared" si="1"/>
        <v>#NUM!</v>
      </c>
      <c r="D38" s="80" t="e">
        <f t="shared" si="2"/>
        <v>#NUM!</v>
      </c>
      <c r="E38" s="80" t="e">
        <f t="shared" si="3"/>
        <v>#NUM!</v>
      </c>
      <c r="F38" s="80" t="e">
        <f t="shared" si="4"/>
        <v>#NUM!</v>
      </c>
    </row>
    <row r="39" spans="1:6" x14ac:dyDescent="0.2">
      <c r="A39" s="81">
        <v>28</v>
      </c>
      <c r="B39" s="80" t="e">
        <f t="shared" si="0"/>
        <v>#NUM!</v>
      </c>
      <c r="C39" s="80" t="e">
        <f t="shared" si="1"/>
        <v>#NUM!</v>
      </c>
      <c r="D39" s="80" t="e">
        <f t="shared" si="2"/>
        <v>#NUM!</v>
      </c>
      <c r="E39" s="80" t="e">
        <f t="shared" si="3"/>
        <v>#NUM!</v>
      </c>
      <c r="F39" s="80" t="e">
        <f t="shared" si="4"/>
        <v>#NUM!</v>
      </c>
    </row>
    <row r="40" spans="1:6" x14ac:dyDescent="0.2">
      <c r="A40" s="81">
        <v>29</v>
      </c>
      <c r="B40" s="80" t="e">
        <f t="shared" si="0"/>
        <v>#NUM!</v>
      </c>
      <c r="C40" s="80" t="e">
        <f t="shared" si="1"/>
        <v>#NUM!</v>
      </c>
      <c r="D40" s="80" t="e">
        <f t="shared" si="2"/>
        <v>#NUM!</v>
      </c>
      <c r="E40" s="80" t="e">
        <f t="shared" si="3"/>
        <v>#NUM!</v>
      </c>
      <c r="F40" s="80" t="e">
        <f t="shared" si="4"/>
        <v>#NUM!</v>
      </c>
    </row>
    <row r="41" spans="1:6" x14ac:dyDescent="0.2">
      <c r="A41" s="81">
        <v>30</v>
      </c>
      <c r="B41" s="80" t="e">
        <f t="shared" si="0"/>
        <v>#NUM!</v>
      </c>
      <c r="C41" s="80" t="e">
        <f t="shared" si="1"/>
        <v>#NUM!</v>
      </c>
      <c r="D41" s="80" t="e">
        <f t="shared" si="2"/>
        <v>#NUM!</v>
      </c>
      <c r="E41" s="80" t="e">
        <f t="shared" si="3"/>
        <v>#NUM!</v>
      </c>
      <c r="F41" s="80" t="e">
        <f t="shared" si="4"/>
        <v>#NUM!</v>
      </c>
    </row>
    <row r="42" spans="1:6" x14ac:dyDescent="0.2">
      <c r="A42" s="81">
        <v>31</v>
      </c>
      <c r="B42" s="80" t="e">
        <f t="shared" si="0"/>
        <v>#NUM!</v>
      </c>
      <c r="C42" s="80" t="e">
        <f t="shared" si="1"/>
        <v>#NUM!</v>
      </c>
      <c r="D42" s="80" t="e">
        <f t="shared" si="2"/>
        <v>#NUM!</v>
      </c>
      <c r="E42" s="80" t="e">
        <f t="shared" si="3"/>
        <v>#NUM!</v>
      </c>
      <c r="F42" s="80" t="e">
        <f t="shared" si="4"/>
        <v>#NUM!</v>
      </c>
    </row>
    <row r="43" spans="1:6" x14ac:dyDescent="0.2">
      <c r="A43" s="81">
        <v>32</v>
      </c>
      <c r="B43" s="80" t="e">
        <f t="shared" si="0"/>
        <v>#NUM!</v>
      </c>
      <c r="C43" s="80" t="e">
        <f t="shared" si="1"/>
        <v>#NUM!</v>
      </c>
      <c r="D43" s="80" t="e">
        <f t="shared" si="2"/>
        <v>#NUM!</v>
      </c>
      <c r="E43" s="80" t="e">
        <f t="shared" si="3"/>
        <v>#NUM!</v>
      </c>
      <c r="F43" s="80" t="e">
        <f t="shared" si="4"/>
        <v>#NUM!</v>
      </c>
    </row>
    <row r="44" spans="1:6" x14ac:dyDescent="0.2">
      <c r="A44" s="81">
        <v>33</v>
      </c>
      <c r="B44" s="80" t="e">
        <f t="shared" si="0"/>
        <v>#NUM!</v>
      </c>
      <c r="C44" s="80" t="e">
        <f t="shared" si="1"/>
        <v>#NUM!</v>
      </c>
      <c r="D44" s="80" t="e">
        <f t="shared" si="2"/>
        <v>#NUM!</v>
      </c>
      <c r="E44" s="80" t="e">
        <f t="shared" si="3"/>
        <v>#NUM!</v>
      </c>
      <c r="F44" s="80" t="e">
        <f t="shared" si="4"/>
        <v>#NUM!</v>
      </c>
    </row>
    <row r="45" spans="1:6" x14ac:dyDescent="0.2">
      <c r="A45" s="81">
        <v>34</v>
      </c>
      <c r="B45" s="80" t="e">
        <f t="shared" si="0"/>
        <v>#NUM!</v>
      </c>
      <c r="C45" s="80" t="e">
        <f t="shared" si="1"/>
        <v>#NUM!</v>
      </c>
      <c r="D45" s="80" t="e">
        <f t="shared" si="2"/>
        <v>#NUM!</v>
      </c>
      <c r="E45" s="80" t="e">
        <f t="shared" si="3"/>
        <v>#NUM!</v>
      </c>
      <c r="F45" s="80" t="e">
        <f t="shared" si="4"/>
        <v>#NUM!</v>
      </c>
    </row>
    <row r="46" spans="1:6" x14ac:dyDescent="0.2">
      <c r="A46" s="81">
        <v>35</v>
      </c>
      <c r="B46" s="80" t="e">
        <f t="shared" si="0"/>
        <v>#NUM!</v>
      </c>
      <c r="C46" s="80" t="e">
        <f t="shared" si="1"/>
        <v>#NUM!</v>
      </c>
      <c r="D46" s="80" t="e">
        <f t="shared" si="2"/>
        <v>#NUM!</v>
      </c>
      <c r="E46" s="80" t="e">
        <f t="shared" si="3"/>
        <v>#NUM!</v>
      </c>
      <c r="F46" s="80" t="e">
        <f t="shared" si="4"/>
        <v>#NUM!</v>
      </c>
    </row>
    <row r="47" spans="1:6" x14ac:dyDescent="0.2">
      <c r="A47" s="81">
        <v>36</v>
      </c>
      <c r="B47" s="80" t="e">
        <f t="shared" si="0"/>
        <v>#NUM!</v>
      </c>
      <c r="C47" s="80" t="e">
        <f t="shared" si="1"/>
        <v>#NUM!</v>
      </c>
      <c r="D47" s="80" t="e">
        <f t="shared" si="2"/>
        <v>#NUM!</v>
      </c>
      <c r="E47" s="80" t="e">
        <f t="shared" si="3"/>
        <v>#NUM!</v>
      </c>
      <c r="F47" s="80" t="e">
        <f t="shared" si="4"/>
        <v>#NUM!</v>
      </c>
    </row>
    <row r="48" spans="1:6" x14ac:dyDescent="0.2">
      <c r="A48" s="81">
        <v>37</v>
      </c>
      <c r="B48" s="80" t="e">
        <f t="shared" si="0"/>
        <v>#NUM!</v>
      </c>
      <c r="C48" s="80" t="e">
        <f t="shared" si="1"/>
        <v>#NUM!</v>
      </c>
      <c r="D48" s="80" t="e">
        <f t="shared" si="2"/>
        <v>#NUM!</v>
      </c>
      <c r="E48" s="80" t="e">
        <f t="shared" si="3"/>
        <v>#NUM!</v>
      </c>
      <c r="F48" s="80" t="e">
        <f t="shared" si="4"/>
        <v>#NUM!</v>
      </c>
    </row>
    <row r="49" spans="1:6" x14ac:dyDescent="0.2">
      <c r="A49" s="81">
        <v>38</v>
      </c>
      <c r="B49" s="80" t="e">
        <f t="shared" si="0"/>
        <v>#NUM!</v>
      </c>
      <c r="C49" s="80" t="e">
        <f t="shared" si="1"/>
        <v>#NUM!</v>
      </c>
      <c r="D49" s="80" t="e">
        <f t="shared" si="2"/>
        <v>#NUM!</v>
      </c>
      <c r="E49" s="80" t="e">
        <f t="shared" si="3"/>
        <v>#NUM!</v>
      </c>
      <c r="F49" s="80" t="e">
        <f t="shared" si="4"/>
        <v>#NUM!</v>
      </c>
    </row>
    <row r="50" spans="1:6" x14ac:dyDescent="0.2">
      <c r="A50" s="81">
        <v>39</v>
      </c>
      <c r="B50" s="80" t="e">
        <f t="shared" si="0"/>
        <v>#NUM!</v>
      </c>
      <c r="C50" s="80" t="e">
        <f t="shared" si="1"/>
        <v>#NUM!</v>
      </c>
      <c r="D50" s="80" t="e">
        <f t="shared" si="2"/>
        <v>#NUM!</v>
      </c>
      <c r="E50" s="80" t="e">
        <f t="shared" si="3"/>
        <v>#NUM!</v>
      </c>
      <c r="F50" s="80" t="e">
        <f t="shared" si="4"/>
        <v>#NUM!</v>
      </c>
    </row>
    <row r="51" spans="1:6" x14ac:dyDescent="0.2">
      <c r="A51" s="81">
        <v>40</v>
      </c>
      <c r="B51" s="80" t="e">
        <f t="shared" si="0"/>
        <v>#NUM!</v>
      </c>
      <c r="C51" s="80" t="e">
        <f t="shared" si="1"/>
        <v>#NUM!</v>
      </c>
      <c r="D51" s="80" t="e">
        <f t="shared" si="2"/>
        <v>#NUM!</v>
      </c>
      <c r="E51" s="80" t="e">
        <f t="shared" si="3"/>
        <v>#NUM!</v>
      </c>
      <c r="F51" s="80" t="e">
        <f t="shared" si="4"/>
        <v>#NUM!</v>
      </c>
    </row>
    <row r="52" spans="1:6" x14ac:dyDescent="0.2">
      <c r="A52" s="81">
        <v>41</v>
      </c>
      <c r="B52" s="80" t="e">
        <f t="shared" si="0"/>
        <v>#NUM!</v>
      </c>
      <c r="C52" s="80" t="e">
        <f t="shared" si="1"/>
        <v>#NUM!</v>
      </c>
      <c r="D52" s="80" t="e">
        <f t="shared" si="2"/>
        <v>#NUM!</v>
      </c>
      <c r="E52" s="80" t="e">
        <f t="shared" si="3"/>
        <v>#NUM!</v>
      </c>
      <c r="F52" s="80" t="e">
        <f t="shared" si="4"/>
        <v>#NUM!</v>
      </c>
    </row>
    <row r="53" spans="1:6" x14ac:dyDescent="0.2">
      <c r="A53" s="81">
        <v>42</v>
      </c>
      <c r="B53" s="80" t="e">
        <f t="shared" si="0"/>
        <v>#NUM!</v>
      </c>
      <c r="C53" s="80" t="e">
        <f t="shared" si="1"/>
        <v>#NUM!</v>
      </c>
      <c r="D53" s="80" t="e">
        <f t="shared" si="2"/>
        <v>#NUM!</v>
      </c>
      <c r="E53" s="80" t="e">
        <f t="shared" si="3"/>
        <v>#NUM!</v>
      </c>
      <c r="F53" s="80" t="e">
        <f t="shared" si="4"/>
        <v>#NUM!</v>
      </c>
    </row>
    <row r="54" spans="1:6" x14ac:dyDescent="0.2">
      <c r="A54" s="81">
        <v>43</v>
      </c>
      <c r="B54" s="80" t="e">
        <f t="shared" si="0"/>
        <v>#NUM!</v>
      </c>
      <c r="C54" s="80" t="e">
        <f t="shared" si="1"/>
        <v>#NUM!</v>
      </c>
      <c r="D54" s="80" t="e">
        <f t="shared" si="2"/>
        <v>#NUM!</v>
      </c>
      <c r="E54" s="80" t="e">
        <f t="shared" si="3"/>
        <v>#NUM!</v>
      </c>
      <c r="F54" s="80" t="e">
        <f t="shared" si="4"/>
        <v>#NUM!</v>
      </c>
    </row>
    <row r="55" spans="1:6" x14ac:dyDescent="0.2">
      <c r="A55" s="81">
        <v>44</v>
      </c>
      <c r="B55" s="80" t="e">
        <f t="shared" si="0"/>
        <v>#NUM!</v>
      </c>
      <c r="C55" s="80" t="e">
        <f t="shared" si="1"/>
        <v>#NUM!</v>
      </c>
      <c r="D55" s="80" t="e">
        <f t="shared" si="2"/>
        <v>#NUM!</v>
      </c>
      <c r="E55" s="80" t="e">
        <f t="shared" si="3"/>
        <v>#NUM!</v>
      </c>
      <c r="F55" s="80" t="e">
        <f t="shared" si="4"/>
        <v>#NUM!</v>
      </c>
    </row>
    <row r="56" spans="1:6" x14ac:dyDescent="0.2">
      <c r="A56" s="81">
        <v>45</v>
      </c>
      <c r="B56" s="80" t="e">
        <f t="shared" si="0"/>
        <v>#NUM!</v>
      </c>
      <c r="C56" s="80" t="e">
        <f t="shared" si="1"/>
        <v>#NUM!</v>
      </c>
      <c r="D56" s="80" t="e">
        <f t="shared" si="2"/>
        <v>#NUM!</v>
      </c>
      <c r="E56" s="80" t="e">
        <f t="shared" si="3"/>
        <v>#NUM!</v>
      </c>
      <c r="F56" s="80" t="e">
        <f t="shared" si="4"/>
        <v>#NUM!</v>
      </c>
    </row>
    <row r="57" spans="1:6" x14ac:dyDescent="0.2">
      <c r="A57" s="81">
        <v>46</v>
      </c>
      <c r="B57" s="80" t="e">
        <f t="shared" si="0"/>
        <v>#NUM!</v>
      </c>
      <c r="C57" s="80" t="e">
        <f t="shared" si="1"/>
        <v>#NUM!</v>
      </c>
      <c r="D57" s="80" t="e">
        <f t="shared" si="2"/>
        <v>#NUM!</v>
      </c>
      <c r="E57" s="80" t="e">
        <f t="shared" si="3"/>
        <v>#NUM!</v>
      </c>
      <c r="F57" s="80" t="e">
        <f t="shared" si="4"/>
        <v>#NUM!</v>
      </c>
    </row>
    <row r="58" spans="1:6" x14ac:dyDescent="0.2">
      <c r="A58" s="81">
        <v>47</v>
      </c>
      <c r="B58" s="80" t="e">
        <f t="shared" si="0"/>
        <v>#NUM!</v>
      </c>
      <c r="C58" s="80" t="e">
        <f t="shared" si="1"/>
        <v>#NUM!</v>
      </c>
      <c r="D58" s="80" t="e">
        <f t="shared" si="2"/>
        <v>#NUM!</v>
      </c>
      <c r="E58" s="80" t="e">
        <f t="shared" si="3"/>
        <v>#NUM!</v>
      </c>
      <c r="F58" s="80" t="e">
        <f t="shared" si="4"/>
        <v>#NUM!</v>
      </c>
    </row>
    <row r="59" spans="1:6" x14ac:dyDescent="0.2">
      <c r="A59" s="81">
        <v>48</v>
      </c>
      <c r="B59" s="80" t="e">
        <f t="shared" si="0"/>
        <v>#NUM!</v>
      </c>
      <c r="C59" s="80" t="e">
        <f t="shared" si="1"/>
        <v>#NUM!</v>
      </c>
      <c r="D59" s="80" t="e">
        <f t="shared" si="2"/>
        <v>#NUM!</v>
      </c>
      <c r="E59" s="80" t="e">
        <f t="shared" si="3"/>
        <v>#NUM!</v>
      </c>
      <c r="F59" s="80" t="e">
        <f t="shared" si="4"/>
        <v>#NUM!</v>
      </c>
    </row>
    <row r="60" spans="1:6" x14ac:dyDescent="0.2">
      <c r="A60" s="81">
        <v>49</v>
      </c>
      <c r="B60" s="80" t="e">
        <f t="shared" si="0"/>
        <v>#NUM!</v>
      </c>
      <c r="C60" s="80" t="e">
        <f t="shared" si="1"/>
        <v>#NUM!</v>
      </c>
      <c r="D60" s="80" t="e">
        <f t="shared" si="2"/>
        <v>#NUM!</v>
      </c>
      <c r="E60" s="80" t="e">
        <f t="shared" si="3"/>
        <v>#NUM!</v>
      </c>
      <c r="F60" s="80" t="e">
        <f t="shared" si="4"/>
        <v>#NUM!</v>
      </c>
    </row>
    <row r="61" spans="1:6" x14ac:dyDescent="0.2">
      <c r="A61" s="81">
        <v>50</v>
      </c>
      <c r="B61" s="80" t="e">
        <f t="shared" si="0"/>
        <v>#NUM!</v>
      </c>
      <c r="C61" s="80" t="e">
        <f t="shared" si="1"/>
        <v>#NUM!</v>
      </c>
      <c r="D61" s="80" t="e">
        <f t="shared" si="2"/>
        <v>#NUM!</v>
      </c>
      <c r="E61" s="80" t="e">
        <f t="shared" si="3"/>
        <v>#NUM!</v>
      </c>
      <c r="F61" s="80" t="e">
        <f t="shared" si="4"/>
        <v>#NUM!</v>
      </c>
    </row>
    <row r="62" spans="1:6" x14ac:dyDescent="0.2">
      <c r="A62" s="81">
        <v>51</v>
      </c>
      <c r="B62" s="80" t="e">
        <f t="shared" si="0"/>
        <v>#NUM!</v>
      </c>
      <c r="C62" s="80" t="e">
        <f t="shared" si="1"/>
        <v>#NUM!</v>
      </c>
      <c r="D62" s="80" t="e">
        <f t="shared" si="2"/>
        <v>#NUM!</v>
      </c>
      <c r="E62" s="80" t="e">
        <f t="shared" si="3"/>
        <v>#NUM!</v>
      </c>
      <c r="F62" s="80" t="e">
        <f t="shared" si="4"/>
        <v>#NUM!</v>
      </c>
    </row>
    <row r="63" spans="1:6" x14ac:dyDescent="0.2">
      <c r="A63" s="81">
        <v>52</v>
      </c>
      <c r="B63" s="80" t="e">
        <f t="shared" si="0"/>
        <v>#NUM!</v>
      </c>
      <c r="C63" s="80" t="e">
        <f t="shared" si="1"/>
        <v>#NUM!</v>
      </c>
      <c r="D63" s="80" t="e">
        <f t="shared" si="2"/>
        <v>#NUM!</v>
      </c>
      <c r="E63" s="80" t="e">
        <f t="shared" si="3"/>
        <v>#NUM!</v>
      </c>
      <c r="F63" s="80" t="e">
        <f t="shared" si="4"/>
        <v>#NUM!</v>
      </c>
    </row>
    <row r="64" spans="1:6" x14ac:dyDescent="0.2">
      <c r="A64" s="81">
        <v>53</v>
      </c>
      <c r="B64" s="80" t="e">
        <f t="shared" si="0"/>
        <v>#NUM!</v>
      </c>
      <c r="C64" s="80" t="e">
        <f t="shared" si="1"/>
        <v>#NUM!</v>
      </c>
      <c r="D64" s="80" t="e">
        <f t="shared" si="2"/>
        <v>#NUM!</v>
      </c>
      <c r="E64" s="80" t="e">
        <f t="shared" si="3"/>
        <v>#NUM!</v>
      </c>
      <c r="F64" s="80" t="e">
        <f t="shared" si="4"/>
        <v>#NUM!</v>
      </c>
    </row>
    <row r="65" spans="1:6" x14ac:dyDescent="0.2">
      <c r="A65" s="81">
        <v>54</v>
      </c>
      <c r="B65" s="80" t="e">
        <f t="shared" si="0"/>
        <v>#NUM!</v>
      </c>
      <c r="C65" s="80" t="e">
        <f t="shared" si="1"/>
        <v>#NUM!</v>
      </c>
      <c r="D65" s="80" t="e">
        <f t="shared" si="2"/>
        <v>#NUM!</v>
      </c>
      <c r="E65" s="80" t="e">
        <f t="shared" si="3"/>
        <v>#NUM!</v>
      </c>
      <c r="F65" s="80" t="e">
        <f t="shared" si="4"/>
        <v>#NUM!</v>
      </c>
    </row>
    <row r="66" spans="1:6" x14ac:dyDescent="0.2">
      <c r="A66" s="81">
        <v>55</v>
      </c>
      <c r="B66" s="80" t="e">
        <f t="shared" si="0"/>
        <v>#NUM!</v>
      </c>
      <c r="C66" s="80" t="e">
        <f t="shared" si="1"/>
        <v>#NUM!</v>
      </c>
      <c r="D66" s="80" t="e">
        <f t="shared" si="2"/>
        <v>#NUM!</v>
      </c>
      <c r="E66" s="80" t="e">
        <f t="shared" si="3"/>
        <v>#NUM!</v>
      </c>
      <c r="F66" s="80" t="e">
        <f t="shared" si="4"/>
        <v>#NUM!</v>
      </c>
    </row>
    <row r="67" spans="1:6" x14ac:dyDescent="0.2">
      <c r="A67" s="81">
        <v>56</v>
      </c>
      <c r="B67" s="80" t="e">
        <f t="shared" si="0"/>
        <v>#NUM!</v>
      </c>
      <c r="C67" s="80" t="e">
        <f t="shared" si="1"/>
        <v>#NUM!</v>
      </c>
      <c r="D67" s="80" t="e">
        <f t="shared" si="2"/>
        <v>#NUM!</v>
      </c>
      <c r="E67" s="80" t="e">
        <f t="shared" si="3"/>
        <v>#NUM!</v>
      </c>
      <c r="F67" s="80" t="e">
        <f t="shared" si="4"/>
        <v>#NUM!</v>
      </c>
    </row>
    <row r="68" spans="1:6" x14ac:dyDescent="0.2">
      <c r="A68" s="81">
        <v>57</v>
      </c>
      <c r="B68" s="80" t="e">
        <f t="shared" si="0"/>
        <v>#NUM!</v>
      </c>
      <c r="C68" s="80" t="e">
        <f t="shared" si="1"/>
        <v>#NUM!</v>
      </c>
      <c r="D68" s="80" t="e">
        <f t="shared" si="2"/>
        <v>#NUM!</v>
      </c>
      <c r="E68" s="80" t="e">
        <f t="shared" si="3"/>
        <v>#NUM!</v>
      </c>
      <c r="F68" s="80" t="e">
        <f t="shared" si="4"/>
        <v>#NUM!</v>
      </c>
    </row>
    <row r="69" spans="1:6" x14ac:dyDescent="0.2">
      <c r="A69" s="81">
        <v>58</v>
      </c>
      <c r="B69" s="80" t="e">
        <f t="shared" si="0"/>
        <v>#NUM!</v>
      </c>
      <c r="C69" s="80" t="e">
        <f t="shared" si="1"/>
        <v>#NUM!</v>
      </c>
      <c r="D69" s="80" t="e">
        <f t="shared" si="2"/>
        <v>#NUM!</v>
      </c>
      <c r="E69" s="80" t="e">
        <f t="shared" si="3"/>
        <v>#NUM!</v>
      </c>
      <c r="F69" s="80" t="e">
        <f t="shared" si="4"/>
        <v>#NUM!</v>
      </c>
    </row>
    <row r="70" spans="1:6" x14ac:dyDescent="0.2">
      <c r="A70" s="81">
        <v>59</v>
      </c>
      <c r="B70" s="80" t="e">
        <f t="shared" si="0"/>
        <v>#NUM!</v>
      </c>
      <c r="C70" s="80" t="e">
        <f t="shared" si="1"/>
        <v>#NUM!</v>
      </c>
      <c r="D70" s="80" t="e">
        <f t="shared" si="2"/>
        <v>#NUM!</v>
      </c>
      <c r="E70" s="80" t="e">
        <f t="shared" si="3"/>
        <v>#NUM!</v>
      </c>
      <c r="F70" s="80" t="e">
        <f t="shared" si="4"/>
        <v>#NUM!</v>
      </c>
    </row>
    <row r="71" spans="1:6" x14ac:dyDescent="0.2">
      <c r="A71" s="81">
        <v>60</v>
      </c>
      <c r="B71" s="80" t="e">
        <f t="shared" si="0"/>
        <v>#NUM!</v>
      </c>
      <c r="C71" s="80" t="e">
        <f t="shared" si="1"/>
        <v>#NUM!</v>
      </c>
      <c r="D71" s="80" t="e">
        <f t="shared" si="2"/>
        <v>#NUM!</v>
      </c>
      <c r="E71" s="80" t="e">
        <f t="shared" si="3"/>
        <v>#NUM!</v>
      </c>
      <c r="F71" s="80" t="e">
        <f t="shared" si="4"/>
        <v>#NUM!</v>
      </c>
    </row>
    <row r="72" spans="1:6" x14ac:dyDescent="0.2">
      <c r="A72" s="81">
        <v>61</v>
      </c>
      <c r="B72" s="80" t="e">
        <f t="shared" si="0"/>
        <v>#NUM!</v>
      </c>
      <c r="C72" s="80" t="e">
        <f t="shared" si="1"/>
        <v>#NUM!</v>
      </c>
      <c r="D72" s="80" t="e">
        <f t="shared" si="2"/>
        <v>#NUM!</v>
      </c>
      <c r="E72" s="80" t="e">
        <f t="shared" si="3"/>
        <v>#NUM!</v>
      </c>
      <c r="F72" s="80" t="e">
        <f t="shared" si="4"/>
        <v>#NUM!</v>
      </c>
    </row>
    <row r="73" spans="1:6" x14ac:dyDescent="0.2">
      <c r="A73" s="81">
        <v>62</v>
      </c>
      <c r="B73" s="80" t="e">
        <f t="shared" si="0"/>
        <v>#NUM!</v>
      </c>
      <c r="C73" s="80" t="e">
        <f t="shared" si="1"/>
        <v>#NUM!</v>
      </c>
      <c r="D73" s="80" t="e">
        <f t="shared" si="2"/>
        <v>#NUM!</v>
      </c>
      <c r="E73" s="80" t="e">
        <f t="shared" si="3"/>
        <v>#NUM!</v>
      </c>
      <c r="F73" s="80" t="e">
        <f t="shared" si="4"/>
        <v>#NUM!</v>
      </c>
    </row>
    <row r="74" spans="1:6" x14ac:dyDescent="0.2">
      <c r="A74" s="81">
        <v>63</v>
      </c>
      <c r="B74" s="80" t="e">
        <f t="shared" si="0"/>
        <v>#NUM!</v>
      </c>
      <c r="C74" s="80" t="e">
        <f t="shared" si="1"/>
        <v>#NUM!</v>
      </c>
      <c r="D74" s="80" t="e">
        <f t="shared" si="2"/>
        <v>#NUM!</v>
      </c>
      <c r="E74" s="80" t="e">
        <f t="shared" si="3"/>
        <v>#NUM!</v>
      </c>
      <c r="F74" s="80" t="e">
        <f t="shared" si="4"/>
        <v>#NUM!</v>
      </c>
    </row>
    <row r="75" spans="1:6" x14ac:dyDescent="0.2">
      <c r="A75" s="81">
        <v>64</v>
      </c>
      <c r="B75" s="80" t="e">
        <f t="shared" si="0"/>
        <v>#NUM!</v>
      </c>
      <c r="C75" s="80" t="e">
        <f t="shared" si="1"/>
        <v>#NUM!</v>
      </c>
      <c r="D75" s="80" t="e">
        <f t="shared" si="2"/>
        <v>#NUM!</v>
      </c>
      <c r="E75" s="80" t="e">
        <f t="shared" si="3"/>
        <v>#NUM!</v>
      </c>
      <c r="F75" s="80" t="e">
        <f t="shared" si="4"/>
        <v>#NUM!</v>
      </c>
    </row>
    <row r="76" spans="1:6" x14ac:dyDescent="0.2">
      <c r="A76" s="81">
        <v>65</v>
      </c>
      <c r="B76" s="80" t="e">
        <f t="shared" ref="B76:B139" si="5">PPMT(C$5,A76,B$5,-E$11)</f>
        <v>#NUM!</v>
      </c>
      <c r="C76" s="80" t="e">
        <f t="shared" ref="C76:C139" si="6">IPMT(C$5,A76,B$5,-E$11)</f>
        <v>#NUM!</v>
      </c>
      <c r="D76" s="80" t="e">
        <f t="shared" ref="D76:D139" si="7">SUM($D$5)</f>
        <v>#NUM!</v>
      </c>
      <c r="E76" s="80" t="e">
        <f t="shared" ref="E76:E139" si="8">PV(C$5,B$5-A76,-D$12)</f>
        <v>#NUM!</v>
      </c>
      <c r="F76" s="80" t="e">
        <f t="shared" si="4"/>
        <v>#NUM!</v>
      </c>
    </row>
    <row r="77" spans="1:6" x14ac:dyDescent="0.2">
      <c r="A77" s="81">
        <v>66</v>
      </c>
      <c r="B77" s="80" t="e">
        <f t="shared" si="5"/>
        <v>#NUM!</v>
      </c>
      <c r="C77" s="80" t="e">
        <f t="shared" si="6"/>
        <v>#NUM!</v>
      </c>
      <c r="D77" s="80" t="e">
        <f t="shared" si="7"/>
        <v>#NUM!</v>
      </c>
      <c r="E77" s="80" t="e">
        <f t="shared" si="8"/>
        <v>#NUM!</v>
      </c>
      <c r="F77" s="80" t="e">
        <f t="shared" si="4"/>
        <v>#NUM!</v>
      </c>
    </row>
    <row r="78" spans="1:6" x14ac:dyDescent="0.2">
      <c r="A78" s="81">
        <v>67</v>
      </c>
      <c r="B78" s="80" t="e">
        <f t="shared" si="5"/>
        <v>#NUM!</v>
      </c>
      <c r="C78" s="80" t="e">
        <f t="shared" si="6"/>
        <v>#NUM!</v>
      </c>
      <c r="D78" s="80" t="e">
        <f t="shared" si="7"/>
        <v>#NUM!</v>
      </c>
      <c r="E78" s="80" t="e">
        <f t="shared" si="8"/>
        <v>#NUM!</v>
      </c>
      <c r="F78" s="80" t="e">
        <f t="shared" si="4"/>
        <v>#NUM!</v>
      </c>
    </row>
    <row r="79" spans="1:6" x14ac:dyDescent="0.2">
      <c r="A79" s="81">
        <v>68</v>
      </c>
      <c r="B79" s="80" t="e">
        <f t="shared" si="5"/>
        <v>#NUM!</v>
      </c>
      <c r="C79" s="80" t="e">
        <f t="shared" si="6"/>
        <v>#NUM!</v>
      </c>
      <c r="D79" s="80" t="e">
        <f t="shared" si="7"/>
        <v>#NUM!</v>
      </c>
      <c r="E79" s="80" t="e">
        <f t="shared" si="8"/>
        <v>#NUM!</v>
      </c>
      <c r="F79" s="80" t="e">
        <f t="shared" si="4"/>
        <v>#NUM!</v>
      </c>
    </row>
    <row r="80" spans="1:6" x14ac:dyDescent="0.2">
      <c r="A80" s="81">
        <v>69</v>
      </c>
      <c r="B80" s="80" t="e">
        <f t="shared" si="5"/>
        <v>#NUM!</v>
      </c>
      <c r="C80" s="80" t="e">
        <f t="shared" si="6"/>
        <v>#NUM!</v>
      </c>
      <c r="D80" s="80" t="e">
        <f t="shared" si="7"/>
        <v>#NUM!</v>
      </c>
      <c r="E80" s="80" t="e">
        <f t="shared" si="8"/>
        <v>#NUM!</v>
      </c>
      <c r="F80" s="80" t="e">
        <f t="shared" si="4"/>
        <v>#NUM!</v>
      </c>
    </row>
    <row r="81" spans="1:6" x14ac:dyDescent="0.2">
      <c r="A81" s="81">
        <v>70</v>
      </c>
      <c r="B81" s="80" t="e">
        <f t="shared" si="5"/>
        <v>#NUM!</v>
      </c>
      <c r="C81" s="80" t="e">
        <f t="shared" si="6"/>
        <v>#NUM!</v>
      </c>
      <c r="D81" s="80" t="e">
        <f t="shared" si="7"/>
        <v>#NUM!</v>
      </c>
      <c r="E81" s="80" t="e">
        <f t="shared" si="8"/>
        <v>#NUM!</v>
      </c>
      <c r="F81" s="80" t="e">
        <f t="shared" si="4"/>
        <v>#NUM!</v>
      </c>
    </row>
    <row r="82" spans="1:6" x14ac:dyDescent="0.2">
      <c r="A82" s="81">
        <v>71</v>
      </c>
      <c r="B82" s="80" t="e">
        <f t="shared" si="5"/>
        <v>#NUM!</v>
      </c>
      <c r="C82" s="80" t="e">
        <f t="shared" si="6"/>
        <v>#NUM!</v>
      </c>
      <c r="D82" s="80" t="e">
        <f t="shared" si="7"/>
        <v>#NUM!</v>
      </c>
      <c r="E82" s="80" t="e">
        <f t="shared" si="8"/>
        <v>#NUM!</v>
      </c>
      <c r="F82" s="80" t="e">
        <f t="shared" si="4"/>
        <v>#NUM!</v>
      </c>
    </row>
    <row r="83" spans="1:6" x14ac:dyDescent="0.2">
      <c r="A83" s="81">
        <v>72</v>
      </c>
      <c r="B83" s="80" t="e">
        <f t="shared" si="5"/>
        <v>#NUM!</v>
      </c>
      <c r="C83" s="80" t="e">
        <f t="shared" si="6"/>
        <v>#NUM!</v>
      </c>
      <c r="D83" s="80" t="e">
        <f t="shared" si="7"/>
        <v>#NUM!</v>
      </c>
      <c r="E83" s="80" t="e">
        <f t="shared" si="8"/>
        <v>#NUM!</v>
      </c>
      <c r="F83" s="80" t="e">
        <f t="shared" si="4"/>
        <v>#NUM!</v>
      </c>
    </row>
    <row r="84" spans="1:6" x14ac:dyDescent="0.2">
      <c r="A84" s="81">
        <v>73</v>
      </c>
      <c r="B84" s="80" t="e">
        <f t="shared" si="5"/>
        <v>#NUM!</v>
      </c>
      <c r="C84" s="80" t="e">
        <f t="shared" si="6"/>
        <v>#NUM!</v>
      </c>
      <c r="D84" s="80" t="e">
        <f t="shared" si="7"/>
        <v>#NUM!</v>
      </c>
      <c r="E84" s="80" t="e">
        <f t="shared" si="8"/>
        <v>#NUM!</v>
      </c>
      <c r="F84" s="80" t="e">
        <f t="shared" si="4"/>
        <v>#NUM!</v>
      </c>
    </row>
    <row r="85" spans="1:6" x14ac:dyDescent="0.2">
      <c r="A85" s="81">
        <v>74</v>
      </c>
      <c r="B85" s="80" t="e">
        <f t="shared" si="5"/>
        <v>#NUM!</v>
      </c>
      <c r="C85" s="80" t="e">
        <f t="shared" si="6"/>
        <v>#NUM!</v>
      </c>
      <c r="D85" s="80" t="e">
        <f t="shared" si="7"/>
        <v>#NUM!</v>
      </c>
      <c r="E85" s="80" t="e">
        <f t="shared" si="8"/>
        <v>#NUM!</v>
      </c>
      <c r="F85" s="80" t="e">
        <f t="shared" si="4"/>
        <v>#NUM!</v>
      </c>
    </row>
    <row r="86" spans="1:6" x14ac:dyDescent="0.2">
      <c r="A86" s="81">
        <v>75</v>
      </c>
      <c r="B86" s="80" t="e">
        <f t="shared" si="5"/>
        <v>#NUM!</v>
      </c>
      <c r="C86" s="80" t="e">
        <f t="shared" si="6"/>
        <v>#NUM!</v>
      </c>
      <c r="D86" s="80" t="e">
        <f t="shared" si="7"/>
        <v>#NUM!</v>
      </c>
      <c r="E86" s="80" t="e">
        <f t="shared" si="8"/>
        <v>#NUM!</v>
      </c>
      <c r="F86" s="80" t="e">
        <f t="shared" si="4"/>
        <v>#NUM!</v>
      </c>
    </row>
    <row r="87" spans="1:6" x14ac:dyDescent="0.2">
      <c r="A87" s="81">
        <v>76</v>
      </c>
      <c r="B87" s="80" t="e">
        <f t="shared" si="5"/>
        <v>#NUM!</v>
      </c>
      <c r="C87" s="80" t="e">
        <f t="shared" si="6"/>
        <v>#NUM!</v>
      </c>
      <c r="D87" s="80" t="e">
        <f t="shared" si="7"/>
        <v>#NUM!</v>
      </c>
      <c r="E87" s="80" t="e">
        <f t="shared" si="8"/>
        <v>#NUM!</v>
      </c>
      <c r="F87" s="80" t="e">
        <f t="shared" si="4"/>
        <v>#NUM!</v>
      </c>
    </row>
    <row r="88" spans="1:6" x14ac:dyDescent="0.2">
      <c r="A88" s="81">
        <v>77</v>
      </c>
      <c r="B88" s="80" t="e">
        <f t="shared" si="5"/>
        <v>#NUM!</v>
      </c>
      <c r="C88" s="80" t="e">
        <f t="shared" si="6"/>
        <v>#NUM!</v>
      </c>
      <c r="D88" s="80" t="e">
        <f t="shared" si="7"/>
        <v>#NUM!</v>
      </c>
      <c r="E88" s="80" t="e">
        <f t="shared" si="8"/>
        <v>#NUM!</v>
      </c>
      <c r="F88" s="80" t="e">
        <f t="shared" si="4"/>
        <v>#NUM!</v>
      </c>
    </row>
    <row r="89" spans="1:6" x14ac:dyDescent="0.2">
      <c r="A89" s="81">
        <v>78</v>
      </c>
      <c r="B89" s="80" t="e">
        <f t="shared" si="5"/>
        <v>#NUM!</v>
      </c>
      <c r="C89" s="80" t="e">
        <f t="shared" si="6"/>
        <v>#NUM!</v>
      </c>
      <c r="D89" s="80" t="e">
        <f t="shared" si="7"/>
        <v>#NUM!</v>
      </c>
      <c r="E89" s="80" t="e">
        <f t="shared" si="8"/>
        <v>#NUM!</v>
      </c>
      <c r="F89" s="80" t="e">
        <f t="shared" si="4"/>
        <v>#NUM!</v>
      </c>
    </row>
    <row r="90" spans="1:6" x14ac:dyDescent="0.2">
      <c r="A90" s="81">
        <v>79</v>
      </c>
      <c r="B90" s="80" t="e">
        <f t="shared" si="5"/>
        <v>#NUM!</v>
      </c>
      <c r="C90" s="80" t="e">
        <f t="shared" si="6"/>
        <v>#NUM!</v>
      </c>
      <c r="D90" s="80" t="e">
        <f t="shared" si="7"/>
        <v>#NUM!</v>
      </c>
      <c r="E90" s="80" t="e">
        <f t="shared" si="8"/>
        <v>#NUM!</v>
      </c>
      <c r="F90" s="80" t="e">
        <f t="shared" si="4"/>
        <v>#NUM!</v>
      </c>
    </row>
    <row r="91" spans="1:6" x14ac:dyDescent="0.2">
      <c r="A91" s="81">
        <v>80</v>
      </c>
      <c r="B91" s="80" t="e">
        <f t="shared" si="5"/>
        <v>#NUM!</v>
      </c>
      <c r="C91" s="80" t="e">
        <f t="shared" si="6"/>
        <v>#NUM!</v>
      </c>
      <c r="D91" s="80" t="e">
        <f t="shared" si="7"/>
        <v>#NUM!</v>
      </c>
      <c r="E91" s="80" t="e">
        <f t="shared" si="8"/>
        <v>#NUM!</v>
      </c>
      <c r="F91" s="80" t="e">
        <f t="shared" si="4"/>
        <v>#NUM!</v>
      </c>
    </row>
    <row r="92" spans="1:6" x14ac:dyDescent="0.2">
      <c r="A92" s="81">
        <v>81</v>
      </c>
      <c r="B92" s="80" t="e">
        <f t="shared" si="5"/>
        <v>#NUM!</v>
      </c>
      <c r="C92" s="80" t="e">
        <f t="shared" si="6"/>
        <v>#NUM!</v>
      </c>
      <c r="D92" s="80" t="e">
        <f t="shared" si="7"/>
        <v>#NUM!</v>
      </c>
      <c r="E92" s="80" t="e">
        <f t="shared" si="8"/>
        <v>#NUM!</v>
      </c>
      <c r="F92" s="80" t="e">
        <f t="shared" si="4"/>
        <v>#NUM!</v>
      </c>
    </row>
    <row r="93" spans="1:6" x14ac:dyDescent="0.2">
      <c r="A93" s="81">
        <v>82</v>
      </c>
      <c r="B93" s="80" t="e">
        <f t="shared" si="5"/>
        <v>#NUM!</v>
      </c>
      <c r="C93" s="80" t="e">
        <f t="shared" si="6"/>
        <v>#NUM!</v>
      </c>
      <c r="D93" s="80" t="e">
        <f t="shared" si="7"/>
        <v>#NUM!</v>
      </c>
      <c r="E93" s="80" t="e">
        <f t="shared" si="8"/>
        <v>#NUM!</v>
      </c>
      <c r="F93" s="80" t="e">
        <f t="shared" si="4"/>
        <v>#NUM!</v>
      </c>
    </row>
    <row r="94" spans="1:6" x14ac:dyDescent="0.2">
      <c r="A94" s="81">
        <v>83</v>
      </c>
      <c r="B94" s="80" t="e">
        <f t="shared" si="5"/>
        <v>#NUM!</v>
      </c>
      <c r="C94" s="80" t="e">
        <f t="shared" si="6"/>
        <v>#NUM!</v>
      </c>
      <c r="D94" s="80" t="e">
        <f t="shared" si="7"/>
        <v>#NUM!</v>
      </c>
      <c r="E94" s="80" t="e">
        <f t="shared" si="8"/>
        <v>#NUM!</v>
      </c>
      <c r="F94" s="80" t="e">
        <f t="shared" si="4"/>
        <v>#NUM!</v>
      </c>
    </row>
    <row r="95" spans="1:6" x14ac:dyDescent="0.2">
      <c r="A95" s="81">
        <v>84</v>
      </c>
      <c r="B95" s="80" t="e">
        <f t="shared" si="5"/>
        <v>#NUM!</v>
      </c>
      <c r="C95" s="80" t="e">
        <f t="shared" si="6"/>
        <v>#NUM!</v>
      </c>
      <c r="D95" s="80" t="e">
        <f t="shared" si="7"/>
        <v>#NUM!</v>
      </c>
      <c r="E95" s="80" t="e">
        <f t="shared" si="8"/>
        <v>#NUM!</v>
      </c>
      <c r="F95" s="80" t="e">
        <f t="shared" si="4"/>
        <v>#NUM!</v>
      </c>
    </row>
    <row r="96" spans="1:6" x14ac:dyDescent="0.2">
      <c r="A96" s="81">
        <v>85</v>
      </c>
      <c r="B96" s="80" t="e">
        <f t="shared" si="5"/>
        <v>#NUM!</v>
      </c>
      <c r="C96" s="80" t="e">
        <f t="shared" si="6"/>
        <v>#NUM!</v>
      </c>
      <c r="D96" s="80" t="e">
        <f t="shared" si="7"/>
        <v>#NUM!</v>
      </c>
      <c r="E96" s="80" t="e">
        <f t="shared" si="8"/>
        <v>#NUM!</v>
      </c>
      <c r="F96" s="80" t="e">
        <f t="shared" si="4"/>
        <v>#NUM!</v>
      </c>
    </row>
    <row r="97" spans="1:6" x14ac:dyDescent="0.2">
      <c r="A97" s="81">
        <v>86</v>
      </c>
      <c r="B97" s="80" t="e">
        <f t="shared" si="5"/>
        <v>#NUM!</v>
      </c>
      <c r="C97" s="80" t="e">
        <f t="shared" si="6"/>
        <v>#NUM!</v>
      </c>
      <c r="D97" s="80" t="e">
        <f t="shared" si="7"/>
        <v>#NUM!</v>
      </c>
      <c r="E97" s="80" t="e">
        <f t="shared" si="8"/>
        <v>#NUM!</v>
      </c>
      <c r="F97" s="80" t="e">
        <f t="shared" si="4"/>
        <v>#NUM!</v>
      </c>
    </row>
    <row r="98" spans="1:6" x14ac:dyDescent="0.2">
      <c r="A98" s="81">
        <v>87</v>
      </c>
      <c r="B98" s="80" t="e">
        <f t="shared" si="5"/>
        <v>#NUM!</v>
      </c>
      <c r="C98" s="80" t="e">
        <f t="shared" si="6"/>
        <v>#NUM!</v>
      </c>
      <c r="D98" s="80" t="e">
        <f t="shared" si="7"/>
        <v>#NUM!</v>
      </c>
      <c r="E98" s="80" t="e">
        <f t="shared" si="8"/>
        <v>#NUM!</v>
      </c>
      <c r="F98" s="80" t="e">
        <f t="shared" si="4"/>
        <v>#NUM!</v>
      </c>
    </row>
    <row r="99" spans="1:6" x14ac:dyDescent="0.2">
      <c r="A99" s="81">
        <v>88</v>
      </c>
      <c r="B99" s="80" t="e">
        <f t="shared" si="5"/>
        <v>#NUM!</v>
      </c>
      <c r="C99" s="80" t="e">
        <f t="shared" si="6"/>
        <v>#NUM!</v>
      </c>
      <c r="D99" s="80" t="e">
        <f t="shared" si="7"/>
        <v>#NUM!</v>
      </c>
      <c r="E99" s="80" t="e">
        <f t="shared" si="8"/>
        <v>#NUM!</v>
      </c>
      <c r="F99" s="80" t="e">
        <f t="shared" si="4"/>
        <v>#NUM!</v>
      </c>
    </row>
    <row r="100" spans="1:6" x14ac:dyDescent="0.2">
      <c r="A100" s="81">
        <v>89</v>
      </c>
      <c r="B100" s="80" t="e">
        <f t="shared" si="5"/>
        <v>#NUM!</v>
      </c>
      <c r="C100" s="80" t="e">
        <f t="shared" si="6"/>
        <v>#NUM!</v>
      </c>
      <c r="D100" s="80" t="e">
        <f t="shared" si="7"/>
        <v>#NUM!</v>
      </c>
      <c r="E100" s="80" t="e">
        <f t="shared" si="8"/>
        <v>#NUM!</v>
      </c>
      <c r="F100" s="80" t="e">
        <f t="shared" si="4"/>
        <v>#NUM!</v>
      </c>
    </row>
    <row r="101" spans="1:6" x14ac:dyDescent="0.2">
      <c r="A101" s="81">
        <v>90</v>
      </c>
      <c r="B101" s="80" t="e">
        <f t="shared" si="5"/>
        <v>#NUM!</v>
      </c>
      <c r="C101" s="80" t="e">
        <f t="shared" si="6"/>
        <v>#NUM!</v>
      </c>
      <c r="D101" s="80" t="e">
        <f t="shared" si="7"/>
        <v>#NUM!</v>
      </c>
      <c r="E101" s="80" t="e">
        <f t="shared" si="8"/>
        <v>#NUM!</v>
      </c>
      <c r="F101" s="80" t="e">
        <f t="shared" ref="F101:F164" si="9">E101*0.00025</f>
        <v>#NUM!</v>
      </c>
    </row>
    <row r="102" spans="1:6" x14ac:dyDescent="0.2">
      <c r="A102" s="81">
        <v>91</v>
      </c>
      <c r="B102" s="80" t="e">
        <f t="shared" si="5"/>
        <v>#NUM!</v>
      </c>
      <c r="C102" s="80" t="e">
        <f t="shared" si="6"/>
        <v>#NUM!</v>
      </c>
      <c r="D102" s="80" t="e">
        <f t="shared" si="7"/>
        <v>#NUM!</v>
      </c>
      <c r="E102" s="80" t="e">
        <f t="shared" si="8"/>
        <v>#NUM!</v>
      </c>
      <c r="F102" s="80" t="e">
        <f t="shared" si="9"/>
        <v>#NUM!</v>
      </c>
    </row>
    <row r="103" spans="1:6" x14ac:dyDescent="0.2">
      <c r="A103" s="81">
        <v>92</v>
      </c>
      <c r="B103" s="80" t="e">
        <f t="shared" si="5"/>
        <v>#NUM!</v>
      </c>
      <c r="C103" s="80" t="e">
        <f t="shared" si="6"/>
        <v>#NUM!</v>
      </c>
      <c r="D103" s="80" t="e">
        <f t="shared" si="7"/>
        <v>#NUM!</v>
      </c>
      <c r="E103" s="80" t="e">
        <f t="shared" si="8"/>
        <v>#NUM!</v>
      </c>
      <c r="F103" s="80" t="e">
        <f t="shared" si="9"/>
        <v>#NUM!</v>
      </c>
    </row>
    <row r="104" spans="1:6" x14ac:dyDescent="0.2">
      <c r="A104" s="81">
        <v>93</v>
      </c>
      <c r="B104" s="80" t="e">
        <f t="shared" si="5"/>
        <v>#NUM!</v>
      </c>
      <c r="C104" s="80" t="e">
        <f t="shared" si="6"/>
        <v>#NUM!</v>
      </c>
      <c r="D104" s="80" t="e">
        <f t="shared" si="7"/>
        <v>#NUM!</v>
      </c>
      <c r="E104" s="80" t="e">
        <f t="shared" si="8"/>
        <v>#NUM!</v>
      </c>
      <c r="F104" s="80" t="e">
        <f t="shared" si="9"/>
        <v>#NUM!</v>
      </c>
    </row>
    <row r="105" spans="1:6" x14ac:dyDescent="0.2">
      <c r="A105" s="81">
        <v>94</v>
      </c>
      <c r="B105" s="80" t="e">
        <f t="shared" si="5"/>
        <v>#NUM!</v>
      </c>
      <c r="C105" s="80" t="e">
        <f t="shared" si="6"/>
        <v>#NUM!</v>
      </c>
      <c r="D105" s="80" t="e">
        <f t="shared" si="7"/>
        <v>#NUM!</v>
      </c>
      <c r="E105" s="80" t="e">
        <f t="shared" si="8"/>
        <v>#NUM!</v>
      </c>
      <c r="F105" s="80" t="e">
        <f t="shared" si="9"/>
        <v>#NUM!</v>
      </c>
    </row>
    <row r="106" spans="1:6" x14ac:dyDescent="0.2">
      <c r="A106" s="81">
        <v>95</v>
      </c>
      <c r="B106" s="80" t="e">
        <f t="shared" si="5"/>
        <v>#NUM!</v>
      </c>
      <c r="C106" s="80" t="e">
        <f t="shared" si="6"/>
        <v>#NUM!</v>
      </c>
      <c r="D106" s="80" t="e">
        <f t="shared" si="7"/>
        <v>#NUM!</v>
      </c>
      <c r="E106" s="80" t="e">
        <f t="shared" si="8"/>
        <v>#NUM!</v>
      </c>
      <c r="F106" s="80" t="e">
        <f t="shared" si="9"/>
        <v>#NUM!</v>
      </c>
    </row>
    <row r="107" spans="1:6" x14ac:dyDescent="0.2">
      <c r="A107" s="81">
        <v>96</v>
      </c>
      <c r="B107" s="80" t="e">
        <f t="shared" si="5"/>
        <v>#NUM!</v>
      </c>
      <c r="C107" s="80" t="e">
        <f t="shared" si="6"/>
        <v>#NUM!</v>
      </c>
      <c r="D107" s="80" t="e">
        <f t="shared" si="7"/>
        <v>#NUM!</v>
      </c>
      <c r="E107" s="80" t="e">
        <f t="shared" si="8"/>
        <v>#NUM!</v>
      </c>
      <c r="F107" s="80" t="e">
        <f t="shared" si="9"/>
        <v>#NUM!</v>
      </c>
    </row>
    <row r="108" spans="1:6" x14ac:dyDescent="0.2">
      <c r="A108" s="81">
        <v>97</v>
      </c>
      <c r="B108" s="80" t="e">
        <f t="shared" si="5"/>
        <v>#NUM!</v>
      </c>
      <c r="C108" s="80" t="e">
        <f t="shared" si="6"/>
        <v>#NUM!</v>
      </c>
      <c r="D108" s="80" t="e">
        <f t="shared" si="7"/>
        <v>#NUM!</v>
      </c>
      <c r="E108" s="80" t="e">
        <f t="shared" si="8"/>
        <v>#NUM!</v>
      </c>
      <c r="F108" s="80" t="e">
        <f t="shared" si="9"/>
        <v>#NUM!</v>
      </c>
    </row>
    <row r="109" spans="1:6" x14ac:dyDescent="0.2">
      <c r="A109" s="81">
        <v>98</v>
      </c>
      <c r="B109" s="80" t="e">
        <f t="shared" si="5"/>
        <v>#NUM!</v>
      </c>
      <c r="C109" s="80" t="e">
        <f t="shared" si="6"/>
        <v>#NUM!</v>
      </c>
      <c r="D109" s="80" t="e">
        <f t="shared" si="7"/>
        <v>#NUM!</v>
      </c>
      <c r="E109" s="80" t="e">
        <f t="shared" si="8"/>
        <v>#NUM!</v>
      </c>
      <c r="F109" s="80" t="e">
        <f t="shared" si="9"/>
        <v>#NUM!</v>
      </c>
    </row>
    <row r="110" spans="1:6" x14ac:dyDescent="0.2">
      <c r="A110" s="81">
        <v>99</v>
      </c>
      <c r="B110" s="80" t="e">
        <f t="shared" si="5"/>
        <v>#NUM!</v>
      </c>
      <c r="C110" s="80" t="e">
        <f t="shared" si="6"/>
        <v>#NUM!</v>
      </c>
      <c r="D110" s="80" t="e">
        <f t="shared" si="7"/>
        <v>#NUM!</v>
      </c>
      <c r="E110" s="80" t="e">
        <f t="shared" si="8"/>
        <v>#NUM!</v>
      </c>
      <c r="F110" s="80" t="e">
        <f t="shared" si="9"/>
        <v>#NUM!</v>
      </c>
    </row>
    <row r="111" spans="1:6" x14ac:dyDescent="0.2">
      <c r="A111" s="81">
        <v>100</v>
      </c>
      <c r="B111" s="80" t="e">
        <f t="shared" si="5"/>
        <v>#NUM!</v>
      </c>
      <c r="C111" s="80" t="e">
        <f t="shared" si="6"/>
        <v>#NUM!</v>
      </c>
      <c r="D111" s="80" t="e">
        <f t="shared" si="7"/>
        <v>#NUM!</v>
      </c>
      <c r="E111" s="80" t="e">
        <f t="shared" si="8"/>
        <v>#NUM!</v>
      </c>
      <c r="F111" s="80" t="e">
        <f t="shared" si="9"/>
        <v>#NUM!</v>
      </c>
    </row>
    <row r="112" spans="1:6" x14ac:dyDescent="0.2">
      <c r="A112" s="81">
        <v>101</v>
      </c>
      <c r="B112" s="80" t="e">
        <f t="shared" si="5"/>
        <v>#NUM!</v>
      </c>
      <c r="C112" s="80" t="e">
        <f t="shared" si="6"/>
        <v>#NUM!</v>
      </c>
      <c r="D112" s="80" t="e">
        <f t="shared" si="7"/>
        <v>#NUM!</v>
      </c>
      <c r="E112" s="80" t="e">
        <f t="shared" si="8"/>
        <v>#NUM!</v>
      </c>
      <c r="F112" s="80" t="e">
        <f t="shared" si="9"/>
        <v>#NUM!</v>
      </c>
    </row>
    <row r="113" spans="1:6" x14ac:dyDescent="0.2">
      <c r="A113" s="81">
        <v>102</v>
      </c>
      <c r="B113" s="80" t="e">
        <f t="shared" si="5"/>
        <v>#NUM!</v>
      </c>
      <c r="C113" s="80" t="e">
        <f t="shared" si="6"/>
        <v>#NUM!</v>
      </c>
      <c r="D113" s="80" t="e">
        <f t="shared" si="7"/>
        <v>#NUM!</v>
      </c>
      <c r="E113" s="80" t="e">
        <f t="shared" si="8"/>
        <v>#NUM!</v>
      </c>
      <c r="F113" s="80" t="e">
        <f t="shared" si="9"/>
        <v>#NUM!</v>
      </c>
    </row>
    <row r="114" spans="1:6" x14ac:dyDescent="0.2">
      <c r="A114" s="81">
        <v>103</v>
      </c>
      <c r="B114" s="80" t="e">
        <f t="shared" si="5"/>
        <v>#NUM!</v>
      </c>
      <c r="C114" s="80" t="e">
        <f t="shared" si="6"/>
        <v>#NUM!</v>
      </c>
      <c r="D114" s="80" t="e">
        <f t="shared" si="7"/>
        <v>#NUM!</v>
      </c>
      <c r="E114" s="80" t="e">
        <f t="shared" si="8"/>
        <v>#NUM!</v>
      </c>
      <c r="F114" s="80" t="e">
        <f t="shared" si="9"/>
        <v>#NUM!</v>
      </c>
    </row>
    <row r="115" spans="1:6" x14ac:dyDescent="0.2">
      <c r="A115" s="81">
        <v>104</v>
      </c>
      <c r="B115" s="80" t="e">
        <f t="shared" si="5"/>
        <v>#NUM!</v>
      </c>
      <c r="C115" s="80" t="e">
        <f t="shared" si="6"/>
        <v>#NUM!</v>
      </c>
      <c r="D115" s="80" t="e">
        <f t="shared" si="7"/>
        <v>#NUM!</v>
      </c>
      <c r="E115" s="80" t="e">
        <f t="shared" si="8"/>
        <v>#NUM!</v>
      </c>
      <c r="F115" s="80" t="e">
        <f t="shared" si="9"/>
        <v>#NUM!</v>
      </c>
    </row>
    <row r="116" spans="1:6" x14ac:dyDescent="0.2">
      <c r="A116" s="81">
        <v>105</v>
      </c>
      <c r="B116" s="80" t="e">
        <f t="shared" si="5"/>
        <v>#NUM!</v>
      </c>
      <c r="C116" s="80" t="e">
        <f t="shared" si="6"/>
        <v>#NUM!</v>
      </c>
      <c r="D116" s="80" t="e">
        <f t="shared" si="7"/>
        <v>#NUM!</v>
      </c>
      <c r="E116" s="80" t="e">
        <f t="shared" si="8"/>
        <v>#NUM!</v>
      </c>
      <c r="F116" s="80" t="e">
        <f t="shared" si="9"/>
        <v>#NUM!</v>
      </c>
    </row>
    <row r="117" spans="1:6" x14ac:dyDescent="0.2">
      <c r="A117" s="81">
        <v>106</v>
      </c>
      <c r="B117" s="80" t="e">
        <f t="shared" si="5"/>
        <v>#NUM!</v>
      </c>
      <c r="C117" s="80" t="e">
        <f t="shared" si="6"/>
        <v>#NUM!</v>
      </c>
      <c r="D117" s="80" t="e">
        <f t="shared" si="7"/>
        <v>#NUM!</v>
      </c>
      <c r="E117" s="80" t="e">
        <f t="shared" si="8"/>
        <v>#NUM!</v>
      </c>
      <c r="F117" s="80" t="e">
        <f t="shared" si="9"/>
        <v>#NUM!</v>
      </c>
    </row>
    <row r="118" spans="1:6" x14ac:dyDescent="0.2">
      <c r="A118" s="81">
        <v>107</v>
      </c>
      <c r="B118" s="80" t="e">
        <f t="shared" si="5"/>
        <v>#NUM!</v>
      </c>
      <c r="C118" s="80" t="e">
        <f t="shared" si="6"/>
        <v>#NUM!</v>
      </c>
      <c r="D118" s="80" t="e">
        <f t="shared" si="7"/>
        <v>#NUM!</v>
      </c>
      <c r="E118" s="80" t="e">
        <f t="shared" si="8"/>
        <v>#NUM!</v>
      </c>
      <c r="F118" s="80" t="e">
        <f t="shared" si="9"/>
        <v>#NUM!</v>
      </c>
    </row>
    <row r="119" spans="1:6" x14ac:dyDescent="0.2">
      <c r="A119" s="81">
        <v>108</v>
      </c>
      <c r="B119" s="80" t="e">
        <f t="shared" si="5"/>
        <v>#NUM!</v>
      </c>
      <c r="C119" s="80" t="e">
        <f t="shared" si="6"/>
        <v>#NUM!</v>
      </c>
      <c r="D119" s="80" t="e">
        <f t="shared" si="7"/>
        <v>#NUM!</v>
      </c>
      <c r="E119" s="80" t="e">
        <f t="shared" si="8"/>
        <v>#NUM!</v>
      </c>
      <c r="F119" s="80" t="e">
        <f t="shared" si="9"/>
        <v>#NUM!</v>
      </c>
    </row>
    <row r="120" spans="1:6" x14ac:dyDescent="0.2">
      <c r="A120" s="81">
        <v>109</v>
      </c>
      <c r="B120" s="80" t="e">
        <f t="shared" si="5"/>
        <v>#NUM!</v>
      </c>
      <c r="C120" s="80" t="e">
        <f t="shared" si="6"/>
        <v>#NUM!</v>
      </c>
      <c r="D120" s="80" t="e">
        <f t="shared" si="7"/>
        <v>#NUM!</v>
      </c>
      <c r="E120" s="80" t="e">
        <f t="shared" si="8"/>
        <v>#NUM!</v>
      </c>
      <c r="F120" s="80" t="e">
        <f t="shared" si="9"/>
        <v>#NUM!</v>
      </c>
    </row>
    <row r="121" spans="1:6" x14ac:dyDescent="0.2">
      <c r="A121" s="81">
        <v>110</v>
      </c>
      <c r="B121" s="80" t="e">
        <f t="shared" si="5"/>
        <v>#NUM!</v>
      </c>
      <c r="C121" s="80" t="e">
        <f t="shared" si="6"/>
        <v>#NUM!</v>
      </c>
      <c r="D121" s="80" t="e">
        <f t="shared" si="7"/>
        <v>#NUM!</v>
      </c>
      <c r="E121" s="80" t="e">
        <f t="shared" si="8"/>
        <v>#NUM!</v>
      </c>
      <c r="F121" s="80" t="e">
        <f t="shared" si="9"/>
        <v>#NUM!</v>
      </c>
    </row>
    <row r="122" spans="1:6" x14ac:dyDescent="0.2">
      <c r="A122" s="81">
        <v>111</v>
      </c>
      <c r="B122" s="80" t="e">
        <f t="shared" si="5"/>
        <v>#NUM!</v>
      </c>
      <c r="C122" s="80" t="e">
        <f t="shared" si="6"/>
        <v>#NUM!</v>
      </c>
      <c r="D122" s="80" t="e">
        <f t="shared" si="7"/>
        <v>#NUM!</v>
      </c>
      <c r="E122" s="80" t="e">
        <f t="shared" si="8"/>
        <v>#NUM!</v>
      </c>
      <c r="F122" s="80" t="e">
        <f t="shared" si="9"/>
        <v>#NUM!</v>
      </c>
    </row>
    <row r="123" spans="1:6" x14ac:dyDescent="0.2">
      <c r="A123" s="81">
        <v>112</v>
      </c>
      <c r="B123" s="80" t="e">
        <f t="shared" si="5"/>
        <v>#NUM!</v>
      </c>
      <c r="C123" s="80" t="e">
        <f t="shared" si="6"/>
        <v>#NUM!</v>
      </c>
      <c r="D123" s="80" t="e">
        <f t="shared" si="7"/>
        <v>#NUM!</v>
      </c>
      <c r="E123" s="80" t="e">
        <f t="shared" si="8"/>
        <v>#NUM!</v>
      </c>
      <c r="F123" s="80" t="e">
        <f t="shared" si="9"/>
        <v>#NUM!</v>
      </c>
    </row>
    <row r="124" spans="1:6" x14ac:dyDescent="0.2">
      <c r="A124" s="81">
        <v>113</v>
      </c>
      <c r="B124" s="80" t="e">
        <f t="shared" si="5"/>
        <v>#NUM!</v>
      </c>
      <c r="C124" s="80" t="e">
        <f t="shared" si="6"/>
        <v>#NUM!</v>
      </c>
      <c r="D124" s="80" t="e">
        <f t="shared" si="7"/>
        <v>#NUM!</v>
      </c>
      <c r="E124" s="80" t="e">
        <f t="shared" si="8"/>
        <v>#NUM!</v>
      </c>
      <c r="F124" s="80" t="e">
        <f t="shared" si="9"/>
        <v>#NUM!</v>
      </c>
    </row>
    <row r="125" spans="1:6" x14ac:dyDescent="0.2">
      <c r="A125" s="81">
        <v>114</v>
      </c>
      <c r="B125" s="80" t="e">
        <f t="shared" si="5"/>
        <v>#NUM!</v>
      </c>
      <c r="C125" s="80" t="e">
        <f t="shared" si="6"/>
        <v>#NUM!</v>
      </c>
      <c r="D125" s="80" t="e">
        <f t="shared" si="7"/>
        <v>#NUM!</v>
      </c>
      <c r="E125" s="80" t="e">
        <f t="shared" si="8"/>
        <v>#NUM!</v>
      </c>
      <c r="F125" s="80" t="e">
        <f t="shared" si="9"/>
        <v>#NUM!</v>
      </c>
    </row>
    <row r="126" spans="1:6" x14ac:dyDescent="0.2">
      <c r="A126" s="81">
        <v>115</v>
      </c>
      <c r="B126" s="80" t="e">
        <f t="shared" si="5"/>
        <v>#NUM!</v>
      </c>
      <c r="C126" s="80" t="e">
        <f t="shared" si="6"/>
        <v>#NUM!</v>
      </c>
      <c r="D126" s="80" t="e">
        <f t="shared" si="7"/>
        <v>#NUM!</v>
      </c>
      <c r="E126" s="80" t="e">
        <f t="shared" si="8"/>
        <v>#NUM!</v>
      </c>
      <c r="F126" s="80" t="e">
        <f t="shared" si="9"/>
        <v>#NUM!</v>
      </c>
    </row>
    <row r="127" spans="1:6" x14ac:dyDescent="0.2">
      <c r="A127" s="81">
        <v>116</v>
      </c>
      <c r="B127" s="80" t="e">
        <f t="shared" si="5"/>
        <v>#NUM!</v>
      </c>
      <c r="C127" s="80" t="e">
        <f t="shared" si="6"/>
        <v>#NUM!</v>
      </c>
      <c r="D127" s="80" t="e">
        <f t="shared" si="7"/>
        <v>#NUM!</v>
      </c>
      <c r="E127" s="80" t="e">
        <f t="shared" si="8"/>
        <v>#NUM!</v>
      </c>
      <c r="F127" s="80" t="e">
        <f t="shared" si="9"/>
        <v>#NUM!</v>
      </c>
    </row>
    <row r="128" spans="1:6" x14ac:dyDescent="0.2">
      <c r="A128" s="81">
        <v>117</v>
      </c>
      <c r="B128" s="80" t="e">
        <f t="shared" si="5"/>
        <v>#NUM!</v>
      </c>
      <c r="C128" s="80" t="e">
        <f t="shared" si="6"/>
        <v>#NUM!</v>
      </c>
      <c r="D128" s="80" t="e">
        <f t="shared" si="7"/>
        <v>#NUM!</v>
      </c>
      <c r="E128" s="80" t="e">
        <f t="shared" si="8"/>
        <v>#NUM!</v>
      </c>
      <c r="F128" s="80" t="e">
        <f t="shared" si="9"/>
        <v>#NUM!</v>
      </c>
    </row>
    <row r="129" spans="1:6" x14ac:dyDescent="0.2">
      <c r="A129" s="81">
        <v>118</v>
      </c>
      <c r="B129" s="80" t="e">
        <f t="shared" si="5"/>
        <v>#NUM!</v>
      </c>
      <c r="C129" s="80" t="e">
        <f t="shared" si="6"/>
        <v>#NUM!</v>
      </c>
      <c r="D129" s="80" t="e">
        <f t="shared" si="7"/>
        <v>#NUM!</v>
      </c>
      <c r="E129" s="80" t="e">
        <f t="shared" si="8"/>
        <v>#NUM!</v>
      </c>
      <c r="F129" s="80" t="e">
        <f t="shared" si="9"/>
        <v>#NUM!</v>
      </c>
    </row>
    <row r="130" spans="1:6" x14ac:dyDescent="0.2">
      <c r="A130" s="81">
        <v>119</v>
      </c>
      <c r="B130" s="80" t="e">
        <f t="shared" si="5"/>
        <v>#NUM!</v>
      </c>
      <c r="C130" s="80" t="e">
        <f t="shared" si="6"/>
        <v>#NUM!</v>
      </c>
      <c r="D130" s="80" t="e">
        <f t="shared" si="7"/>
        <v>#NUM!</v>
      </c>
      <c r="E130" s="80" t="e">
        <f t="shared" si="8"/>
        <v>#NUM!</v>
      </c>
      <c r="F130" s="80" t="e">
        <f t="shared" si="9"/>
        <v>#NUM!</v>
      </c>
    </row>
    <row r="131" spans="1:6" x14ac:dyDescent="0.2">
      <c r="A131" s="81">
        <v>120</v>
      </c>
      <c r="B131" s="80" t="e">
        <f t="shared" si="5"/>
        <v>#NUM!</v>
      </c>
      <c r="C131" s="80" t="e">
        <f t="shared" si="6"/>
        <v>#NUM!</v>
      </c>
      <c r="D131" s="80" t="e">
        <f t="shared" si="7"/>
        <v>#NUM!</v>
      </c>
      <c r="E131" s="80" t="e">
        <f t="shared" si="8"/>
        <v>#NUM!</v>
      </c>
      <c r="F131" s="80" t="e">
        <f t="shared" si="9"/>
        <v>#NUM!</v>
      </c>
    </row>
    <row r="132" spans="1:6" x14ac:dyDescent="0.2">
      <c r="A132" s="81">
        <v>121</v>
      </c>
      <c r="B132" s="80" t="e">
        <f t="shared" si="5"/>
        <v>#NUM!</v>
      </c>
      <c r="C132" s="80" t="e">
        <f t="shared" si="6"/>
        <v>#NUM!</v>
      </c>
      <c r="D132" s="80" t="e">
        <f t="shared" si="7"/>
        <v>#NUM!</v>
      </c>
      <c r="E132" s="80" t="e">
        <f t="shared" si="8"/>
        <v>#NUM!</v>
      </c>
      <c r="F132" s="80" t="e">
        <f t="shared" si="9"/>
        <v>#NUM!</v>
      </c>
    </row>
    <row r="133" spans="1:6" x14ac:dyDescent="0.2">
      <c r="A133" s="81">
        <v>122</v>
      </c>
      <c r="B133" s="80" t="e">
        <f t="shared" si="5"/>
        <v>#NUM!</v>
      </c>
      <c r="C133" s="80" t="e">
        <f t="shared" si="6"/>
        <v>#NUM!</v>
      </c>
      <c r="D133" s="80" t="e">
        <f t="shared" si="7"/>
        <v>#NUM!</v>
      </c>
      <c r="E133" s="80" t="e">
        <f t="shared" si="8"/>
        <v>#NUM!</v>
      </c>
      <c r="F133" s="80" t="e">
        <f t="shared" si="9"/>
        <v>#NUM!</v>
      </c>
    </row>
    <row r="134" spans="1:6" x14ac:dyDescent="0.2">
      <c r="A134" s="81">
        <v>123</v>
      </c>
      <c r="B134" s="80" t="e">
        <f t="shared" si="5"/>
        <v>#NUM!</v>
      </c>
      <c r="C134" s="80" t="e">
        <f t="shared" si="6"/>
        <v>#NUM!</v>
      </c>
      <c r="D134" s="80" t="e">
        <f t="shared" si="7"/>
        <v>#NUM!</v>
      </c>
      <c r="E134" s="80" t="e">
        <f t="shared" si="8"/>
        <v>#NUM!</v>
      </c>
      <c r="F134" s="80" t="e">
        <f t="shared" si="9"/>
        <v>#NUM!</v>
      </c>
    </row>
    <row r="135" spans="1:6" x14ac:dyDescent="0.2">
      <c r="A135" s="81">
        <v>124</v>
      </c>
      <c r="B135" s="80" t="e">
        <f t="shared" si="5"/>
        <v>#NUM!</v>
      </c>
      <c r="C135" s="80" t="e">
        <f t="shared" si="6"/>
        <v>#NUM!</v>
      </c>
      <c r="D135" s="80" t="e">
        <f t="shared" si="7"/>
        <v>#NUM!</v>
      </c>
      <c r="E135" s="80" t="e">
        <f t="shared" si="8"/>
        <v>#NUM!</v>
      </c>
      <c r="F135" s="80" t="e">
        <f t="shared" si="9"/>
        <v>#NUM!</v>
      </c>
    </row>
    <row r="136" spans="1:6" x14ac:dyDescent="0.2">
      <c r="A136" s="81">
        <v>125</v>
      </c>
      <c r="B136" s="80" t="e">
        <f t="shared" si="5"/>
        <v>#NUM!</v>
      </c>
      <c r="C136" s="80" t="e">
        <f t="shared" si="6"/>
        <v>#NUM!</v>
      </c>
      <c r="D136" s="80" t="e">
        <f t="shared" si="7"/>
        <v>#NUM!</v>
      </c>
      <c r="E136" s="80" t="e">
        <f t="shared" si="8"/>
        <v>#NUM!</v>
      </c>
      <c r="F136" s="80" t="e">
        <f t="shared" si="9"/>
        <v>#NUM!</v>
      </c>
    </row>
    <row r="137" spans="1:6" x14ac:dyDescent="0.2">
      <c r="A137" s="81">
        <v>126</v>
      </c>
      <c r="B137" s="80" t="e">
        <f t="shared" si="5"/>
        <v>#NUM!</v>
      </c>
      <c r="C137" s="80" t="e">
        <f t="shared" si="6"/>
        <v>#NUM!</v>
      </c>
      <c r="D137" s="80" t="e">
        <f t="shared" si="7"/>
        <v>#NUM!</v>
      </c>
      <c r="E137" s="80" t="e">
        <f t="shared" si="8"/>
        <v>#NUM!</v>
      </c>
      <c r="F137" s="80" t="e">
        <f t="shared" si="9"/>
        <v>#NUM!</v>
      </c>
    </row>
    <row r="138" spans="1:6" x14ac:dyDescent="0.2">
      <c r="A138" s="81">
        <v>127</v>
      </c>
      <c r="B138" s="80" t="e">
        <f t="shared" si="5"/>
        <v>#NUM!</v>
      </c>
      <c r="C138" s="80" t="e">
        <f t="shared" si="6"/>
        <v>#NUM!</v>
      </c>
      <c r="D138" s="80" t="e">
        <f t="shared" si="7"/>
        <v>#NUM!</v>
      </c>
      <c r="E138" s="80" t="e">
        <f t="shared" si="8"/>
        <v>#NUM!</v>
      </c>
      <c r="F138" s="80" t="e">
        <f t="shared" si="9"/>
        <v>#NUM!</v>
      </c>
    </row>
    <row r="139" spans="1:6" x14ac:dyDescent="0.2">
      <c r="A139" s="81">
        <v>128</v>
      </c>
      <c r="B139" s="80" t="e">
        <f t="shared" si="5"/>
        <v>#NUM!</v>
      </c>
      <c r="C139" s="80" t="e">
        <f t="shared" si="6"/>
        <v>#NUM!</v>
      </c>
      <c r="D139" s="80" t="e">
        <f t="shared" si="7"/>
        <v>#NUM!</v>
      </c>
      <c r="E139" s="80" t="e">
        <f t="shared" si="8"/>
        <v>#NUM!</v>
      </c>
      <c r="F139" s="80" t="e">
        <f t="shared" si="9"/>
        <v>#NUM!</v>
      </c>
    </row>
    <row r="140" spans="1:6" x14ac:dyDescent="0.2">
      <c r="A140" s="81">
        <v>129</v>
      </c>
      <c r="B140" s="80" t="e">
        <f t="shared" ref="B140:B203" si="10">PPMT(C$5,A140,B$5,-E$11)</f>
        <v>#NUM!</v>
      </c>
      <c r="C140" s="80" t="e">
        <f t="shared" ref="C140:C203" si="11">IPMT(C$5,A140,B$5,-E$11)</f>
        <v>#NUM!</v>
      </c>
      <c r="D140" s="80" t="e">
        <f t="shared" ref="D140:D203" si="12">SUM($D$5)</f>
        <v>#NUM!</v>
      </c>
      <c r="E140" s="80" t="e">
        <f t="shared" ref="E140:E203" si="13">PV(C$5,B$5-A140,-D$12)</f>
        <v>#NUM!</v>
      </c>
      <c r="F140" s="80" t="e">
        <f t="shared" si="9"/>
        <v>#NUM!</v>
      </c>
    </row>
    <row r="141" spans="1:6" x14ac:dyDescent="0.2">
      <c r="A141" s="81">
        <v>130</v>
      </c>
      <c r="B141" s="80" t="e">
        <f t="shared" si="10"/>
        <v>#NUM!</v>
      </c>
      <c r="C141" s="80" t="e">
        <f t="shared" si="11"/>
        <v>#NUM!</v>
      </c>
      <c r="D141" s="80" t="e">
        <f t="shared" si="12"/>
        <v>#NUM!</v>
      </c>
      <c r="E141" s="80" t="e">
        <f t="shared" si="13"/>
        <v>#NUM!</v>
      </c>
      <c r="F141" s="80" t="e">
        <f t="shared" si="9"/>
        <v>#NUM!</v>
      </c>
    </row>
    <row r="142" spans="1:6" x14ac:dyDescent="0.2">
      <c r="A142" s="81">
        <v>131</v>
      </c>
      <c r="B142" s="80" t="e">
        <f t="shared" si="10"/>
        <v>#NUM!</v>
      </c>
      <c r="C142" s="80" t="e">
        <f t="shared" si="11"/>
        <v>#NUM!</v>
      </c>
      <c r="D142" s="80" t="e">
        <f t="shared" si="12"/>
        <v>#NUM!</v>
      </c>
      <c r="E142" s="80" t="e">
        <f t="shared" si="13"/>
        <v>#NUM!</v>
      </c>
      <c r="F142" s="80" t="e">
        <f t="shared" si="9"/>
        <v>#NUM!</v>
      </c>
    </row>
    <row r="143" spans="1:6" x14ac:dyDescent="0.2">
      <c r="A143" s="81">
        <v>132</v>
      </c>
      <c r="B143" s="80" t="e">
        <f t="shared" si="10"/>
        <v>#NUM!</v>
      </c>
      <c r="C143" s="80" t="e">
        <f t="shared" si="11"/>
        <v>#NUM!</v>
      </c>
      <c r="D143" s="80" t="e">
        <f t="shared" si="12"/>
        <v>#NUM!</v>
      </c>
      <c r="E143" s="80" t="e">
        <f t="shared" si="13"/>
        <v>#NUM!</v>
      </c>
      <c r="F143" s="80" t="e">
        <f t="shared" si="9"/>
        <v>#NUM!</v>
      </c>
    </row>
    <row r="144" spans="1:6" x14ac:dyDescent="0.2">
      <c r="A144" s="81">
        <v>133</v>
      </c>
      <c r="B144" s="80" t="e">
        <f t="shared" si="10"/>
        <v>#NUM!</v>
      </c>
      <c r="C144" s="80" t="e">
        <f t="shared" si="11"/>
        <v>#NUM!</v>
      </c>
      <c r="D144" s="80" t="e">
        <f t="shared" si="12"/>
        <v>#NUM!</v>
      </c>
      <c r="E144" s="80" t="e">
        <f t="shared" si="13"/>
        <v>#NUM!</v>
      </c>
      <c r="F144" s="80" t="e">
        <f t="shared" si="9"/>
        <v>#NUM!</v>
      </c>
    </row>
    <row r="145" spans="1:6" x14ac:dyDescent="0.2">
      <c r="A145" s="81">
        <v>134</v>
      </c>
      <c r="B145" s="80" t="e">
        <f t="shared" si="10"/>
        <v>#NUM!</v>
      </c>
      <c r="C145" s="80" t="e">
        <f t="shared" si="11"/>
        <v>#NUM!</v>
      </c>
      <c r="D145" s="80" t="e">
        <f t="shared" si="12"/>
        <v>#NUM!</v>
      </c>
      <c r="E145" s="80" t="e">
        <f t="shared" si="13"/>
        <v>#NUM!</v>
      </c>
      <c r="F145" s="80" t="e">
        <f t="shared" si="9"/>
        <v>#NUM!</v>
      </c>
    </row>
    <row r="146" spans="1:6" x14ac:dyDescent="0.2">
      <c r="A146" s="81">
        <v>135</v>
      </c>
      <c r="B146" s="80" t="e">
        <f t="shared" si="10"/>
        <v>#NUM!</v>
      </c>
      <c r="C146" s="80" t="e">
        <f t="shared" si="11"/>
        <v>#NUM!</v>
      </c>
      <c r="D146" s="80" t="e">
        <f t="shared" si="12"/>
        <v>#NUM!</v>
      </c>
      <c r="E146" s="80" t="e">
        <f t="shared" si="13"/>
        <v>#NUM!</v>
      </c>
      <c r="F146" s="80" t="e">
        <f t="shared" si="9"/>
        <v>#NUM!</v>
      </c>
    </row>
    <row r="147" spans="1:6" x14ac:dyDescent="0.2">
      <c r="A147" s="81">
        <v>136</v>
      </c>
      <c r="B147" s="80" t="e">
        <f t="shared" si="10"/>
        <v>#NUM!</v>
      </c>
      <c r="C147" s="80" t="e">
        <f t="shared" si="11"/>
        <v>#NUM!</v>
      </c>
      <c r="D147" s="80" t="e">
        <f t="shared" si="12"/>
        <v>#NUM!</v>
      </c>
      <c r="E147" s="80" t="e">
        <f t="shared" si="13"/>
        <v>#NUM!</v>
      </c>
      <c r="F147" s="80" t="e">
        <f t="shared" si="9"/>
        <v>#NUM!</v>
      </c>
    </row>
    <row r="148" spans="1:6" x14ac:dyDescent="0.2">
      <c r="A148" s="81">
        <v>137</v>
      </c>
      <c r="B148" s="80" t="e">
        <f t="shared" si="10"/>
        <v>#NUM!</v>
      </c>
      <c r="C148" s="80" t="e">
        <f t="shared" si="11"/>
        <v>#NUM!</v>
      </c>
      <c r="D148" s="80" t="e">
        <f t="shared" si="12"/>
        <v>#NUM!</v>
      </c>
      <c r="E148" s="80" t="e">
        <f t="shared" si="13"/>
        <v>#NUM!</v>
      </c>
      <c r="F148" s="80" t="e">
        <f t="shared" si="9"/>
        <v>#NUM!</v>
      </c>
    </row>
    <row r="149" spans="1:6" x14ac:dyDescent="0.2">
      <c r="A149" s="81">
        <v>138</v>
      </c>
      <c r="B149" s="80" t="e">
        <f t="shared" si="10"/>
        <v>#NUM!</v>
      </c>
      <c r="C149" s="80" t="e">
        <f t="shared" si="11"/>
        <v>#NUM!</v>
      </c>
      <c r="D149" s="80" t="e">
        <f t="shared" si="12"/>
        <v>#NUM!</v>
      </c>
      <c r="E149" s="80" t="e">
        <f t="shared" si="13"/>
        <v>#NUM!</v>
      </c>
      <c r="F149" s="80" t="e">
        <f t="shared" si="9"/>
        <v>#NUM!</v>
      </c>
    </row>
    <row r="150" spans="1:6" x14ac:dyDescent="0.2">
      <c r="A150" s="81">
        <v>139</v>
      </c>
      <c r="B150" s="80" t="e">
        <f t="shared" si="10"/>
        <v>#NUM!</v>
      </c>
      <c r="C150" s="80" t="e">
        <f t="shared" si="11"/>
        <v>#NUM!</v>
      </c>
      <c r="D150" s="80" t="e">
        <f t="shared" si="12"/>
        <v>#NUM!</v>
      </c>
      <c r="E150" s="80" t="e">
        <f t="shared" si="13"/>
        <v>#NUM!</v>
      </c>
      <c r="F150" s="80" t="e">
        <f t="shared" si="9"/>
        <v>#NUM!</v>
      </c>
    </row>
    <row r="151" spans="1:6" x14ac:dyDescent="0.2">
      <c r="A151" s="81">
        <v>140</v>
      </c>
      <c r="B151" s="80" t="e">
        <f t="shared" si="10"/>
        <v>#NUM!</v>
      </c>
      <c r="C151" s="80" t="e">
        <f t="shared" si="11"/>
        <v>#NUM!</v>
      </c>
      <c r="D151" s="80" t="e">
        <f t="shared" si="12"/>
        <v>#NUM!</v>
      </c>
      <c r="E151" s="80" t="e">
        <f t="shared" si="13"/>
        <v>#NUM!</v>
      </c>
      <c r="F151" s="80" t="e">
        <f t="shared" si="9"/>
        <v>#NUM!</v>
      </c>
    </row>
    <row r="152" spans="1:6" x14ac:dyDescent="0.2">
      <c r="A152" s="81">
        <v>141</v>
      </c>
      <c r="B152" s="80" t="e">
        <f t="shared" si="10"/>
        <v>#NUM!</v>
      </c>
      <c r="C152" s="80" t="e">
        <f t="shared" si="11"/>
        <v>#NUM!</v>
      </c>
      <c r="D152" s="80" t="e">
        <f t="shared" si="12"/>
        <v>#NUM!</v>
      </c>
      <c r="E152" s="80" t="e">
        <f t="shared" si="13"/>
        <v>#NUM!</v>
      </c>
      <c r="F152" s="80" t="e">
        <f t="shared" si="9"/>
        <v>#NUM!</v>
      </c>
    </row>
    <row r="153" spans="1:6" x14ac:dyDescent="0.2">
      <c r="A153" s="81">
        <v>142</v>
      </c>
      <c r="B153" s="80" t="e">
        <f t="shared" si="10"/>
        <v>#NUM!</v>
      </c>
      <c r="C153" s="80" t="e">
        <f t="shared" si="11"/>
        <v>#NUM!</v>
      </c>
      <c r="D153" s="80" t="e">
        <f t="shared" si="12"/>
        <v>#NUM!</v>
      </c>
      <c r="E153" s="80" t="e">
        <f t="shared" si="13"/>
        <v>#NUM!</v>
      </c>
      <c r="F153" s="80" t="e">
        <f t="shared" si="9"/>
        <v>#NUM!</v>
      </c>
    </row>
    <row r="154" spans="1:6" x14ac:dyDescent="0.2">
      <c r="A154" s="81">
        <v>143</v>
      </c>
      <c r="B154" s="80" t="e">
        <f t="shared" si="10"/>
        <v>#NUM!</v>
      </c>
      <c r="C154" s="80" t="e">
        <f t="shared" si="11"/>
        <v>#NUM!</v>
      </c>
      <c r="D154" s="80" t="e">
        <f t="shared" si="12"/>
        <v>#NUM!</v>
      </c>
      <c r="E154" s="80" t="e">
        <f t="shared" si="13"/>
        <v>#NUM!</v>
      </c>
      <c r="F154" s="80" t="e">
        <f t="shared" si="9"/>
        <v>#NUM!</v>
      </c>
    </row>
    <row r="155" spans="1:6" x14ac:dyDescent="0.2">
      <c r="A155" s="81">
        <v>144</v>
      </c>
      <c r="B155" s="80" t="e">
        <f t="shared" si="10"/>
        <v>#NUM!</v>
      </c>
      <c r="C155" s="80" t="e">
        <f t="shared" si="11"/>
        <v>#NUM!</v>
      </c>
      <c r="D155" s="80" t="e">
        <f t="shared" si="12"/>
        <v>#NUM!</v>
      </c>
      <c r="E155" s="80" t="e">
        <f t="shared" si="13"/>
        <v>#NUM!</v>
      </c>
      <c r="F155" s="80" t="e">
        <f t="shared" si="9"/>
        <v>#NUM!</v>
      </c>
    </row>
    <row r="156" spans="1:6" x14ac:dyDescent="0.2">
      <c r="A156" s="81">
        <v>145</v>
      </c>
      <c r="B156" s="80" t="e">
        <f t="shared" si="10"/>
        <v>#NUM!</v>
      </c>
      <c r="C156" s="80" t="e">
        <f t="shared" si="11"/>
        <v>#NUM!</v>
      </c>
      <c r="D156" s="80" t="e">
        <f t="shared" si="12"/>
        <v>#NUM!</v>
      </c>
      <c r="E156" s="80" t="e">
        <f t="shared" si="13"/>
        <v>#NUM!</v>
      </c>
      <c r="F156" s="80" t="e">
        <f t="shared" si="9"/>
        <v>#NUM!</v>
      </c>
    </row>
    <row r="157" spans="1:6" x14ac:dyDescent="0.2">
      <c r="A157" s="81">
        <v>146</v>
      </c>
      <c r="B157" s="80" t="e">
        <f t="shared" si="10"/>
        <v>#NUM!</v>
      </c>
      <c r="C157" s="80" t="e">
        <f t="shared" si="11"/>
        <v>#NUM!</v>
      </c>
      <c r="D157" s="80" t="e">
        <f t="shared" si="12"/>
        <v>#NUM!</v>
      </c>
      <c r="E157" s="80" t="e">
        <f t="shared" si="13"/>
        <v>#NUM!</v>
      </c>
      <c r="F157" s="80" t="e">
        <f t="shared" si="9"/>
        <v>#NUM!</v>
      </c>
    </row>
    <row r="158" spans="1:6" x14ac:dyDescent="0.2">
      <c r="A158" s="81">
        <v>147</v>
      </c>
      <c r="B158" s="80" t="e">
        <f t="shared" si="10"/>
        <v>#NUM!</v>
      </c>
      <c r="C158" s="80" t="e">
        <f t="shared" si="11"/>
        <v>#NUM!</v>
      </c>
      <c r="D158" s="80" t="e">
        <f t="shared" si="12"/>
        <v>#NUM!</v>
      </c>
      <c r="E158" s="80" t="e">
        <f t="shared" si="13"/>
        <v>#NUM!</v>
      </c>
      <c r="F158" s="80" t="e">
        <f t="shared" si="9"/>
        <v>#NUM!</v>
      </c>
    </row>
    <row r="159" spans="1:6" x14ac:dyDescent="0.2">
      <c r="A159" s="81">
        <v>148</v>
      </c>
      <c r="B159" s="80" t="e">
        <f t="shared" si="10"/>
        <v>#NUM!</v>
      </c>
      <c r="C159" s="80" t="e">
        <f t="shared" si="11"/>
        <v>#NUM!</v>
      </c>
      <c r="D159" s="80" t="e">
        <f t="shared" si="12"/>
        <v>#NUM!</v>
      </c>
      <c r="E159" s="80" t="e">
        <f t="shared" si="13"/>
        <v>#NUM!</v>
      </c>
      <c r="F159" s="80" t="e">
        <f t="shared" si="9"/>
        <v>#NUM!</v>
      </c>
    </row>
    <row r="160" spans="1:6" x14ac:dyDescent="0.2">
      <c r="A160" s="81">
        <v>149</v>
      </c>
      <c r="B160" s="80" t="e">
        <f t="shared" si="10"/>
        <v>#NUM!</v>
      </c>
      <c r="C160" s="80" t="e">
        <f t="shared" si="11"/>
        <v>#NUM!</v>
      </c>
      <c r="D160" s="80" t="e">
        <f t="shared" si="12"/>
        <v>#NUM!</v>
      </c>
      <c r="E160" s="80" t="e">
        <f t="shared" si="13"/>
        <v>#NUM!</v>
      </c>
      <c r="F160" s="80" t="e">
        <f t="shared" si="9"/>
        <v>#NUM!</v>
      </c>
    </row>
    <row r="161" spans="1:6" x14ac:dyDescent="0.2">
      <c r="A161" s="81">
        <v>150</v>
      </c>
      <c r="B161" s="80" t="e">
        <f t="shared" si="10"/>
        <v>#NUM!</v>
      </c>
      <c r="C161" s="80" t="e">
        <f t="shared" si="11"/>
        <v>#NUM!</v>
      </c>
      <c r="D161" s="80" t="e">
        <f t="shared" si="12"/>
        <v>#NUM!</v>
      </c>
      <c r="E161" s="80" t="e">
        <f t="shared" si="13"/>
        <v>#NUM!</v>
      </c>
      <c r="F161" s="80" t="e">
        <f t="shared" si="9"/>
        <v>#NUM!</v>
      </c>
    </row>
    <row r="162" spans="1:6" x14ac:dyDescent="0.2">
      <c r="A162" s="81">
        <v>151</v>
      </c>
      <c r="B162" s="80" t="e">
        <f t="shared" si="10"/>
        <v>#NUM!</v>
      </c>
      <c r="C162" s="80" t="e">
        <f t="shared" si="11"/>
        <v>#NUM!</v>
      </c>
      <c r="D162" s="80" t="e">
        <f t="shared" si="12"/>
        <v>#NUM!</v>
      </c>
      <c r="E162" s="80" t="e">
        <f t="shared" si="13"/>
        <v>#NUM!</v>
      </c>
      <c r="F162" s="80" t="e">
        <f t="shared" si="9"/>
        <v>#NUM!</v>
      </c>
    </row>
    <row r="163" spans="1:6" x14ac:dyDescent="0.2">
      <c r="A163" s="81">
        <v>152</v>
      </c>
      <c r="B163" s="80" t="e">
        <f t="shared" si="10"/>
        <v>#NUM!</v>
      </c>
      <c r="C163" s="80" t="e">
        <f t="shared" si="11"/>
        <v>#NUM!</v>
      </c>
      <c r="D163" s="80" t="e">
        <f t="shared" si="12"/>
        <v>#NUM!</v>
      </c>
      <c r="E163" s="80" t="e">
        <f t="shared" si="13"/>
        <v>#NUM!</v>
      </c>
      <c r="F163" s="80" t="e">
        <f t="shared" si="9"/>
        <v>#NUM!</v>
      </c>
    </row>
    <row r="164" spans="1:6" x14ac:dyDescent="0.2">
      <c r="A164" s="81">
        <v>153</v>
      </c>
      <c r="B164" s="80" t="e">
        <f t="shared" si="10"/>
        <v>#NUM!</v>
      </c>
      <c r="C164" s="80" t="e">
        <f t="shared" si="11"/>
        <v>#NUM!</v>
      </c>
      <c r="D164" s="80" t="e">
        <f t="shared" si="12"/>
        <v>#NUM!</v>
      </c>
      <c r="E164" s="80" t="e">
        <f t="shared" si="13"/>
        <v>#NUM!</v>
      </c>
      <c r="F164" s="80" t="e">
        <f t="shared" si="9"/>
        <v>#NUM!</v>
      </c>
    </row>
    <row r="165" spans="1:6" x14ac:dyDescent="0.2">
      <c r="A165" s="81">
        <v>154</v>
      </c>
      <c r="B165" s="80" t="e">
        <f t="shared" si="10"/>
        <v>#NUM!</v>
      </c>
      <c r="C165" s="80" t="e">
        <f t="shared" si="11"/>
        <v>#NUM!</v>
      </c>
      <c r="D165" s="80" t="e">
        <f t="shared" si="12"/>
        <v>#NUM!</v>
      </c>
      <c r="E165" s="80" t="e">
        <f t="shared" si="13"/>
        <v>#NUM!</v>
      </c>
      <c r="F165" s="80" t="e">
        <f t="shared" ref="F165:F228" si="14">E165*0.00025</f>
        <v>#NUM!</v>
      </c>
    </row>
    <row r="166" spans="1:6" x14ac:dyDescent="0.2">
      <c r="A166" s="81">
        <v>155</v>
      </c>
      <c r="B166" s="80" t="e">
        <f t="shared" si="10"/>
        <v>#NUM!</v>
      </c>
      <c r="C166" s="80" t="e">
        <f t="shared" si="11"/>
        <v>#NUM!</v>
      </c>
      <c r="D166" s="80" t="e">
        <f t="shared" si="12"/>
        <v>#NUM!</v>
      </c>
      <c r="E166" s="80" t="e">
        <f t="shared" si="13"/>
        <v>#NUM!</v>
      </c>
      <c r="F166" s="80" t="e">
        <f t="shared" si="14"/>
        <v>#NUM!</v>
      </c>
    </row>
    <row r="167" spans="1:6" x14ac:dyDescent="0.2">
      <c r="A167" s="81">
        <v>156</v>
      </c>
      <c r="B167" s="80" t="e">
        <f t="shared" si="10"/>
        <v>#NUM!</v>
      </c>
      <c r="C167" s="80" t="e">
        <f t="shared" si="11"/>
        <v>#NUM!</v>
      </c>
      <c r="D167" s="80" t="e">
        <f t="shared" si="12"/>
        <v>#NUM!</v>
      </c>
      <c r="E167" s="80" t="e">
        <f t="shared" si="13"/>
        <v>#NUM!</v>
      </c>
      <c r="F167" s="80" t="e">
        <f t="shared" si="14"/>
        <v>#NUM!</v>
      </c>
    </row>
    <row r="168" spans="1:6" x14ac:dyDescent="0.2">
      <c r="A168" s="81">
        <v>157</v>
      </c>
      <c r="B168" s="80" t="e">
        <f t="shared" si="10"/>
        <v>#NUM!</v>
      </c>
      <c r="C168" s="80" t="e">
        <f t="shared" si="11"/>
        <v>#NUM!</v>
      </c>
      <c r="D168" s="80" t="e">
        <f t="shared" si="12"/>
        <v>#NUM!</v>
      </c>
      <c r="E168" s="80" t="e">
        <f t="shared" si="13"/>
        <v>#NUM!</v>
      </c>
      <c r="F168" s="80" t="e">
        <f t="shared" si="14"/>
        <v>#NUM!</v>
      </c>
    </row>
    <row r="169" spans="1:6" x14ac:dyDescent="0.2">
      <c r="A169" s="81">
        <v>158</v>
      </c>
      <c r="B169" s="80" t="e">
        <f t="shared" si="10"/>
        <v>#NUM!</v>
      </c>
      <c r="C169" s="80" t="e">
        <f t="shared" si="11"/>
        <v>#NUM!</v>
      </c>
      <c r="D169" s="80" t="e">
        <f t="shared" si="12"/>
        <v>#NUM!</v>
      </c>
      <c r="E169" s="80" t="e">
        <f t="shared" si="13"/>
        <v>#NUM!</v>
      </c>
      <c r="F169" s="80" t="e">
        <f t="shared" si="14"/>
        <v>#NUM!</v>
      </c>
    </row>
    <row r="170" spans="1:6" x14ac:dyDescent="0.2">
      <c r="A170" s="81">
        <v>159</v>
      </c>
      <c r="B170" s="80" t="e">
        <f t="shared" si="10"/>
        <v>#NUM!</v>
      </c>
      <c r="C170" s="80" t="e">
        <f t="shared" si="11"/>
        <v>#NUM!</v>
      </c>
      <c r="D170" s="80" t="e">
        <f t="shared" si="12"/>
        <v>#NUM!</v>
      </c>
      <c r="E170" s="80" t="e">
        <f t="shared" si="13"/>
        <v>#NUM!</v>
      </c>
      <c r="F170" s="80" t="e">
        <f t="shared" si="14"/>
        <v>#NUM!</v>
      </c>
    </row>
    <row r="171" spans="1:6" x14ac:dyDescent="0.2">
      <c r="A171" s="81">
        <v>160</v>
      </c>
      <c r="B171" s="80" t="e">
        <f t="shared" si="10"/>
        <v>#NUM!</v>
      </c>
      <c r="C171" s="80" t="e">
        <f t="shared" si="11"/>
        <v>#NUM!</v>
      </c>
      <c r="D171" s="80" t="e">
        <f t="shared" si="12"/>
        <v>#NUM!</v>
      </c>
      <c r="E171" s="80" t="e">
        <f t="shared" si="13"/>
        <v>#NUM!</v>
      </c>
      <c r="F171" s="80" t="e">
        <f t="shared" si="14"/>
        <v>#NUM!</v>
      </c>
    </row>
    <row r="172" spans="1:6" x14ac:dyDescent="0.2">
      <c r="A172" s="81">
        <v>161</v>
      </c>
      <c r="B172" s="80" t="e">
        <f t="shared" si="10"/>
        <v>#NUM!</v>
      </c>
      <c r="C172" s="80" t="e">
        <f t="shared" si="11"/>
        <v>#NUM!</v>
      </c>
      <c r="D172" s="80" t="e">
        <f t="shared" si="12"/>
        <v>#NUM!</v>
      </c>
      <c r="E172" s="80" t="e">
        <f t="shared" si="13"/>
        <v>#NUM!</v>
      </c>
      <c r="F172" s="80" t="e">
        <f t="shared" si="14"/>
        <v>#NUM!</v>
      </c>
    </row>
    <row r="173" spans="1:6" x14ac:dyDescent="0.2">
      <c r="A173" s="81">
        <v>162</v>
      </c>
      <c r="B173" s="80" t="e">
        <f t="shared" si="10"/>
        <v>#NUM!</v>
      </c>
      <c r="C173" s="80" t="e">
        <f t="shared" si="11"/>
        <v>#NUM!</v>
      </c>
      <c r="D173" s="80" t="e">
        <f t="shared" si="12"/>
        <v>#NUM!</v>
      </c>
      <c r="E173" s="80" t="e">
        <f t="shared" si="13"/>
        <v>#NUM!</v>
      </c>
      <c r="F173" s="80" t="e">
        <f t="shared" si="14"/>
        <v>#NUM!</v>
      </c>
    </row>
    <row r="174" spans="1:6" x14ac:dyDescent="0.2">
      <c r="A174" s="81">
        <v>163</v>
      </c>
      <c r="B174" s="80" t="e">
        <f t="shared" si="10"/>
        <v>#NUM!</v>
      </c>
      <c r="C174" s="80" t="e">
        <f t="shared" si="11"/>
        <v>#NUM!</v>
      </c>
      <c r="D174" s="80" t="e">
        <f t="shared" si="12"/>
        <v>#NUM!</v>
      </c>
      <c r="E174" s="80" t="e">
        <f t="shared" si="13"/>
        <v>#NUM!</v>
      </c>
      <c r="F174" s="80" t="e">
        <f t="shared" si="14"/>
        <v>#NUM!</v>
      </c>
    </row>
    <row r="175" spans="1:6" x14ac:dyDescent="0.2">
      <c r="A175" s="81">
        <v>164</v>
      </c>
      <c r="B175" s="80" t="e">
        <f t="shared" si="10"/>
        <v>#NUM!</v>
      </c>
      <c r="C175" s="80" t="e">
        <f t="shared" si="11"/>
        <v>#NUM!</v>
      </c>
      <c r="D175" s="80" t="e">
        <f t="shared" si="12"/>
        <v>#NUM!</v>
      </c>
      <c r="E175" s="80" t="e">
        <f t="shared" si="13"/>
        <v>#NUM!</v>
      </c>
      <c r="F175" s="80" t="e">
        <f t="shared" si="14"/>
        <v>#NUM!</v>
      </c>
    </row>
    <row r="176" spans="1:6" x14ac:dyDescent="0.2">
      <c r="A176" s="81">
        <v>165</v>
      </c>
      <c r="B176" s="80" t="e">
        <f t="shared" si="10"/>
        <v>#NUM!</v>
      </c>
      <c r="C176" s="80" t="e">
        <f t="shared" si="11"/>
        <v>#NUM!</v>
      </c>
      <c r="D176" s="80" t="e">
        <f t="shared" si="12"/>
        <v>#NUM!</v>
      </c>
      <c r="E176" s="80" t="e">
        <f t="shared" si="13"/>
        <v>#NUM!</v>
      </c>
      <c r="F176" s="80" t="e">
        <f t="shared" si="14"/>
        <v>#NUM!</v>
      </c>
    </row>
    <row r="177" spans="1:6" x14ac:dyDescent="0.2">
      <c r="A177" s="81">
        <v>166</v>
      </c>
      <c r="B177" s="80" t="e">
        <f t="shared" si="10"/>
        <v>#NUM!</v>
      </c>
      <c r="C177" s="80" t="e">
        <f t="shared" si="11"/>
        <v>#NUM!</v>
      </c>
      <c r="D177" s="80" t="e">
        <f t="shared" si="12"/>
        <v>#NUM!</v>
      </c>
      <c r="E177" s="80" t="e">
        <f t="shared" si="13"/>
        <v>#NUM!</v>
      </c>
      <c r="F177" s="80" t="e">
        <f t="shared" si="14"/>
        <v>#NUM!</v>
      </c>
    </row>
    <row r="178" spans="1:6" x14ac:dyDescent="0.2">
      <c r="A178" s="81">
        <v>167</v>
      </c>
      <c r="B178" s="80" t="e">
        <f t="shared" si="10"/>
        <v>#NUM!</v>
      </c>
      <c r="C178" s="80" t="e">
        <f t="shared" si="11"/>
        <v>#NUM!</v>
      </c>
      <c r="D178" s="80" t="e">
        <f t="shared" si="12"/>
        <v>#NUM!</v>
      </c>
      <c r="E178" s="80" t="e">
        <f t="shared" si="13"/>
        <v>#NUM!</v>
      </c>
      <c r="F178" s="80" t="e">
        <f t="shared" si="14"/>
        <v>#NUM!</v>
      </c>
    </row>
    <row r="179" spans="1:6" x14ac:dyDescent="0.2">
      <c r="A179" s="81">
        <v>168</v>
      </c>
      <c r="B179" s="80" t="e">
        <f t="shared" si="10"/>
        <v>#NUM!</v>
      </c>
      <c r="C179" s="80" t="e">
        <f t="shared" si="11"/>
        <v>#NUM!</v>
      </c>
      <c r="D179" s="80" t="e">
        <f t="shared" si="12"/>
        <v>#NUM!</v>
      </c>
      <c r="E179" s="80" t="e">
        <f t="shared" si="13"/>
        <v>#NUM!</v>
      </c>
      <c r="F179" s="80" t="e">
        <f t="shared" si="14"/>
        <v>#NUM!</v>
      </c>
    </row>
    <row r="180" spans="1:6" x14ac:dyDescent="0.2">
      <c r="A180" s="81">
        <v>169</v>
      </c>
      <c r="B180" s="80" t="e">
        <f t="shared" si="10"/>
        <v>#NUM!</v>
      </c>
      <c r="C180" s="80" t="e">
        <f t="shared" si="11"/>
        <v>#NUM!</v>
      </c>
      <c r="D180" s="80" t="e">
        <f t="shared" si="12"/>
        <v>#NUM!</v>
      </c>
      <c r="E180" s="80" t="e">
        <f t="shared" si="13"/>
        <v>#NUM!</v>
      </c>
      <c r="F180" s="80" t="e">
        <f t="shared" si="14"/>
        <v>#NUM!</v>
      </c>
    </row>
    <row r="181" spans="1:6" x14ac:dyDescent="0.2">
      <c r="A181" s="81">
        <v>170</v>
      </c>
      <c r="B181" s="80" t="e">
        <f t="shared" si="10"/>
        <v>#NUM!</v>
      </c>
      <c r="C181" s="80" t="e">
        <f t="shared" si="11"/>
        <v>#NUM!</v>
      </c>
      <c r="D181" s="80" t="e">
        <f t="shared" si="12"/>
        <v>#NUM!</v>
      </c>
      <c r="E181" s="80" t="e">
        <f t="shared" si="13"/>
        <v>#NUM!</v>
      </c>
      <c r="F181" s="80" t="e">
        <f t="shared" si="14"/>
        <v>#NUM!</v>
      </c>
    </row>
    <row r="182" spans="1:6" x14ac:dyDescent="0.2">
      <c r="A182" s="81">
        <v>171</v>
      </c>
      <c r="B182" s="80" t="e">
        <f t="shared" si="10"/>
        <v>#NUM!</v>
      </c>
      <c r="C182" s="80" t="e">
        <f t="shared" si="11"/>
        <v>#NUM!</v>
      </c>
      <c r="D182" s="80" t="e">
        <f t="shared" si="12"/>
        <v>#NUM!</v>
      </c>
      <c r="E182" s="80" t="e">
        <f t="shared" si="13"/>
        <v>#NUM!</v>
      </c>
      <c r="F182" s="80" t="e">
        <f t="shared" si="14"/>
        <v>#NUM!</v>
      </c>
    </row>
    <row r="183" spans="1:6" x14ac:dyDescent="0.2">
      <c r="A183" s="81">
        <v>172</v>
      </c>
      <c r="B183" s="80" t="e">
        <f t="shared" si="10"/>
        <v>#NUM!</v>
      </c>
      <c r="C183" s="80" t="e">
        <f t="shared" si="11"/>
        <v>#NUM!</v>
      </c>
      <c r="D183" s="80" t="e">
        <f t="shared" si="12"/>
        <v>#NUM!</v>
      </c>
      <c r="E183" s="80" t="e">
        <f t="shared" si="13"/>
        <v>#NUM!</v>
      </c>
      <c r="F183" s="80" t="e">
        <f t="shared" si="14"/>
        <v>#NUM!</v>
      </c>
    </row>
    <row r="184" spans="1:6" x14ac:dyDescent="0.2">
      <c r="A184" s="81">
        <v>173</v>
      </c>
      <c r="B184" s="80" t="e">
        <f t="shared" si="10"/>
        <v>#NUM!</v>
      </c>
      <c r="C184" s="80" t="e">
        <f t="shared" si="11"/>
        <v>#NUM!</v>
      </c>
      <c r="D184" s="80" t="e">
        <f t="shared" si="12"/>
        <v>#NUM!</v>
      </c>
      <c r="E184" s="80" t="e">
        <f t="shared" si="13"/>
        <v>#NUM!</v>
      </c>
      <c r="F184" s="80" t="e">
        <f t="shared" si="14"/>
        <v>#NUM!</v>
      </c>
    </row>
    <row r="185" spans="1:6" x14ac:dyDescent="0.2">
      <c r="A185" s="81">
        <v>174</v>
      </c>
      <c r="B185" s="80" t="e">
        <f t="shared" si="10"/>
        <v>#NUM!</v>
      </c>
      <c r="C185" s="80" t="e">
        <f t="shared" si="11"/>
        <v>#NUM!</v>
      </c>
      <c r="D185" s="80" t="e">
        <f t="shared" si="12"/>
        <v>#NUM!</v>
      </c>
      <c r="E185" s="80" t="e">
        <f t="shared" si="13"/>
        <v>#NUM!</v>
      </c>
      <c r="F185" s="80" t="e">
        <f t="shared" si="14"/>
        <v>#NUM!</v>
      </c>
    </row>
    <row r="186" spans="1:6" x14ac:dyDescent="0.2">
      <c r="A186" s="81">
        <v>175</v>
      </c>
      <c r="B186" s="80" t="e">
        <f t="shared" si="10"/>
        <v>#NUM!</v>
      </c>
      <c r="C186" s="80" t="e">
        <f t="shared" si="11"/>
        <v>#NUM!</v>
      </c>
      <c r="D186" s="80" t="e">
        <f t="shared" si="12"/>
        <v>#NUM!</v>
      </c>
      <c r="E186" s="80" t="e">
        <f t="shared" si="13"/>
        <v>#NUM!</v>
      </c>
      <c r="F186" s="80" t="e">
        <f t="shared" si="14"/>
        <v>#NUM!</v>
      </c>
    </row>
    <row r="187" spans="1:6" x14ac:dyDescent="0.2">
      <c r="A187" s="81">
        <v>176</v>
      </c>
      <c r="B187" s="80" t="e">
        <f t="shared" si="10"/>
        <v>#NUM!</v>
      </c>
      <c r="C187" s="80" t="e">
        <f t="shared" si="11"/>
        <v>#NUM!</v>
      </c>
      <c r="D187" s="80" t="e">
        <f t="shared" si="12"/>
        <v>#NUM!</v>
      </c>
      <c r="E187" s="80" t="e">
        <f t="shared" si="13"/>
        <v>#NUM!</v>
      </c>
      <c r="F187" s="80" t="e">
        <f t="shared" si="14"/>
        <v>#NUM!</v>
      </c>
    </row>
    <row r="188" spans="1:6" x14ac:dyDescent="0.2">
      <c r="A188" s="81">
        <v>177</v>
      </c>
      <c r="B188" s="80" t="e">
        <f t="shared" si="10"/>
        <v>#NUM!</v>
      </c>
      <c r="C188" s="80" t="e">
        <f t="shared" si="11"/>
        <v>#NUM!</v>
      </c>
      <c r="D188" s="80" t="e">
        <f t="shared" si="12"/>
        <v>#NUM!</v>
      </c>
      <c r="E188" s="80" t="e">
        <f t="shared" si="13"/>
        <v>#NUM!</v>
      </c>
      <c r="F188" s="80" t="e">
        <f t="shared" si="14"/>
        <v>#NUM!</v>
      </c>
    </row>
    <row r="189" spans="1:6" x14ac:dyDescent="0.2">
      <c r="A189" s="81">
        <v>178</v>
      </c>
      <c r="B189" s="80" t="e">
        <f t="shared" si="10"/>
        <v>#NUM!</v>
      </c>
      <c r="C189" s="80" t="e">
        <f t="shared" si="11"/>
        <v>#NUM!</v>
      </c>
      <c r="D189" s="80" t="e">
        <f t="shared" si="12"/>
        <v>#NUM!</v>
      </c>
      <c r="E189" s="80" t="e">
        <f t="shared" si="13"/>
        <v>#NUM!</v>
      </c>
      <c r="F189" s="80" t="e">
        <f t="shared" si="14"/>
        <v>#NUM!</v>
      </c>
    </row>
    <row r="190" spans="1:6" x14ac:dyDescent="0.2">
      <c r="A190" s="81">
        <v>179</v>
      </c>
      <c r="B190" s="80" t="e">
        <f t="shared" si="10"/>
        <v>#NUM!</v>
      </c>
      <c r="C190" s="80" t="e">
        <f t="shared" si="11"/>
        <v>#NUM!</v>
      </c>
      <c r="D190" s="80" t="e">
        <f t="shared" si="12"/>
        <v>#NUM!</v>
      </c>
      <c r="E190" s="80" t="e">
        <f t="shared" si="13"/>
        <v>#NUM!</v>
      </c>
      <c r="F190" s="80" t="e">
        <f t="shared" si="14"/>
        <v>#NUM!</v>
      </c>
    </row>
    <row r="191" spans="1:6" x14ac:dyDescent="0.2">
      <c r="A191" s="81">
        <v>180</v>
      </c>
      <c r="B191" s="80" t="e">
        <f t="shared" si="10"/>
        <v>#NUM!</v>
      </c>
      <c r="C191" s="80" t="e">
        <f t="shared" si="11"/>
        <v>#NUM!</v>
      </c>
      <c r="D191" s="80" t="e">
        <f t="shared" si="12"/>
        <v>#NUM!</v>
      </c>
      <c r="E191" s="80" t="e">
        <f t="shared" si="13"/>
        <v>#NUM!</v>
      </c>
      <c r="F191" s="80" t="e">
        <f t="shared" si="14"/>
        <v>#NUM!</v>
      </c>
    </row>
    <row r="192" spans="1:6" x14ac:dyDescent="0.2">
      <c r="A192" s="81">
        <v>181</v>
      </c>
      <c r="B192" s="80" t="e">
        <f t="shared" si="10"/>
        <v>#NUM!</v>
      </c>
      <c r="C192" s="80" t="e">
        <f t="shared" si="11"/>
        <v>#NUM!</v>
      </c>
      <c r="D192" s="80" t="e">
        <f t="shared" si="12"/>
        <v>#NUM!</v>
      </c>
      <c r="E192" s="80" t="e">
        <f t="shared" si="13"/>
        <v>#NUM!</v>
      </c>
      <c r="F192" s="80" t="e">
        <f t="shared" si="14"/>
        <v>#NUM!</v>
      </c>
    </row>
    <row r="193" spans="1:6" x14ac:dyDescent="0.2">
      <c r="A193" s="81">
        <v>182</v>
      </c>
      <c r="B193" s="80" t="e">
        <f t="shared" si="10"/>
        <v>#NUM!</v>
      </c>
      <c r="C193" s="80" t="e">
        <f t="shared" si="11"/>
        <v>#NUM!</v>
      </c>
      <c r="D193" s="80" t="e">
        <f t="shared" si="12"/>
        <v>#NUM!</v>
      </c>
      <c r="E193" s="80" t="e">
        <f t="shared" si="13"/>
        <v>#NUM!</v>
      </c>
      <c r="F193" s="80" t="e">
        <f t="shared" si="14"/>
        <v>#NUM!</v>
      </c>
    </row>
    <row r="194" spans="1:6" x14ac:dyDescent="0.2">
      <c r="A194" s="81">
        <v>183</v>
      </c>
      <c r="B194" s="80" t="e">
        <f t="shared" si="10"/>
        <v>#NUM!</v>
      </c>
      <c r="C194" s="80" t="e">
        <f t="shared" si="11"/>
        <v>#NUM!</v>
      </c>
      <c r="D194" s="80" t="e">
        <f t="shared" si="12"/>
        <v>#NUM!</v>
      </c>
      <c r="E194" s="80" t="e">
        <f t="shared" si="13"/>
        <v>#NUM!</v>
      </c>
      <c r="F194" s="80" t="e">
        <f t="shared" si="14"/>
        <v>#NUM!</v>
      </c>
    </row>
    <row r="195" spans="1:6" x14ac:dyDescent="0.2">
      <c r="A195" s="81">
        <v>184</v>
      </c>
      <c r="B195" s="80" t="e">
        <f t="shared" si="10"/>
        <v>#NUM!</v>
      </c>
      <c r="C195" s="80" t="e">
        <f t="shared" si="11"/>
        <v>#NUM!</v>
      </c>
      <c r="D195" s="80" t="e">
        <f t="shared" si="12"/>
        <v>#NUM!</v>
      </c>
      <c r="E195" s="80" t="e">
        <f t="shared" si="13"/>
        <v>#NUM!</v>
      </c>
      <c r="F195" s="80" t="e">
        <f t="shared" si="14"/>
        <v>#NUM!</v>
      </c>
    </row>
    <row r="196" spans="1:6" x14ac:dyDescent="0.2">
      <c r="A196" s="81">
        <v>185</v>
      </c>
      <c r="B196" s="80" t="e">
        <f t="shared" si="10"/>
        <v>#NUM!</v>
      </c>
      <c r="C196" s="80" t="e">
        <f t="shared" si="11"/>
        <v>#NUM!</v>
      </c>
      <c r="D196" s="80" t="e">
        <f t="shared" si="12"/>
        <v>#NUM!</v>
      </c>
      <c r="E196" s="80" t="e">
        <f t="shared" si="13"/>
        <v>#NUM!</v>
      </c>
      <c r="F196" s="80" t="e">
        <f t="shared" si="14"/>
        <v>#NUM!</v>
      </c>
    </row>
    <row r="197" spans="1:6" x14ac:dyDescent="0.2">
      <c r="A197" s="81">
        <v>186</v>
      </c>
      <c r="B197" s="80" t="e">
        <f t="shared" si="10"/>
        <v>#NUM!</v>
      </c>
      <c r="C197" s="80" t="e">
        <f t="shared" si="11"/>
        <v>#NUM!</v>
      </c>
      <c r="D197" s="80" t="e">
        <f t="shared" si="12"/>
        <v>#NUM!</v>
      </c>
      <c r="E197" s="80" t="e">
        <f t="shared" si="13"/>
        <v>#NUM!</v>
      </c>
      <c r="F197" s="80" t="e">
        <f t="shared" si="14"/>
        <v>#NUM!</v>
      </c>
    </row>
    <row r="198" spans="1:6" x14ac:dyDescent="0.2">
      <c r="A198" s="81">
        <v>187</v>
      </c>
      <c r="B198" s="80" t="e">
        <f t="shared" si="10"/>
        <v>#NUM!</v>
      </c>
      <c r="C198" s="80" t="e">
        <f t="shared" si="11"/>
        <v>#NUM!</v>
      </c>
      <c r="D198" s="80" t="e">
        <f t="shared" si="12"/>
        <v>#NUM!</v>
      </c>
      <c r="E198" s="80" t="e">
        <f t="shared" si="13"/>
        <v>#NUM!</v>
      </c>
      <c r="F198" s="80" t="e">
        <f t="shared" si="14"/>
        <v>#NUM!</v>
      </c>
    </row>
    <row r="199" spans="1:6" x14ac:dyDescent="0.2">
      <c r="A199" s="81">
        <v>188</v>
      </c>
      <c r="B199" s="80" t="e">
        <f t="shared" si="10"/>
        <v>#NUM!</v>
      </c>
      <c r="C199" s="80" t="e">
        <f t="shared" si="11"/>
        <v>#NUM!</v>
      </c>
      <c r="D199" s="80" t="e">
        <f t="shared" si="12"/>
        <v>#NUM!</v>
      </c>
      <c r="E199" s="80" t="e">
        <f t="shared" si="13"/>
        <v>#NUM!</v>
      </c>
      <c r="F199" s="80" t="e">
        <f t="shared" si="14"/>
        <v>#NUM!</v>
      </c>
    </row>
    <row r="200" spans="1:6" x14ac:dyDescent="0.2">
      <c r="A200" s="81">
        <v>189</v>
      </c>
      <c r="B200" s="80" t="e">
        <f t="shared" si="10"/>
        <v>#NUM!</v>
      </c>
      <c r="C200" s="80" t="e">
        <f t="shared" si="11"/>
        <v>#NUM!</v>
      </c>
      <c r="D200" s="80" t="e">
        <f t="shared" si="12"/>
        <v>#NUM!</v>
      </c>
      <c r="E200" s="80" t="e">
        <f t="shared" si="13"/>
        <v>#NUM!</v>
      </c>
      <c r="F200" s="80" t="e">
        <f t="shared" si="14"/>
        <v>#NUM!</v>
      </c>
    </row>
    <row r="201" spans="1:6" x14ac:dyDescent="0.2">
      <c r="A201" s="81">
        <v>190</v>
      </c>
      <c r="B201" s="80" t="e">
        <f t="shared" si="10"/>
        <v>#NUM!</v>
      </c>
      <c r="C201" s="80" t="e">
        <f t="shared" si="11"/>
        <v>#NUM!</v>
      </c>
      <c r="D201" s="80" t="e">
        <f t="shared" si="12"/>
        <v>#NUM!</v>
      </c>
      <c r="E201" s="80" t="e">
        <f t="shared" si="13"/>
        <v>#NUM!</v>
      </c>
      <c r="F201" s="80" t="e">
        <f t="shared" si="14"/>
        <v>#NUM!</v>
      </c>
    </row>
    <row r="202" spans="1:6" x14ac:dyDescent="0.2">
      <c r="A202" s="81">
        <v>191</v>
      </c>
      <c r="B202" s="80" t="e">
        <f t="shared" si="10"/>
        <v>#NUM!</v>
      </c>
      <c r="C202" s="80" t="e">
        <f t="shared" si="11"/>
        <v>#NUM!</v>
      </c>
      <c r="D202" s="80" t="e">
        <f t="shared" si="12"/>
        <v>#NUM!</v>
      </c>
      <c r="E202" s="80" t="e">
        <f t="shared" si="13"/>
        <v>#NUM!</v>
      </c>
      <c r="F202" s="80" t="e">
        <f t="shared" si="14"/>
        <v>#NUM!</v>
      </c>
    </row>
    <row r="203" spans="1:6" x14ac:dyDescent="0.2">
      <c r="A203" s="81">
        <v>192</v>
      </c>
      <c r="B203" s="80" t="e">
        <f t="shared" si="10"/>
        <v>#NUM!</v>
      </c>
      <c r="C203" s="80" t="e">
        <f t="shared" si="11"/>
        <v>#NUM!</v>
      </c>
      <c r="D203" s="80" t="e">
        <f t="shared" si="12"/>
        <v>#NUM!</v>
      </c>
      <c r="E203" s="80" t="e">
        <f t="shared" si="13"/>
        <v>#NUM!</v>
      </c>
      <c r="F203" s="80" t="e">
        <f t="shared" si="14"/>
        <v>#NUM!</v>
      </c>
    </row>
    <row r="204" spans="1:6" x14ac:dyDescent="0.2">
      <c r="A204" s="81">
        <v>193</v>
      </c>
      <c r="B204" s="80" t="e">
        <f t="shared" ref="B204:B267" si="15">PPMT(C$5,A204,B$5,-E$11)</f>
        <v>#NUM!</v>
      </c>
      <c r="C204" s="80" t="e">
        <f t="shared" ref="C204:C267" si="16">IPMT(C$5,A204,B$5,-E$11)</f>
        <v>#NUM!</v>
      </c>
      <c r="D204" s="80" t="e">
        <f t="shared" ref="D204:D267" si="17">SUM($D$5)</f>
        <v>#NUM!</v>
      </c>
      <c r="E204" s="80" t="e">
        <f t="shared" ref="E204:E267" si="18">PV(C$5,B$5-A204,-D$12)</f>
        <v>#NUM!</v>
      </c>
      <c r="F204" s="80" t="e">
        <f t="shared" si="14"/>
        <v>#NUM!</v>
      </c>
    </row>
    <row r="205" spans="1:6" x14ac:dyDescent="0.2">
      <c r="A205" s="81">
        <v>194</v>
      </c>
      <c r="B205" s="80" t="e">
        <f t="shared" si="15"/>
        <v>#NUM!</v>
      </c>
      <c r="C205" s="80" t="e">
        <f t="shared" si="16"/>
        <v>#NUM!</v>
      </c>
      <c r="D205" s="80" t="e">
        <f t="shared" si="17"/>
        <v>#NUM!</v>
      </c>
      <c r="E205" s="80" t="e">
        <f t="shared" si="18"/>
        <v>#NUM!</v>
      </c>
      <c r="F205" s="80" t="e">
        <f t="shared" si="14"/>
        <v>#NUM!</v>
      </c>
    </row>
    <row r="206" spans="1:6" x14ac:dyDescent="0.2">
      <c r="A206" s="81">
        <v>195</v>
      </c>
      <c r="B206" s="80" t="e">
        <f t="shared" si="15"/>
        <v>#NUM!</v>
      </c>
      <c r="C206" s="80" t="e">
        <f t="shared" si="16"/>
        <v>#NUM!</v>
      </c>
      <c r="D206" s="80" t="e">
        <f t="shared" si="17"/>
        <v>#NUM!</v>
      </c>
      <c r="E206" s="80" t="e">
        <f t="shared" si="18"/>
        <v>#NUM!</v>
      </c>
      <c r="F206" s="80" t="e">
        <f t="shared" si="14"/>
        <v>#NUM!</v>
      </c>
    </row>
    <row r="207" spans="1:6" x14ac:dyDescent="0.2">
      <c r="A207" s="81">
        <v>196</v>
      </c>
      <c r="B207" s="80" t="e">
        <f t="shared" si="15"/>
        <v>#NUM!</v>
      </c>
      <c r="C207" s="80" t="e">
        <f t="shared" si="16"/>
        <v>#NUM!</v>
      </c>
      <c r="D207" s="80" t="e">
        <f t="shared" si="17"/>
        <v>#NUM!</v>
      </c>
      <c r="E207" s="80" t="e">
        <f t="shared" si="18"/>
        <v>#NUM!</v>
      </c>
      <c r="F207" s="80" t="e">
        <f t="shared" si="14"/>
        <v>#NUM!</v>
      </c>
    </row>
    <row r="208" spans="1:6" x14ac:dyDescent="0.2">
      <c r="A208" s="81">
        <v>197</v>
      </c>
      <c r="B208" s="80" t="e">
        <f t="shared" si="15"/>
        <v>#NUM!</v>
      </c>
      <c r="C208" s="80" t="e">
        <f t="shared" si="16"/>
        <v>#NUM!</v>
      </c>
      <c r="D208" s="80" t="e">
        <f t="shared" si="17"/>
        <v>#NUM!</v>
      </c>
      <c r="E208" s="80" t="e">
        <f t="shared" si="18"/>
        <v>#NUM!</v>
      </c>
      <c r="F208" s="80" t="e">
        <f t="shared" si="14"/>
        <v>#NUM!</v>
      </c>
    </row>
    <row r="209" spans="1:6" x14ac:dyDescent="0.2">
      <c r="A209" s="81">
        <v>198</v>
      </c>
      <c r="B209" s="80" t="e">
        <f t="shared" si="15"/>
        <v>#NUM!</v>
      </c>
      <c r="C209" s="80" t="e">
        <f t="shared" si="16"/>
        <v>#NUM!</v>
      </c>
      <c r="D209" s="80" t="e">
        <f t="shared" si="17"/>
        <v>#NUM!</v>
      </c>
      <c r="E209" s="80" t="e">
        <f t="shared" si="18"/>
        <v>#NUM!</v>
      </c>
      <c r="F209" s="80" t="e">
        <f t="shared" si="14"/>
        <v>#NUM!</v>
      </c>
    </row>
    <row r="210" spans="1:6" x14ac:dyDescent="0.2">
      <c r="A210" s="81">
        <v>199</v>
      </c>
      <c r="B210" s="80" t="e">
        <f t="shared" si="15"/>
        <v>#NUM!</v>
      </c>
      <c r="C210" s="80" t="e">
        <f t="shared" si="16"/>
        <v>#NUM!</v>
      </c>
      <c r="D210" s="80" t="e">
        <f t="shared" si="17"/>
        <v>#NUM!</v>
      </c>
      <c r="E210" s="80" t="e">
        <f t="shared" si="18"/>
        <v>#NUM!</v>
      </c>
      <c r="F210" s="80" t="e">
        <f t="shared" si="14"/>
        <v>#NUM!</v>
      </c>
    </row>
    <row r="211" spans="1:6" x14ac:dyDescent="0.2">
      <c r="A211" s="81">
        <v>200</v>
      </c>
      <c r="B211" s="80" t="e">
        <f t="shared" si="15"/>
        <v>#NUM!</v>
      </c>
      <c r="C211" s="80" t="e">
        <f t="shared" si="16"/>
        <v>#NUM!</v>
      </c>
      <c r="D211" s="80" t="e">
        <f t="shared" si="17"/>
        <v>#NUM!</v>
      </c>
      <c r="E211" s="80" t="e">
        <f t="shared" si="18"/>
        <v>#NUM!</v>
      </c>
      <c r="F211" s="80" t="e">
        <f t="shared" si="14"/>
        <v>#NUM!</v>
      </c>
    </row>
    <row r="212" spans="1:6" x14ac:dyDescent="0.2">
      <c r="A212" s="81">
        <v>201</v>
      </c>
      <c r="B212" s="80" t="e">
        <f t="shared" si="15"/>
        <v>#NUM!</v>
      </c>
      <c r="C212" s="80" t="e">
        <f t="shared" si="16"/>
        <v>#NUM!</v>
      </c>
      <c r="D212" s="80" t="e">
        <f t="shared" si="17"/>
        <v>#NUM!</v>
      </c>
      <c r="E212" s="80" t="e">
        <f t="shared" si="18"/>
        <v>#NUM!</v>
      </c>
      <c r="F212" s="80" t="e">
        <f t="shared" si="14"/>
        <v>#NUM!</v>
      </c>
    </row>
    <row r="213" spans="1:6" x14ac:dyDescent="0.2">
      <c r="A213" s="81">
        <v>202</v>
      </c>
      <c r="B213" s="80" t="e">
        <f t="shared" si="15"/>
        <v>#NUM!</v>
      </c>
      <c r="C213" s="80" t="e">
        <f t="shared" si="16"/>
        <v>#NUM!</v>
      </c>
      <c r="D213" s="80" t="e">
        <f t="shared" si="17"/>
        <v>#NUM!</v>
      </c>
      <c r="E213" s="80" t="e">
        <f t="shared" si="18"/>
        <v>#NUM!</v>
      </c>
      <c r="F213" s="80" t="e">
        <f t="shared" si="14"/>
        <v>#NUM!</v>
      </c>
    </row>
    <row r="214" spans="1:6" x14ac:dyDescent="0.2">
      <c r="A214" s="81">
        <v>203</v>
      </c>
      <c r="B214" s="80" t="e">
        <f t="shared" si="15"/>
        <v>#NUM!</v>
      </c>
      <c r="C214" s="80" t="e">
        <f t="shared" si="16"/>
        <v>#NUM!</v>
      </c>
      <c r="D214" s="80" t="e">
        <f t="shared" si="17"/>
        <v>#NUM!</v>
      </c>
      <c r="E214" s="80" t="e">
        <f t="shared" si="18"/>
        <v>#NUM!</v>
      </c>
      <c r="F214" s="80" t="e">
        <f t="shared" si="14"/>
        <v>#NUM!</v>
      </c>
    </row>
    <row r="215" spans="1:6" x14ac:dyDescent="0.2">
      <c r="A215" s="81">
        <v>204</v>
      </c>
      <c r="B215" s="80" t="e">
        <f t="shared" si="15"/>
        <v>#NUM!</v>
      </c>
      <c r="C215" s="80" t="e">
        <f t="shared" si="16"/>
        <v>#NUM!</v>
      </c>
      <c r="D215" s="80" t="e">
        <f t="shared" si="17"/>
        <v>#NUM!</v>
      </c>
      <c r="E215" s="80" t="e">
        <f t="shared" si="18"/>
        <v>#NUM!</v>
      </c>
      <c r="F215" s="80" t="e">
        <f t="shared" si="14"/>
        <v>#NUM!</v>
      </c>
    </row>
    <row r="216" spans="1:6" x14ac:dyDescent="0.2">
      <c r="A216" s="81">
        <v>205</v>
      </c>
      <c r="B216" s="80" t="e">
        <f t="shared" si="15"/>
        <v>#NUM!</v>
      </c>
      <c r="C216" s="80" t="e">
        <f t="shared" si="16"/>
        <v>#NUM!</v>
      </c>
      <c r="D216" s="80" t="e">
        <f t="shared" si="17"/>
        <v>#NUM!</v>
      </c>
      <c r="E216" s="80" t="e">
        <f t="shared" si="18"/>
        <v>#NUM!</v>
      </c>
      <c r="F216" s="80" t="e">
        <f t="shared" si="14"/>
        <v>#NUM!</v>
      </c>
    </row>
    <row r="217" spans="1:6" x14ac:dyDescent="0.2">
      <c r="A217" s="81">
        <v>206</v>
      </c>
      <c r="B217" s="80" t="e">
        <f t="shared" si="15"/>
        <v>#NUM!</v>
      </c>
      <c r="C217" s="80" t="e">
        <f t="shared" si="16"/>
        <v>#NUM!</v>
      </c>
      <c r="D217" s="80" t="e">
        <f t="shared" si="17"/>
        <v>#NUM!</v>
      </c>
      <c r="E217" s="80" t="e">
        <f t="shared" si="18"/>
        <v>#NUM!</v>
      </c>
      <c r="F217" s="80" t="e">
        <f t="shared" si="14"/>
        <v>#NUM!</v>
      </c>
    </row>
    <row r="218" spans="1:6" x14ac:dyDescent="0.2">
      <c r="A218" s="81">
        <v>207</v>
      </c>
      <c r="B218" s="80" t="e">
        <f t="shared" si="15"/>
        <v>#NUM!</v>
      </c>
      <c r="C218" s="80" t="e">
        <f t="shared" si="16"/>
        <v>#NUM!</v>
      </c>
      <c r="D218" s="80" t="e">
        <f t="shared" si="17"/>
        <v>#NUM!</v>
      </c>
      <c r="E218" s="80" t="e">
        <f t="shared" si="18"/>
        <v>#NUM!</v>
      </c>
      <c r="F218" s="80" t="e">
        <f t="shared" si="14"/>
        <v>#NUM!</v>
      </c>
    </row>
    <row r="219" spans="1:6" x14ac:dyDescent="0.2">
      <c r="A219" s="81">
        <v>208</v>
      </c>
      <c r="B219" s="80" t="e">
        <f t="shared" si="15"/>
        <v>#NUM!</v>
      </c>
      <c r="C219" s="80" t="e">
        <f t="shared" si="16"/>
        <v>#NUM!</v>
      </c>
      <c r="D219" s="80" t="e">
        <f t="shared" si="17"/>
        <v>#NUM!</v>
      </c>
      <c r="E219" s="80" t="e">
        <f t="shared" si="18"/>
        <v>#NUM!</v>
      </c>
      <c r="F219" s="80" t="e">
        <f t="shared" si="14"/>
        <v>#NUM!</v>
      </c>
    </row>
    <row r="220" spans="1:6" x14ac:dyDescent="0.2">
      <c r="A220" s="81">
        <v>209</v>
      </c>
      <c r="B220" s="80" t="e">
        <f t="shared" si="15"/>
        <v>#NUM!</v>
      </c>
      <c r="C220" s="80" t="e">
        <f t="shared" si="16"/>
        <v>#NUM!</v>
      </c>
      <c r="D220" s="80" t="e">
        <f t="shared" si="17"/>
        <v>#NUM!</v>
      </c>
      <c r="E220" s="80" t="e">
        <f t="shared" si="18"/>
        <v>#NUM!</v>
      </c>
      <c r="F220" s="80" t="e">
        <f t="shared" si="14"/>
        <v>#NUM!</v>
      </c>
    </row>
    <row r="221" spans="1:6" x14ac:dyDescent="0.2">
      <c r="A221" s="81">
        <v>210</v>
      </c>
      <c r="B221" s="80" t="e">
        <f t="shared" si="15"/>
        <v>#NUM!</v>
      </c>
      <c r="C221" s="80" t="e">
        <f t="shared" si="16"/>
        <v>#NUM!</v>
      </c>
      <c r="D221" s="80" t="e">
        <f t="shared" si="17"/>
        <v>#NUM!</v>
      </c>
      <c r="E221" s="80" t="e">
        <f t="shared" si="18"/>
        <v>#NUM!</v>
      </c>
      <c r="F221" s="80" t="e">
        <f t="shared" si="14"/>
        <v>#NUM!</v>
      </c>
    </row>
    <row r="222" spans="1:6" x14ac:dyDescent="0.2">
      <c r="A222" s="81">
        <v>211</v>
      </c>
      <c r="B222" s="80" t="e">
        <f t="shared" si="15"/>
        <v>#NUM!</v>
      </c>
      <c r="C222" s="80" t="e">
        <f t="shared" si="16"/>
        <v>#NUM!</v>
      </c>
      <c r="D222" s="80" t="e">
        <f t="shared" si="17"/>
        <v>#NUM!</v>
      </c>
      <c r="E222" s="80" t="e">
        <f t="shared" si="18"/>
        <v>#NUM!</v>
      </c>
      <c r="F222" s="80" t="e">
        <f t="shared" si="14"/>
        <v>#NUM!</v>
      </c>
    </row>
    <row r="223" spans="1:6" x14ac:dyDescent="0.2">
      <c r="A223" s="81">
        <v>212</v>
      </c>
      <c r="B223" s="80" t="e">
        <f t="shared" si="15"/>
        <v>#NUM!</v>
      </c>
      <c r="C223" s="80" t="e">
        <f t="shared" si="16"/>
        <v>#NUM!</v>
      </c>
      <c r="D223" s="80" t="e">
        <f t="shared" si="17"/>
        <v>#NUM!</v>
      </c>
      <c r="E223" s="80" t="e">
        <f t="shared" si="18"/>
        <v>#NUM!</v>
      </c>
      <c r="F223" s="80" t="e">
        <f t="shared" si="14"/>
        <v>#NUM!</v>
      </c>
    </row>
    <row r="224" spans="1:6" x14ac:dyDescent="0.2">
      <c r="A224" s="81">
        <v>213</v>
      </c>
      <c r="B224" s="80" t="e">
        <f t="shared" si="15"/>
        <v>#NUM!</v>
      </c>
      <c r="C224" s="80" t="e">
        <f t="shared" si="16"/>
        <v>#NUM!</v>
      </c>
      <c r="D224" s="80" t="e">
        <f t="shared" si="17"/>
        <v>#NUM!</v>
      </c>
      <c r="E224" s="80" t="e">
        <f t="shared" si="18"/>
        <v>#NUM!</v>
      </c>
      <c r="F224" s="80" t="e">
        <f t="shared" si="14"/>
        <v>#NUM!</v>
      </c>
    </row>
    <row r="225" spans="1:6" x14ac:dyDescent="0.2">
      <c r="A225" s="81">
        <v>214</v>
      </c>
      <c r="B225" s="80" t="e">
        <f t="shared" si="15"/>
        <v>#NUM!</v>
      </c>
      <c r="C225" s="80" t="e">
        <f t="shared" si="16"/>
        <v>#NUM!</v>
      </c>
      <c r="D225" s="80" t="e">
        <f t="shared" si="17"/>
        <v>#NUM!</v>
      </c>
      <c r="E225" s="80" t="e">
        <f t="shared" si="18"/>
        <v>#NUM!</v>
      </c>
      <c r="F225" s="80" t="e">
        <f t="shared" si="14"/>
        <v>#NUM!</v>
      </c>
    </row>
    <row r="226" spans="1:6" x14ac:dyDescent="0.2">
      <c r="A226" s="81">
        <v>215</v>
      </c>
      <c r="B226" s="80" t="e">
        <f t="shared" si="15"/>
        <v>#NUM!</v>
      </c>
      <c r="C226" s="80" t="e">
        <f t="shared" si="16"/>
        <v>#NUM!</v>
      </c>
      <c r="D226" s="80" t="e">
        <f t="shared" si="17"/>
        <v>#NUM!</v>
      </c>
      <c r="E226" s="80" t="e">
        <f t="shared" si="18"/>
        <v>#NUM!</v>
      </c>
      <c r="F226" s="80" t="e">
        <f t="shared" si="14"/>
        <v>#NUM!</v>
      </c>
    </row>
    <row r="227" spans="1:6" x14ac:dyDescent="0.2">
      <c r="A227" s="81">
        <v>216</v>
      </c>
      <c r="B227" s="80" t="e">
        <f t="shared" si="15"/>
        <v>#NUM!</v>
      </c>
      <c r="C227" s="80" t="e">
        <f t="shared" si="16"/>
        <v>#NUM!</v>
      </c>
      <c r="D227" s="80" t="e">
        <f t="shared" si="17"/>
        <v>#NUM!</v>
      </c>
      <c r="E227" s="80" t="e">
        <f t="shared" si="18"/>
        <v>#NUM!</v>
      </c>
      <c r="F227" s="80" t="e">
        <f t="shared" si="14"/>
        <v>#NUM!</v>
      </c>
    </row>
    <row r="228" spans="1:6" x14ac:dyDescent="0.2">
      <c r="A228" s="81">
        <v>217</v>
      </c>
      <c r="B228" s="80" t="e">
        <f t="shared" si="15"/>
        <v>#NUM!</v>
      </c>
      <c r="C228" s="80" t="e">
        <f t="shared" si="16"/>
        <v>#NUM!</v>
      </c>
      <c r="D228" s="80" t="e">
        <f t="shared" si="17"/>
        <v>#NUM!</v>
      </c>
      <c r="E228" s="80" t="e">
        <f t="shared" si="18"/>
        <v>#NUM!</v>
      </c>
      <c r="F228" s="80" t="e">
        <f t="shared" si="14"/>
        <v>#NUM!</v>
      </c>
    </row>
    <row r="229" spans="1:6" x14ac:dyDescent="0.2">
      <c r="A229" s="81">
        <v>218</v>
      </c>
      <c r="B229" s="80" t="e">
        <f t="shared" si="15"/>
        <v>#NUM!</v>
      </c>
      <c r="C229" s="80" t="e">
        <f t="shared" si="16"/>
        <v>#NUM!</v>
      </c>
      <c r="D229" s="80" t="e">
        <f t="shared" si="17"/>
        <v>#NUM!</v>
      </c>
      <c r="E229" s="80" t="e">
        <f t="shared" si="18"/>
        <v>#NUM!</v>
      </c>
      <c r="F229" s="80" t="e">
        <f t="shared" ref="F229:F292" si="19">E229*0.00025</f>
        <v>#NUM!</v>
      </c>
    </row>
    <row r="230" spans="1:6" x14ac:dyDescent="0.2">
      <c r="A230" s="81">
        <v>219</v>
      </c>
      <c r="B230" s="80" t="e">
        <f t="shared" si="15"/>
        <v>#NUM!</v>
      </c>
      <c r="C230" s="80" t="e">
        <f t="shared" si="16"/>
        <v>#NUM!</v>
      </c>
      <c r="D230" s="80" t="e">
        <f t="shared" si="17"/>
        <v>#NUM!</v>
      </c>
      <c r="E230" s="80" t="e">
        <f t="shared" si="18"/>
        <v>#NUM!</v>
      </c>
      <c r="F230" s="80" t="e">
        <f t="shared" si="19"/>
        <v>#NUM!</v>
      </c>
    </row>
    <row r="231" spans="1:6" x14ac:dyDescent="0.2">
      <c r="A231" s="81">
        <v>220</v>
      </c>
      <c r="B231" s="80" t="e">
        <f t="shared" si="15"/>
        <v>#NUM!</v>
      </c>
      <c r="C231" s="80" t="e">
        <f t="shared" si="16"/>
        <v>#NUM!</v>
      </c>
      <c r="D231" s="80" t="e">
        <f t="shared" si="17"/>
        <v>#NUM!</v>
      </c>
      <c r="E231" s="80" t="e">
        <f t="shared" si="18"/>
        <v>#NUM!</v>
      </c>
      <c r="F231" s="80" t="e">
        <f t="shared" si="19"/>
        <v>#NUM!</v>
      </c>
    </row>
    <row r="232" spans="1:6" x14ac:dyDescent="0.2">
      <c r="A232" s="81">
        <v>221</v>
      </c>
      <c r="B232" s="80" t="e">
        <f t="shared" si="15"/>
        <v>#NUM!</v>
      </c>
      <c r="C232" s="80" t="e">
        <f t="shared" si="16"/>
        <v>#NUM!</v>
      </c>
      <c r="D232" s="80" t="e">
        <f t="shared" si="17"/>
        <v>#NUM!</v>
      </c>
      <c r="E232" s="80" t="e">
        <f t="shared" si="18"/>
        <v>#NUM!</v>
      </c>
      <c r="F232" s="80" t="e">
        <f t="shared" si="19"/>
        <v>#NUM!</v>
      </c>
    </row>
    <row r="233" spans="1:6" x14ac:dyDescent="0.2">
      <c r="A233" s="81">
        <v>222</v>
      </c>
      <c r="B233" s="80" t="e">
        <f t="shared" si="15"/>
        <v>#NUM!</v>
      </c>
      <c r="C233" s="80" t="e">
        <f t="shared" si="16"/>
        <v>#NUM!</v>
      </c>
      <c r="D233" s="80" t="e">
        <f t="shared" si="17"/>
        <v>#NUM!</v>
      </c>
      <c r="E233" s="80" t="e">
        <f t="shared" si="18"/>
        <v>#NUM!</v>
      </c>
      <c r="F233" s="80" t="e">
        <f t="shared" si="19"/>
        <v>#NUM!</v>
      </c>
    </row>
    <row r="234" spans="1:6" x14ac:dyDescent="0.2">
      <c r="A234" s="81">
        <v>223</v>
      </c>
      <c r="B234" s="80" t="e">
        <f t="shared" si="15"/>
        <v>#NUM!</v>
      </c>
      <c r="C234" s="80" t="e">
        <f t="shared" si="16"/>
        <v>#NUM!</v>
      </c>
      <c r="D234" s="80" t="e">
        <f t="shared" si="17"/>
        <v>#NUM!</v>
      </c>
      <c r="E234" s="80" t="e">
        <f t="shared" si="18"/>
        <v>#NUM!</v>
      </c>
      <c r="F234" s="80" t="e">
        <f t="shared" si="19"/>
        <v>#NUM!</v>
      </c>
    </row>
    <row r="235" spans="1:6" x14ac:dyDescent="0.2">
      <c r="A235" s="81">
        <v>224</v>
      </c>
      <c r="B235" s="80" t="e">
        <f t="shared" si="15"/>
        <v>#NUM!</v>
      </c>
      <c r="C235" s="80" t="e">
        <f t="shared" si="16"/>
        <v>#NUM!</v>
      </c>
      <c r="D235" s="80" t="e">
        <f t="shared" si="17"/>
        <v>#NUM!</v>
      </c>
      <c r="E235" s="80" t="e">
        <f t="shared" si="18"/>
        <v>#NUM!</v>
      </c>
      <c r="F235" s="80" t="e">
        <f t="shared" si="19"/>
        <v>#NUM!</v>
      </c>
    </row>
    <row r="236" spans="1:6" x14ac:dyDescent="0.2">
      <c r="A236" s="81">
        <v>225</v>
      </c>
      <c r="B236" s="80" t="e">
        <f t="shared" si="15"/>
        <v>#NUM!</v>
      </c>
      <c r="C236" s="80" t="e">
        <f t="shared" si="16"/>
        <v>#NUM!</v>
      </c>
      <c r="D236" s="80" t="e">
        <f t="shared" si="17"/>
        <v>#NUM!</v>
      </c>
      <c r="E236" s="80" t="e">
        <f t="shared" si="18"/>
        <v>#NUM!</v>
      </c>
      <c r="F236" s="80" t="e">
        <f t="shared" si="19"/>
        <v>#NUM!</v>
      </c>
    </row>
    <row r="237" spans="1:6" x14ac:dyDescent="0.2">
      <c r="A237" s="81">
        <v>226</v>
      </c>
      <c r="B237" s="80" t="e">
        <f t="shared" si="15"/>
        <v>#NUM!</v>
      </c>
      <c r="C237" s="80" t="e">
        <f t="shared" si="16"/>
        <v>#NUM!</v>
      </c>
      <c r="D237" s="80" t="e">
        <f t="shared" si="17"/>
        <v>#NUM!</v>
      </c>
      <c r="E237" s="80" t="e">
        <f t="shared" si="18"/>
        <v>#NUM!</v>
      </c>
      <c r="F237" s="80" t="e">
        <f t="shared" si="19"/>
        <v>#NUM!</v>
      </c>
    </row>
    <row r="238" spans="1:6" x14ac:dyDescent="0.2">
      <c r="A238" s="81">
        <v>227</v>
      </c>
      <c r="B238" s="80" t="e">
        <f t="shared" si="15"/>
        <v>#NUM!</v>
      </c>
      <c r="C238" s="80" t="e">
        <f t="shared" si="16"/>
        <v>#NUM!</v>
      </c>
      <c r="D238" s="80" t="e">
        <f t="shared" si="17"/>
        <v>#NUM!</v>
      </c>
      <c r="E238" s="80" t="e">
        <f t="shared" si="18"/>
        <v>#NUM!</v>
      </c>
      <c r="F238" s="80" t="e">
        <f t="shared" si="19"/>
        <v>#NUM!</v>
      </c>
    </row>
    <row r="239" spans="1:6" x14ac:dyDescent="0.2">
      <c r="A239" s="81">
        <v>228</v>
      </c>
      <c r="B239" s="80" t="e">
        <f t="shared" si="15"/>
        <v>#NUM!</v>
      </c>
      <c r="C239" s="80" t="e">
        <f t="shared" si="16"/>
        <v>#NUM!</v>
      </c>
      <c r="D239" s="80" t="e">
        <f t="shared" si="17"/>
        <v>#NUM!</v>
      </c>
      <c r="E239" s="80" t="e">
        <f t="shared" si="18"/>
        <v>#NUM!</v>
      </c>
      <c r="F239" s="80" t="e">
        <f t="shared" si="19"/>
        <v>#NUM!</v>
      </c>
    </row>
    <row r="240" spans="1:6" x14ac:dyDescent="0.2">
      <c r="A240" s="81">
        <v>229</v>
      </c>
      <c r="B240" s="80" t="e">
        <f t="shared" si="15"/>
        <v>#NUM!</v>
      </c>
      <c r="C240" s="80" t="e">
        <f t="shared" si="16"/>
        <v>#NUM!</v>
      </c>
      <c r="D240" s="80" t="e">
        <f t="shared" si="17"/>
        <v>#NUM!</v>
      </c>
      <c r="E240" s="80" t="e">
        <f t="shared" si="18"/>
        <v>#NUM!</v>
      </c>
      <c r="F240" s="80" t="e">
        <f t="shared" si="19"/>
        <v>#NUM!</v>
      </c>
    </row>
    <row r="241" spans="1:6" x14ac:dyDescent="0.2">
      <c r="A241" s="81">
        <v>230</v>
      </c>
      <c r="B241" s="80" t="e">
        <f t="shared" si="15"/>
        <v>#NUM!</v>
      </c>
      <c r="C241" s="80" t="e">
        <f t="shared" si="16"/>
        <v>#NUM!</v>
      </c>
      <c r="D241" s="80" t="e">
        <f t="shared" si="17"/>
        <v>#NUM!</v>
      </c>
      <c r="E241" s="80" t="e">
        <f t="shared" si="18"/>
        <v>#NUM!</v>
      </c>
      <c r="F241" s="80" t="e">
        <f t="shared" si="19"/>
        <v>#NUM!</v>
      </c>
    </row>
    <row r="242" spans="1:6" x14ac:dyDescent="0.2">
      <c r="A242" s="81">
        <v>231</v>
      </c>
      <c r="B242" s="80" t="e">
        <f t="shared" si="15"/>
        <v>#NUM!</v>
      </c>
      <c r="C242" s="80" t="e">
        <f t="shared" si="16"/>
        <v>#NUM!</v>
      </c>
      <c r="D242" s="80" t="e">
        <f t="shared" si="17"/>
        <v>#NUM!</v>
      </c>
      <c r="E242" s="80" t="e">
        <f t="shared" si="18"/>
        <v>#NUM!</v>
      </c>
      <c r="F242" s="80" t="e">
        <f t="shared" si="19"/>
        <v>#NUM!</v>
      </c>
    </row>
    <row r="243" spans="1:6" x14ac:dyDescent="0.2">
      <c r="A243" s="81">
        <v>232</v>
      </c>
      <c r="B243" s="80" t="e">
        <f t="shared" si="15"/>
        <v>#NUM!</v>
      </c>
      <c r="C243" s="80" t="e">
        <f t="shared" si="16"/>
        <v>#NUM!</v>
      </c>
      <c r="D243" s="80" t="e">
        <f t="shared" si="17"/>
        <v>#NUM!</v>
      </c>
      <c r="E243" s="80" t="e">
        <f t="shared" si="18"/>
        <v>#NUM!</v>
      </c>
      <c r="F243" s="80" t="e">
        <f t="shared" si="19"/>
        <v>#NUM!</v>
      </c>
    </row>
    <row r="244" spans="1:6" x14ac:dyDescent="0.2">
      <c r="A244" s="81">
        <v>233</v>
      </c>
      <c r="B244" s="80" t="e">
        <f t="shared" si="15"/>
        <v>#NUM!</v>
      </c>
      <c r="C244" s="80" t="e">
        <f t="shared" si="16"/>
        <v>#NUM!</v>
      </c>
      <c r="D244" s="80" t="e">
        <f t="shared" si="17"/>
        <v>#NUM!</v>
      </c>
      <c r="E244" s="80" t="e">
        <f t="shared" si="18"/>
        <v>#NUM!</v>
      </c>
      <c r="F244" s="80" t="e">
        <f t="shared" si="19"/>
        <v>#NUM!</v>
      </c>
    </row>
    <row r="245" spans="1:6" x14ac:dyDescent="0.2">
      <c r="A245" s="81">
        <v>234</v>
      </c>
      <c r="B245" s="80" t="e">
        <f t="shared" si="15"/>
        <v>#NUM!</v>
      </c>
      <c r="C245" s="80" t="e">
        <f t="shared" si="16"/>
        <v>#NUM!</v>
      </c>
      <c r="D245" s="80" t="e">
        <f t="shared" si="17"/>
        <v>#NUM!</v>
      </c>
      <c r="E245" s="80" t="e">
        <f t="shared" si="18"/>
        <v>#NUM!</v>
      </c>
      <c r="F245" s="80" t="e">
        <f t="shared" si="19"/>
        <v>#NUM!</v>
      </c>
    </row>
    <row r="246" spans="1:6" x14ac:dyDescent="0.2">
      <c r="A246" s="81">
        <v>235</v>
      </c>
      <c r="B246" s="80" t="e">
        <f t="shared" si="15"/>
        <v>#NUM!</v>
      </c>
      <c r="C246" s="80" t="e">
        <f t="shared" si="16"/>
        <v>#NUM!</v>
      </c>
      <c r="D246" s="80" t="e">
        <f t="shared" si="17"/>
        <v>#NUM!</v>
      </c>
      <c r="E246" s="80" t="e">
        <f t="shared" si="18"/>
        <v>#NUM!</v>
      </c>
      <c r="F246" s="80" t="e">
        <f t="shared" si="19"/>
        <v>#NUM!</v>
      </c>
    </row>
    <row r="247" spans="1:6" x14ac:dyDescent="0.2">
      <c r="A247" s="81">
        <v>236</v>
      </c>
      <c r="B247" s="80" t="e">
        <f t="shared" si="15"/>
        <v>#NUM!</v>
      </c>
      <c r="C247" s="80" t="e">
        <f t="shared" si="16"/>
        <v>#NUM!</v>
      </c>
      <c r="D247" s="80" t="e">
        <f t="shared" si="17"/>
        <v>#NUM!</v>
      </c>
      <c r="E247" s="80" t="e">
        <f t="shared" si="18"/>
        <v>#NUM!</v>
      </c>
      <c r="F247" s="80" t="e">
        <f t="shared" si="19"/>
        <v>#NUM!</v>
      </c>
    </row>
    <row r="248" spans="1:6" x14ac:dyDescent="0.2">
      <c r="A248" s="81">
        <v>237</v>
      </c>
      <c r="B248" s="80" t="e">
        <f t="shared" si="15"/>
        <v>#NUM!</v>
      </c>
      <c r="C248" s="80" t="e">
        <f t="shared" si="16"/>
        <v>#NUM!</v>
      </c>
      <c r="D248" s="80" t="e">
        <f t="shared" si="17"/>
        <v>#NUM!</v>
      </c>
      <c r="E248" s="80" t="e">
        <f t="shared" si="18"/>
        <v>#NUM!</v>
      </c>
      <c r="F248" s="80" t="e">
        <f t="shared" si="19"/>
        <v>#NUM!</v>
      </c>
    </row>
    <row r="249" spans="1:6" x14ac:dyDescent="0.2">
      <c r="A249" s="81">
        <v>238</v>
      </c>
      <c r="B249" s="80" t="e">
        <f t="shared" si="15"/>
        <v>#NUM!</v>
      </c>
      <c r="C249" s="80" t="e">
        <f t="shared" si="16"/>
        <v>#NUM!</v>
      </c>
      <c r="D249" s="80" t="e">
        <f t="shared" si="17"/>
        <v>#NUM!</v>
      </c>
      <c r="E249" s="80" t="e">
        <f t="shared" si="18"/>
        <v>#NUM!</v>
      </c>
      <c r="F249" s="80" t="e">
        <f t="shared" si="19"/>
        <v>#NUM!</v>
      </c>
    </row>
    <row r="250" spans="1:6" x14ac:dyDescent="0.2">
      <c r="A250" s="81">
        <v>239</v>
      </c>
      <c r="B250" s="80" t="e">
        <f t="shared" si="15"/>
        <v>#NUM!</v>
      </c>
      <c r="C250" s="80" t="e">
        <f t="shared" si="16"/>
        <v>#NUM!</v>
      </c>
      <c r="D250" s="80" t="e">
        <f t="shared" si="17"/>
        <v>#NUM!</v>
      </c>
      <c r="E250" s="80" t="e">
        <f t="shared" si="18"/>
        <v>#NUM!</v>
      </c>
      <c r="F250" s="80" t="e">
        <f t="shared" si="19"/>
        <v>#NUM!</v>
      </c>
    </row>
    <row r="251" spans="1:6" x14ac:dyDescent="0.2">
      <c r="A251" s="81">
        <v>240</v>
      </c>
      <c r="B251" s="80" t="e">
        <f t="shared" si="15"/>
        <v>#NUM!</v>
      </c>
      <c r="C251" s="80" t="e">
        <f t="shared" si="16"/>
        <v>#NUM!</v>
      </c>
      <c r="D251" s="80" t="e">
        <f t="shared" si="17"/>
        <v>#NUM!</v>
      </c>
      <c r="E251" s="80" t="e">
        <f t="shared" si="18"/>
        <v>#NUM!</v>
      </c>
      <c r="F251" s="80" t="e">
        <f t="shared" si="19"/>
        <v>#NUM!</v>
      </c>
    </row>
    <row r="252" spans="1:6" x14ac:dyDescent="0.2">
      <c r="A252" s="81">
        <v>241</v>
      </c>
      <c r="B252" s="80" t="e">
        <f t="shared" si="15"/>
        <v>#NUM!</v>
      </c>
      <c r="C252" s="80" t="e">
        <f t="shared" si="16"/>
        <v>#NUM!</v>
      </c>
      <c r="D252" s="80" t="e">
        <f t="shared" si="17"/>
        <v>#NUM!</v>
      </c>
      <c r="E252" s="80" t="e">
        <f t="shared" si="18"/>
        <v>#NUM!</v>
      </c>
      <c r="F252" s="80" t="e">
        <f t="shared" si="19"/>
        <v>#NUM!</v>
      </c>
    </row>
    <row r="253" spans="1:6" x14ac:dyDescent="0.2">
      <c r="A253" s="81">
        <v>242</v>
      </c>
      <c r="B253" s="80" t="e">
        <f t="shared" si="15"/>
        <v>#NUM!</v>
      </c>
      <c r="C253" s="80" t="e">
        <f t="shared" si="16"/>
        <v>#NUM!</v>
      </c>
      <c r="D253" s="80" t="e">
        <f t="shared" si="17"/>
        <v>#NUM!</v>
      </c>
      <c r="E253" s="80" t="e">
        <f t="shared" si="18"/>
        <v>#NUM!</v>
      </c>
      <c r="F253" s="80" t="e">
        <f t="shared" si="19"/>
        <v>#NUM!</v>
      </c>
    </row>
    <row r="254" spans="1:6" x14ac:dyDescent="0.2">
      <c r="A254" s="81">
        <v>243</v>
      </c>
      <c r="B254" s="80" t="e">
        <f t="shared" si="15"/>
        <v>#NUM!</v>
      </c>
      <c r="C254" s="80" t="e">
        <f t="shared" si="16"/>
        <v>#NUM!</v>
      </c>
      <c r="D254" s="80" t="e">
        <f t="shared" si="17"/>
        <v>#NUM!</v>
      </c>
      <c r="E254" s="80" t="e">
        <f t="shared" si="18"/>
        <v>#NUM!</v>
      </c>
      <c r="F254" s="80" t="e">
        <f t="shared" si="19"/>
        <v>#NUM!</v>
      </c>
    </row>
    <row r="255" spans="1:6" x14ac:dyDescent="0.2">
      <c r="A255" s="81">
        <v>244</v>
      </c>
      <c r="B255" s="80" t="e">
        <f t="shared" si="15"/>
        <v>#NUM!</v>
      </c>
      <c r="C255" s="80" t="e">
        <f t="shared" si="16"/>
        <v>#NUM!</v>
      </c>
      <c r="D255" s="80" t="e">
        <f t="shared" si="17"/>
        <v>#NUM!</v>
      </c>
      <c r="E255" s="80" t="e">
        <f t="shared" si="18"/>
        <v>#NUM!</v>
      </c>
      <c r="F255" s="80" t="e">
        <f t="shared" si="19"/>
        <v>#NUM!</v>
      </c>
    </row>
    <row r="256" spans="1:6" x14ac:dyDescent="0.2">
      <c r="A256" s="81">
        <v>245</v>
      </c>
      <c r="B256" s="80" t="e">
        <f t="shared" si="15"/>
        <v>#NUM!</v>
      </c>
      <c r="C256" s="80" t="e">
        <f t="shared" si="16"/>
        <v>#NUM!</v>
      </c>
      <c r="D256" s="80" t="e">
        <f t="shared" si="17"/>
        <v>#NUM!</v>
      </c>
      <c r="E256" s="80" t="e">
        <f t="shared" si="18"/>
        <v>#NUM!</v>
      </c>
      <c r="F256" s="80" t="e">
        <f t="shared" si="19"/>
        <v>#NUM!</v>
      </c>
    </row>
    <row r="257" spans="1:6" x14ac:dyDescent="0.2">
      <c r="A257" s="81">
        <v>246</v>
      </c>
      <c r="B257" s="80" t="e">
        <f t="shared" si="15"/>
        <v>#NUM!</v>
      </c>
      <c r="C257" s="80" t="e">
        <f t="shared" si="16"/>
        <v>#NUM!</v>
      </c>
      <c r="D257" s="80" t="e">
        <f t="shared" si="17"/>
        <v>#NUM!</v>
      </c>
      <c r="E257" s="80" t="e">
        <f t="shared" si="18"/>
        <v>#NUM!</v>
      </c>
      <c r="F257" s="80" t="e">
        <f t="shared" si="19"/>
        <v>#NUM!</v>
      </c>
    </row>
    <row r="258" spans="1:6" x14ac:dyDescent="0.2">
      <c r="A258" s="81">
        <v>247</v>
      </c>
      <c r="B258" s="80" t="e">
        <f t="shared" si="15"/>
        <v>#NUM!</v>
      </c>
      <c r="C258" s="80" t="e">
        <f t="shared" si="16"/>
        <v>#NUM!</v>
      </c>
      <c r="D258" s="80" t="e">
        <f t="shared" si="17"/>
        <v>#NUM!</v>
      </c>
      <c r="E258" s="80" t="e">
        <f t="shared" si="18"/>
        <v>#NUM!</v>
      </c>
      <c r="F258" s="80" t="e">
        <f t="shared" si="19"/>
        <v>#NUM!</v>
      </c>
    </row>
    <row r="259" spans="1:6" x14ac:dyDescent="0.2">
      <c r="A259" s="81">
        <v>248</v>
      </c>
      <c r="B259" s="80" t="e">
        <f t="shared" si="15"/>
        <v>#NUM!</v>
      </c>
      <c r="C259" s="80" t="e">
        <f t="shared" si="16"/>
        <v>#NUM!</v>
      </c>
      <c r="D259" s="80" t="e">
        <f t="shared" si="17"/>
        <v>#NUM!</v>
      </c>
      <c r="E259" s="80" t="e">
        <f t="shared" si="18"/>
        <v>#NUM!</v>
      </c>
      <c r="F259" s="80" t="e">
        <f t="shared" si="19"/>
        <v>#NUM!</v>
      </c>
    </row>
    <row r="260" spans="1:6" x14ac:dyDescent="0.2">
      <c r="A260" s="81">
        <v>249</v>
      </c>
      <c r="B260" s="80" t="e">
        <f t="shared" si="15"/>
        <v>#NUM!</v>
      </c>
      <c r="C260" s="80" t="e">
        <f t="shared" si="16"/>
        <v>#NUM!</v>
      </c>
      <c r="D260" s="80" t="e">
        <f t="shared" si="17"/>
        <v>#NUM!</v>
      </c>
      <c r="E260" s="80" t="e">
        <f t="shared" si="18"/>
        <v>#NUM!</v>
      </c>
      <c r="F260" s="80" t="e">
        <f t="shared" si="19"/>
        <v>#NUM!</v>
      </c>
    </row>
    <row r="261" spans="1:6" x14ac:dyDescent="0.2">
      <c r="A261" s="81">
        <v>250</v>
      </c>
      <c r="B261" s="80" t="e">
        <f t="shared" si="15"/>
        <v>#NUM!</v>
      </c>
      <c r="C261" s="80" t="e">
        <f t="shared" si="16"/>
        <v>#NUM!</v>
      </c>
      <c r="D261" s="80" t="e">
        <f t="shared" si="17"/>
        <v>#NUM!</v>
      </c>
      <c r="E261" s="80" t="e">
        <f t="shared" si="18"/>
        <v>#NUM!</v>
      </c>
      <c r="F261" s="80" t="e">
        <f t="shared" si="19"/>
        <v>#NUM!</v>
      </c>
    </row>
    <row r="262" spans="1:6" x14ac:dyDescent="0.2">
      <c r="A262" s="81">
        <v>251</v>
      </c>
      <c r="B262" s="80" t="e">
        <f t="shared" si="15"/>
        <v>#NUM!</v>
      </c>
      <c r="C262" s="80" t="e">
        <f t="shared" si="16"/>
        <v>#NUM!</v>
      </c>
      <c r="D262" s="80" t="e">
        <f t="shared" si="17"/>
        <v>#NUM!</v>
      </c>
      <c r="E262" s="80" t="e">
        <f t="shared" si="18"/>
        <v>#NUM!</v>
      </c>
      <c r="F262" s="80" t="e">
        <f t="shared" si="19"/>
        <v>#NUM!</v>
      </c>
    </row>
    <row r="263" spans="1:6" x14ac:dyDescent="0.2">
      <c r="A263" s="81">
        <v>252</v>
      </c>
      <c r="B263" s="80" t="e">
        <f t="shared" si="15"/>
        <v>#NUM!</v>
      </c>
      <c r="C263" s="80" t="e">
        <f t="shared" si="16"/>
        <v>#NUM!</v>
      </c>
      <c r="D263" s="80" t="e">
        <f t="shared" si="17"/>
        <v>#NUM!</v>
      </c>
      <c r="E263" s="80" t="e">
        <f t="shared" si="18"/>
        <v>#NUM!</v>
      </c>
      <c r="F263" s="80" t="e">
        <f t="shared" si="19"/>
        <v>#NUM!</v>
      </c>
    </row>
    <row r="264" spans="1:6" x14ac:dyDescent="0.2">
      <c r="A264" s="81">
        <v>253</v>
      </c>
      <c r="B264" s="80" t="e">
        <f t="shared" si="15"/>
        <v>#NUM!</v>
      </c>
      <c r="C264" s="80" t="e">
        <f t="shared" si="16"/>
        <v>#NUM!</v>
      </c>
      <c r="D264" s="80" t="e">
        <f t="shared" si="17"/>
        <v>#NUM!</v>
      </c>
      <c r="E264" s="80" t="e">
        <f t="shared" si="18"/>
        <v>#NUM!</v>
      </c>
      <c r="F264" s="80" t="e">
        <f t="shared" si="19"/>
        <v>#NUM!</v>
      </c>
    </row>
    <row r="265" spans="1:6" x14ac:dyDescent="0.2">
      <c r="A265" s="81">
        <v>254</v>
      </c>
      <c r="B265" s="80" t="e">
        <f t="shared" si="15"/>
        <v>#NUM!</v>
      </c>
      <c r="C265" s="80" t="e">
        <f t="shared" si="16"/>
        <v>#NUM!</v>
      </c>
      <c r="D265" s="80" t="e">
        <f t="shared" si="17"/>
        <v>#NUM!</v>
      </c>
      <c r="E265" s="80" t="e">
        <f t="shared" si="18"/>
        <v>#NUM!</v>
      </c>
      <c r="F265" s="80" t="e">
        <f t="shared" si="19"/>
        <v>#NUM!</v>
      </c>
    </row>
    <row r="266" spans="1:6" x14ac:dyDescent="0.2">
      <c r="A266" s="81">
        <v>255</v>
      </c>
      <c r="B266" s="80" t="e">
        <f t="shared" si="15"/>
        <v>#NUM!</v>
      </c>
      <c r="C266" s="80" t="e">
        <f t="shared" si="16"/>
        <v>#NUM!</v>
      </c>
      <c r="D266" s="80" t="e">
        <f t="shared" si="17"/>
        <v>#NUM!</v>
      </c>
      <c r="E266" s="80" t="e">
        <f t="shared" si="18"/>
        <v>#NUM!</v>
      </c>
      <c r="F266" s="80" t="e">
        <f t="shared" si="19"/>
        <v>#NUM!</v>
      </c>
    </row>
    <row r="267" spans="1:6" x14ac:dyDescent="0.2">
      <c r="A267" s="81">
        <v>256</v>
      </c>
      <c r="B267" s="80" t="e">
        <f t="shared" si="15"/>
        <v>#NUM!</v>
      </c>
      <c r="C267" s="80" t="e">
        <f t="shared" si="16"/>
        <v>#NUM!</v>
      </c>
      <c r="D267" s="80" t="e">
        <f t="shared" si="17"/>
        <v>#NUM!</v>
      </c>
      <c r="E267" s="80" t="e">
        <f t="shared" si="18"/>
        <v>#NUM!</v>
      </c>
      <c r="F267" s="80" t="e">
        <f t="shared" si="19"/>
        <v>#NUM!</v>
      </c>
    </row>
    <row r="268" spans="1:6" x14ac:dyDescent="0.2">
      <c r="A268" s="81">
        <v>257</v>
      </c>
      <c r="B268" s="80" t="e">
        <f t="shared" ref="B268:B331" si="20">PPMT(C$5,A268,B$5,-E$11)</f>
        <v>#NUM!</v>
      </c>
      <c r="C268" s="80" t="e">
        <f t="shared" ref="C268:C331" si="21">IPMT(C$5,A268,B$5,-E$11)</f>
        <v>#NUM!</v>
      </c>
      <c r="D268" s="80" t="e">
        <f t="shared" ref="D268:D331" si="22">SUM($D$5)</f>
        <v>#NUM!</v>
      </c>
      <c r="E268" s="80" t="e">
        <f t="shared" ref="E268:E331" si="23">PV(C$5,B$5-A268,-D$12)</f>
        <v>#NUM!</v>
      </c>
      <c r="F268" s="80" t="e">
        <f t="shared" si="19"/>
        <v>#NUM!</v>
      </c>
    </row>
    <row r="269" spans="1:6" x14ac:dyDescent="0.2">
      <c r="A269" s="81">
        <v>258</v>
      </c>
      <c r="B269" s="80" t="e">
        <f t="shared" si="20"/>
        <v>#NUM!</v>
      </c>
      <c r="C269" s="80" t="e">
        <f t="shared" si="21"/>
        <v>#NUM!</v>
      </c>
      <c r="D269" s="80" t="e">
        <f t="shared" si="22"/>
        <v>#NUM!</v>
      </c>
      <c r="E269" s="80" t="e">
        <f t="shared" si="23"/>
        <v>#NUM!</v>
      </c>
      <c r="F269" s="80" t="e">
        <f t="shared" si="19"/>
        <v>#NUM!</v>
      </c>
    </row>
    <row r="270" spans="1:6" x14ac:dyDescent="0.2">
      <c r="A270" s="81">
        <v>259</v>
      </c>
      <c r="B270" s="80" t="e">
        <f t="shared" si="20"/>
        <v>#NUM!</v>
      </c>
      <c r="C270" s="80" t="e">
        <f t="shared" si="21"/>
        <v>#NUM!</v>
      </c>
      <c r="D270" s="80" t="e">
        <f t="shared" si="22"/>
        <v>#NUM!</v>
      </c>
      <c r="E270" s="80" t="e">
        <f t="shared" si="23"/>
        <v>#NUM!</v>
      </c>
      <c r="F270" s="80" t="e">
        <f t="shared" si="19"/>
        <v>#NUM!</v>
      </c>
    </row>
    <row r="271" spans="1:6" x14ac:dyDescent="0.2">
      <c r="A271" s="81">
        <v>260</v>
      </c>
      <c r="B271" s="80" t="e">
        <f t="shared" si="20"/>
        <v>#NUM!</v>
      </c>
      <c r="C271" s="80" t="e">
        <f t="shared" si="21"/>
        <v>#NUM!</v>
      </c>
      <c r="D271" s="80" t="e">
        <f t="shared" si="22"/>
        <v>#NUM!</v>
      </c>
      <c r="E271" s="80" t="e">
        <f t="shared" si="23"/>
        <v>#NUM!</v>
      </c>
      <c r="F271" s="80" t="e">
        <f t="shared" si="19"/>
        <v>#NUM!</v>
      </c>
    </row>
    <row r="272" spans="1:6" x14ac:dyDescent="0.2">
      <c r="A272" s="81">
        <v>261</v>
      </c>
      <c r="B272" s="80" t="e">
        <f t="shared" si="20"/>
        <v>#NUM!</v>
      </c>
      <c r="C272" s="80" t="e">
        <f t="shared" si="21"/>
        <v>#NUM!</v>
      </c>
      <c r="D272" s="80" t="e">
        <f t="shared" si="22"/>
        <v>#NUM!</v>
      </c>
      <c r="E272" s="80" t="e">
        <f t="shared" si="23"/>
        <v>#NUM!</v>
      </c>
      <c r="F272" s="80" t="e">
        <f t="shared" si="19"/>
        <v>#NUM!</v>
      </c>
    </row>
    <row r="273" spans="1:6" x14ac:dyDescent="0.2">
      <c r="A273" s="81">
        <v>262</v>
      </c>
      <c r="B273" s="80" t="e">
        <f t="shared" si="20"/>
        <v>#NUM!</v>
      </c>
      <c r="C273" s="80" t="e">
        <f t="shared" si="21"/>
        <v>#NUM!</v>
      </c>
      <c r="D273" s="80" t="e">
        <f t="shared" si="22"/>
        <v>#NUM!</v>
      </c>
      <c r="E273" s="80" t="e">
        <f t="shared" si="23"/>
        <v>#NUM!</v>
      </c>
      <c r="F273" s="80" t="e">
        <f t="shared" si="19"/>
        <v>#NUM!</v>
      </c>
    </row>
    <row r="274" spans="1:6" x14ac:dyDescent="0.2">
      <c r="A274" s="81">
        <v>263</v>
      </c>
      <c r="B274" s="80" t="e">
        <f t="shared" si="20"/>
        <v>#NUM!</v>
      </c>
      <c r="C274" s="80" t="e">
        <f t="shared" si="21"/>
        <v>#NUM!</v>
      </c>
      <c r="D274" s="80" t="e">
        <f t="shared" si="22"/>
        <v>#NUM!</v>
      </c>
      <c r="E274" s="80" t="e">
        <f t="shared" si="23"/>
        <v>#NUM!</v>
      </c>
      <c r="F274" s="80" t="e">
        <f t="shared" si="19"/>
        <v>#NUM!</v>
      </c>
    </row>
    <row r="275" spans="1:6" x14ac:dyDescent="0.2">
      <c r="A275" s="81">
        <v>264</v>
      </c>
      <c r="B275" s="80" t="e">
        <f t="shared" si="20"/>
        <v>#NUM!</v>
      </c>
      <c r="C275" s="80" t="e">
        <f t="shared" si="21"/>
        <v>#NUM!</v>
      </c>
      <c r="D275" s="80" t="e">
        <f t="shared" si="22"/>
        <v>#NUM!</v>
      </c>
      <c r="E275" s="80" t="e">
        <f t="shared" si="23"/>
        <v>#NUM!</v>
      </c>
      <c r="F275" s="80" t="e">
        <f t="shared" si="19"/>
        <v>#NUM!</v>
      </c>
    </row>
    <row r="276" spans="1:6" x14ac:dyDescent="0.2">
      <c r="A276" s="81">
        <v>265</v>
      </c>
      <c r="B276" s="80" t="e">
        <f t="shared" si="20"/>
        <v>#NUM!</v>
      </c>
      <c r="C276" s="80" t="e">
        <f t="shared" si="21"/>
        <v>#NUM!</v>
      </c>
      <c r="D276" s="80" t="e">
        <f t="shared" si="22"/>
        <v>#NUM!</v>
      </c>
      <c r="E276" s="80" t="e">
        <f t="shared" si="23"/>
        <v>#NUM!</v>
      </c>
      <c r="F276" s="80" t="e">
        <f t="shared" si="19"/>
        <v>#NUM!</v>
      </c>
    </row>
    <row r="277" spans="1:6" x14ac:dyDescent="0.2">
      <c r="A277" s="81">
        <v>266</v>
      </c>
      <c r="B277" s="80" t="e">
        <f t="shared" si="20"/>
        <v>#NUM!</v>
      </c>
      <c r="C277" s="80" t="e">
        <f t="shared" si="21"/>
        <v>#NUM!</v>
      </c>
      <c r="D277" s="80" t="e">
        <f t="shared" si="22"/>
        <v>#NUM!</v>
      </c>
      <c r="E277" s="80" t="e">
        <f t="shared" si="23"/>
        <v>#NUM!</v>
      </c>
      <c r="F277" s="80" t="e">
        <f t="shared" si="19"/>
        <v>#NUM!</v>
      </c>
    </row>
    <row r="278" spans="1:6" x14ac:dyDescent="0.2">
      <c r="A278" s="81">
        <v>267</v>
      </c>
      <c r="B278" s="80" t="e">
        <f t="shared" si="20"/>
        <v>#NUM!</v>
      </c>
      <c r="C278" s="80" t="e">
        <f t="shared" si="21"/>
        <v>#NUM!</v>
      </c>
      <c r="D278" s="80" t="e">
        <f t="shared" si="22"/>
        <v>#NUM!</v>
      </c>
      <c r="E278" s="80" t="e">
        <f t="shared" si="23"/>
        <v>#NUM!</v>
      </c>
      <c r="F278" s="80" t="e">
        <f t="shared" si="19"/>
        <v>#NUM!</v>
      </c>
    </row>
    <row r="279" spans="1:6" x14ac:dyDescent="0.2">
      <c r="A279" s="81">
        <v>268</v>
      </c>
      <c r="B279" s="80" t="e">
        <f t="shared" si="20"/>
        <v>#NUM!</v>
      </c>
      <c r="C279" s="80" t="e">
        <f t="shared" si="21"/>
        <v>#NUM!</v>
      </c>
      <c r="D279" s="80" t="e">
        <f t="shared" si="22"/>
        <v>#NUM!</v>
      </c>
      <c r="E279" s="80" t="e">
        <f t="shared" si="23"/>
        <v>#NUM!</v>
      </c>
      <c r="F279" s="80" t="e">
        <f t="shared" si="19"/>
        <v>#NUM!</v>
      </c>
    </row>
    <row r="280" spans="1:6" x14ac:dyDescent="0.2">
      <c r="A280" s="81">
        <v>269</v>
      </c>
      <c r="B280" s="80" t="e">
        <f t="shared" si="20"/>
        <v>#NUM!</v>
      </c>
      <c r="C280" s="80" t="e">
        <f t="shared" si="21"/>
        <v>#NUM!</v>
      </c>
      <c r="D280" s="80" t="e">
        <f t="shared" si="22"/>
        <v>#NUM!</v>
      </c>
      <c r="E280" s="80" t="e">
        <f t="shared" si="23"/>
        <v>#NUM!</v>
      </c>
      <c r="F280" s="80" t="e">
        <f t="shared" si="19"/>
        <v>#NUM!</v>
      </c>
    </row>
    <row r="281" spans="1:6" x14ac:dyDescent="0.2">
      <c r="A281" s="81">
        <v>270</v>
      </c>
      <c r="B281" s="80" t="e">
        <f t="shared" si="20"/>
        <v>#NUM!</v>
      </c>
      <c r="C281" s="80" t="e">
        <f t="shared" si="21"/>
        <v>#NUM!</v>
      </c>
      <c r="D281" s="80" t="e">
        <f t="shared" si="22"/>
        <v>#NUM!</v>
      </c>
      <c r="E281" s="80" t="e">
        <f t="shared" si="23"/>
        <v>#NUM!</v>
      </c>
      <c r="F281" s="80" t="e">
        <f t="shared" si="19"/>
        <v>#NUM!</v>
      </c>
    </row>
    <row r="282" spans="1:6" x14ac:dyDescent="0.2">
      <c r="A282" s="81">
        <v>271</v>
      </c>
      <c r="B282" s="80" t="e">
        <f t="shared" si="20"/>
        <v>#NUM!</v>
      </c>
      <c r="C282" s="80" t="e">
        <f t="shared" si="21"/>
        <v>#NUM!</v>
      </c>
      <c r="D282" s="80" t="e">
        <f t="shared" si="22"/>
        <v>#NUM!</v>
      </c>
      <c r="E282" s="80" t="e">
        <f t="shared" si="23"/>
        <v>#NUM!</v>
      </c>
      <c r="F282" s="80" t="e">
        <f t="shared" si="19"/>
        <v>#NUM!</v>
      </c>
    </row>
    <row r="283" spans="1:6" x14ac:dyDescent="0.2">
      <c r="A283" s="81">
        <v>272</v>
      </c>
      <c r="B283" s="80" t="e">
        <f t="shared" si="20"/>
        <v>#NUM!</v>
      </c>
      <c r="C283" s="80" t="e">
        <f t="shared" si="21"/>
        <v>#NUM!</v>
      </c>
      <c r="D283" s="80" t="e">
        <f t="shared" si="22"/>
        <v>#NUM!</v>
      </c>
      <c r="E283" s="80" t="e">
        <f t="shared" si="23"/>
        <v>#NUM!</v>
      </c>
      <c r="F283" s="80" t="e">
        <f t="shared" si="19"/>
        <v>#NUM!</v>
      </c>
    </row>
    <row r="284" spans="1:6" x14ac:dyDescent="0.2">
      <c r="A284" s="81">
        <v>273</v>
      </c>
      <c r="B284" s="80" t="e">
        <f t="shared" si="20"/>
        <v>#NUM!</v>
      </c>
      <c r="C284" s="80" t="e">
        <f t="shared" si="21"/>
        <v>#NUM!</v>
      </c>
      <c r="D284" s="80" t="e">
        <f t="shared" si="22"/>
        <v>#NUM!</v>
      </c>
      <c r="E284" s="80" t="e">
        <f t="shared" si="23"/>
        <v>#NUM!</v>
      </c>
      <c r="F284" s="80" t="e">
        <f t="shared" si="19"/>
        <v>#NUM!</v>
      </c>
    </row>
    <row r="285" spans="1:6" x14ac:dyDescent="0.2">
      <c r="A285" s="81">
        <v>274</v>
      </c>
      <c r="B285" s="80" t="e">
        <f t="shared" si="20"/>
        <v>#NUM!</v>
      </c>
      <c r="C285" s="80" t="e">
        <f t="shared" si="21"/>
        <v>#NUM!</v>
      </c>
      <c r="D285" s="80" t="e">
        <f t="shared" si="22"/>
        <v>#NUM!</v>
      </c>
      <c r="E285" s="80" t="e">
        <f t="shared" si="23"/>
        <v>#NUM!</v>
      </c>
      <c r="F285" s="80" t="e">
        <f t="shared" si="19"/>
        <v>#NUM!</v>
      </c>
    </row>
    <row r="286" spans="1:6" x14ac:dyDescent="0.2">
      <c r="A286" s="81">
        <v>275</v>
      </c>
      <c r="B286" s="80" t="e">
        <f t="shared" si="20"/>
        <v>#NUM!</v>
      </c>
      <c r="C286" s="80" t="e">
        <f t="shared" si="21"/>
        <v>#NUM!</v>
      </c>
      <c r="D286" s="80" t="e">
        <f t="shared" si="22"/>
        <v>#NUM!</v>
      </c>
      <c r="E286" s="80" t="e">
        <f t="shared" si="23"/>
        <v>#NUM!</v>
      </c>
      <c r="F286" s="80" t="e">
        <f t="shared" si="19"/>
        <v>#NUM!</v>
      </c>
    </row>
    <row r="287" spans="1:6" x14ac:dyDescent="0.2">
      <c r="A287" s="81">
        <v>276</v>
      </c>
      <c r="B287" s="80" t="e">
        <f t="shared" si="20"/>
        <v>#NUM!</v>
      </c>
      <c r="C287" s="80" t="e">
        <f t="shared" si="21"/>
        <v>#NUM!</v>
      </c>
      <c r="D287" s="80" t="e">
        <f t="shared" si="22"/>
        <v>#NUM!</v>
      </c>
      <c r="E287" s="80" t="e">
        <f t="shared" si="23"/>
        <v>#NUM!</v>
      </c>
      <c r="F287" s="80" t="e">
        <f t="shared" si="19"/>
        <v>#NUM!</v>
      </c>
    </row>
    <row r="288" spans="1:6" x14ac:dyDescent="0.2">
      <c r="A288" s="81">
        <v>277</v>
      </c>
      <c r="B288" s="80" t="e">
        <f t="shared" si="20"/>
        <v>#NUM!</v>
      </c>
      <c r="C288" s="80" t="e">
        <f t="shared" si="21"/>
        <v>#NUM!</v>
      </c>
      <c r="D288" s="80" t="e">
        <f t="shared" si="22"/>
        <v>#NUM!</v>
      </c>
      <c r="E288" s="80" t="e">
        <f t="shared" si="23"/>
        <v>#NUM!</v>
      </c>
      <c r="F288" s="80" t="e">
        <f t="shared" si="19"/>
        <v>#NUM!</v>
      </c>
    </row>
    <row r="289" spans="1:6" x14ac:dyDescent="0.2">
      <c r="A289" s="81">
        <v>278</v>
      </c>
      <c r="B289" s="80" t="e">
        <f t="shared" si="20"/>
        <v>#NUM!</v>
      </c>
      <c r="C289" s="80" t="e">
        <f t="shared" si="21"/>
        <v>#NUM!</v>
      </c>
      <c r="D289" s="80" t="e">
        <f t="shared" si="22"/>
        <v>#NUM!</v>
      </c>
      <c r="E289" s="80" t="e">
        <f t="shared" si="23"/>
        <v>#NUM!</v>
      </c>
      <c r="F289" s="80" t="e">
        <f t="shared" si="19"/>
        <v>#NUM!</v>
      </c>
    </row>
    <row r="290" spans="1:6" x14ac:dyDescent="0.2">
      <c r="A290" s="81">
        <v>279</v>
      </c>
      <c r="B290" s="80" t="e">
        <f t="shared" si="20"/>
        <v>#NUM!</v>
      </c>
      <c r="C290" s="80" t="e">
        <f t="shared" si="21"/>
        <v>#NUM!</v>
      </c>
      <c r="D290" s="80" t="e">
        <f t="shared" si="22"/>
        <v>#NUM!</v>
      </c>
      <c r="E290" s="80" t="e">
        <f t="shared" si="23"/>
        <v>#NUM!</v>
      </c>
      <c r="F290" s="80" t="e">
        <f t="shared" si="19"/>
        <v>#NUM!</v>
      </c>
    </row>
    <row r="291" spans="1:6" x14ac:dyDescent="0.2">
      <c r="A291" s="81">
        <v>280</v>
      </c>
      <c r="B291" s="80" t="e">
        <f t="shared" si="20"/>
        <v>#NUM!</v>
      </c>
      <c r="C291" s="80" t="e">
        <f t="shared" si="21"/>
        <v>#NUM!</v>
      </c>
      <c r="D291" s="80" t="e">
        <f t="shared" si="22"/>
        <v>#NUM!</v>
      </c>
      <c r="E291" s="80" t="e">
        <f t="shared" si="23"/>
        <v>#NUM!</v>
      </c>
      <c r="F291" s="80" t="e">
        <f t="shared" si="19"/>
        <v>#NUM!</v>
      </c>
    </row>
    <row r="292" spans="1:6" x14ac:dyDescent="0.2">
      <c r="A292" s="81">
        <v>281</v>
      </c>
      <c r="B292" s="80" t="e">
        <f t="shared" si="20"/>
        <v>#NUM!</v>
      </c>
      <c r="C292" s="80" t="e">
        <f t="shared" si="21"/>
        <v>#NUM!</v>
      </c>
      <c r="D292" s="80" t="e">
        <f t="shared" si="22"/>
        <v>#NUM!</v>
      </c>
      <c r="E292" s="80" t="e">
        <f t="shared" si="23"/>
        <v>#NUM!</v>
      </c>
      <c r="F292" s="80" t="e">
        <f t="shared" si="19"/>
        <v>#NUM!</v>
      </c>
    </row>
    <row r="293" spans="1:6" x14ac:dyDescent="0.2">
      <c r="A293" s="81">
        <v>282</v>
      </c>
      <c r="B293" s="80" t="e">
        <f t="shared" si="20"/>
        <v>#NUM!</v>
      </c>
      <c r="C293" s="80" t="e">
        <f t="shared" si="21"/>
        <v>#NUM!</v>
      </c>
      <c r="D293" s="80" t="e">
        <f t="shared" si="22"/>
        <v>#NUM!</v>
      </c>
      <c r="E293" s="80" t="e">
        <f t="shared" si="23"/>
        <v>#NUM!</v>
      </c>
      <c r="F293" s="80" t="e">
        <f t="shared" ref="F293:F356" si="24">E293*0.00025</f>
        <v>#NUM!</v>
      </c>
    </row>
    <row r="294" spans="1:6" x14ac:dyDescent="0.2">
      <c r="A294" s="81">
        <v>283</v>
      </c>
      <c r="B294" s="80" t="e">
        <f t="shared" si="20"/>
        <v>#NUM!</v>
      </c>
      <c r="C294" s="80" t="e">
        <f t="shared" si="21"/>
        <v>#NUM!</v>
      </c>
      <c r="D294" s="80" t="e">
        <f t="shared" si="22"/>
        <v>#NUM!</v>
      </c>
      <c r="E294" s="80" t="e">
        <f t="shared" si="23"/>
        <v>#NUM!</v>
      </c>
      <c r="F294" s="80" t="e">
        <f t="shared" si="24"/>
        <v>#NUM!</v>
      </c>
    </row>
    <row r="295" spans="1:6" x14ac:dyDescent="0.2">
      <c r="A295" s="81">
        <v>284</v>
      </c>
      <c r="B295" s="80" t="e">
        <f t="shared" si="20"/>
        <v>#NUM!</v>
      </c>
      <c r="C295" s="80" t="e">
        <f t="shared" si="21"/>
        <v>#NUM!</v>
      </c>
      <c r="D295" s="80" t="e">
        <f t="shared" si="22"/>
        <v>#NUM!</v>
      </c>
      <c r="E295" s="80" t="e">
        <f t="shared" si="23"/>
        <v>#NUM!</v>
      </c>
      <c r="F295" s="80" t="e">
        <f t="shared" si="24"/>
        <v>#NUM!</v>
      </c>
    </row>
    <row r="296" spans="1:6" x14ac:dyDescent="0.2">
      <c r="A296" s="81">
        <v>285</v>
      </c>
      <c r="B296" s="80" t="e">
        <f t="shared" si="20"/>
        <v>#NUM!</v>
      </c>
      <c r="C296" s="80" t="e">
        <f t="shared" si="21"/>
        <v>#NUM!</v>
      </c>
      <c r="D296" s="80" t="e">
        <f t="shared" si="22"/>
        <v>#NUM!</v>
      </c>
      <c r="E296" s="80" t="e">
        <f t="shared" si="23"/>
        <v>#NUM!</v>
      </c>
      <c r="F296" s="80" t="e">
        <f t="shared" si="24"/>
        <v>#NUM!</v>
      </c>
    </row>
    <row r="297" spans="1:6" x14ac:dyDescent="0.2">
      <c r="A297" s="81">
        <v>286</v>
      </c>
      <c r="B297" s="80" t="e">
        <f t="shared" si="20"/>
        <v>#NUM!</v>
      </c>
      <c r="C297" s="80" t="e">
        <f t="shared" si="21"/>
        <v>#NUM!</v>
      </c>
      <c r="D297" s="80" t="e">
        <f t="shared" si="22"/>
        <v>#NUM!</v>
      </c>
      <c r="E297" s="80" t="e">
        <f t="shared" si="23"/>
        <v>#NUM!</v>
      </c>
      <c r="F297" s="80" t="e">
        <f t="shared" si="24"/>
        <v>#NUM!</v>
      </c>
    </row>
    <row r="298" spans="1:6" x14ac:dyDescent="0.2">
      <c r="A298" s="81">
        <v>287</v>
      </c>
      <c r="B298" s="80" t="e">
        <f t="shared" si="20"/>
        <v>#NUM!</v>
      </c>
      <c r="C298" s="80" t="e">
        <f t="shared" si="21"/>
        <v>#NUM!</v>
      </c>
      <c r="D298" s="80" t="e">
        <f t="shared" si="22"/>
        <v>#NUM!</v>
      </c>
      <c r="E298" s="80" t="e">
        <f t="shared" si="23"/>
        <v>#NUM!</v>
      </c>
      <c r="F298" s="80" t="e">
        <f t="shared" si="24"/>
        <v>#NUM!</v>
      </c>
    </row>
    <row r="299" spans="1:6" x14ac:dyDescent="0.2">
      <c r="A299" s="81">
        <v>288</v>
      </c>
      <c r="B299" s="80" t="e">
        <f t="shared" si="20"/>
        <v>#NUM!</v>
      </c>
      <c r="C299" s="80" t="e">
        <f t="shared" si="21"/>
        <v>#NUM!</v>
      </c>
      <c r="D299" s="80" t="e">
        <f t="shared" si="22"/>
        <v>#NUM!</v>
      </c>
      <c r="E299" s="80" t="e">
        <f t="shared" si="23"/>
        <v>#NUM!</v>
      </c>
      <c r="F299" s="80" t="e">
        <f t="shared" si="24"/>
        <v>#NUM!</v>
      </c>
    </row>
    <row r="300" spans="1:6" x14ac:dyDescent="0.2">
      <c r="A300" s="81">
        <v>289</v>
      </c>
      <c r="B300" s="80" t="e">
        <f t="shared" si="20"/>
        <v>#NUM!</v>
      </c>
      <c r="C300" s="80" t="e">
        <f t="shared" si="21"/>
        <v>#NUM!</v>
      </c>
      <c r="D300" s="80" t="e">
        <f t="shared" si="22"/>
        <v>#NUM!</v>
      </c>
      <c r="E300" s="80" t="e">
        <f t="shared" si="23"/>
        <v>#NUM!</v>
      </c>
      <c r="F300" s="80" t="e">
        <f t="shared" si="24"/>
        <v>#NUM!</v>
      </c>
    </row>
    <row r="301" spans="1:6" x14ac:dyDescent="0.2">
      <c r="A301" s="81">
        <v>290</v>
      </c>
      <c r="B301" s="80" t="e">
        <f t="shared" si="20"/>
        <v>#NUM!</v>
      </c>
      <c r="C301" s="80" t="e">
        <f t="shared" si="21"/>
        <v>#NUM!</v>
      </c>
      <c r="D301" s="80" t="e">
        <f t="shared" si="22"/>
        <v>#NUM!</v>
      </c>
      <c r="E301" s="80" t="e">
        <f t="shared" si="23"/>
        <v>#NUM!</v>
      </c>
      <c r="F301" s="80" t="e">
        <f t="shared" si="24"/>
        <v>#NUM!</v>
      </c>
    </row>
    <row r="302" spans="1:6" x14ac:dyDescent="0.2">
      <c r="A302" s="81">
        <v>291</v>
      </c>
      <c r="B302" s="80" t="e">
        <f t="shared" si="20"/>
        <v>#NUM!</v>
      </c>
      <c r="C302" s="80" t="e">
        <f t="shared" si="21"/>
        <v>#NUM!</v>
      </c>
      <c r="D302" s="80" t="e">
        <f t="shared" si="22"/>
        <v>#NUM!</v>
      </c>
      <c r="E302" s="80" t="e">
        <f t="shared" si="23"/>
        <v>#NUM!</v>
      </c>
      <c r="F302" s="80" t="e">
        <f t="shared" si="24"/>
        <v>#NUM!</v>
      </c>
    </row>
    <row r="303" spans="1:6" x14ac:dyDescent="0.2">
      <c r="A303" s="81">
        <v>292</v>
      </c>
      <c r="B303" s="80" t="e">
        <f t="shared" si="20"/>
        <v>#NUM!</v>
      </c>
      <c r="C303" s="80" t="e">
        <f t="shared" si="21"/>
        <v>#NUM!</v>
      </c>
      <c r="D303" s="80" t="e">
        <f t="shared" si="22"/>
        <v>#NUM!</v>
      </c>
      <c r="E303" s="80" t="e">
        <f t="shared" si="23"/>
        <v>#NUM!</v>
      </c>
      <c r="F303" s="80" t="e">
        <f t="shared" si="24"/>
        <v>#NUM!</v>
      </c>
    </row>
    <row r="304" spans="1:6" x14ac:dyDescent="0.2">
      <c r="A304" s="81">
        <v>293</v>
      </c>
      <c r="B304" s="80" t="e">
        <f t="shared" si="20"/>
        <v>#NUM!</v>
      </c>
      <c r="C304" s="80" t="e">
        <f t="shared" si="21"/>
        <v>#NUM!</v>
      </c>
      <c r="D304" s="80" t="e">
        <f t="shared" si="22"/>
        <v>#NUM!</v>
      </c>
      <c r="E304" s="80" t="e">
        <f t="shared" si="23"/>
        <v>#NUM!</v>
      </c>
      <c r="F304" s="80" t="e">
        <f t="shared" si="24"/>
        <v>#NUM!</v>
      </c>
    </row>
    <row r="305" spans="1:6" x14ac:dyDescent="0.2">
      <c r="A305" s="81">
        <v>294</v>
      </c>
      <c r="B305" s="80" t="e">
        <f t="shared" si="20"/>
        <v>#NUM!</v>
      </c>
      <c r="C305" s="80" t="e">
        <f t="shared" si="21"/>
        <v>#NUM!</v>
      </c>
      <c r="D305" s="80" t="e">
        <f t="shared" si="22"/>
        <v>#NUM!</v>
      </c>
      <c r="E305" s="80" t="e">
        <f t="shared" si="23"/>
        <v>#NUM!</v>
      </c>
      <c r="F305" s="80" t="e">
        <f t="shared" si="24"/>
        <v>#NUM!</v>
      </c>
    </row>
    <row r="306" spans="1:6" x14ac:dyDescent="0.2">
      <c r="A306" s="81">
        <v>295</v>
      </c>
      <c r="B306" s="80" t="e">
        <f t="shared" si="20"/>
        <v>#NUM!</v>
      </c>
      <c r="C306" s="80" t="e">
        <f t="shared" si="21"/>
        <v>#NUM!</v>
      </c>
      <c r="D306" s="80" t="e">
        <f t="shared" si="22"/>
        <v>#NUM!</v>
      </c>
      <c r="E306" s="80" t="e">
        <f t="shared" si="23"/>
        <v>#NUM!</v>
      </c>
      <c r="F306" s="80" t="e">
        <f t="shared" si="24"/>
        <v>#NUM!</v>
      </c>
    </row>
    <row r="307" spans="1:6" x14ac:dyDescent="0.2">
      <c r="A307" s="81">
        <v>296</v>
      </c>
      <c r="B307" s="80" t="e">
        <f t="shared" si="20"/>
        <v>#NUM!</v>
      </c>
      <c r="C307" s="80" t="e">
        <f t="shared" si="21"/>
        <v>#NUM!</v>
      </c>
      <c r="D307" s="80" t="e">
        <f t="shared" si="22"/>
        <v>#NUM!</v>
      </c>
      <c r="E307" s="80" t="e">
        <f t="shared" si="23"/>
        <v>#NUM!</v>
      </c>
      <c r="F307" s="80" t="e">
        <f t="shared" si="24"/>
        <v>#NUM!</v>
      </c>
    </row>
    <row r="308" spans="1:6" x14ac:dyDescent="0.2">
      <c r="A308" s="81">
        <v>297</v>
      </c>
      <c r="B308" s="80" t="e">
        <f t="shared" si="20"/>
        <v>#NUM!</v>
      </c>
      <c r="C308" s="80" t="e">
        <f t="shared" si="21"/>
        <v>#NUM!</v>
      </c>
      <c r="D308" s="80" t="e">
        <f t="shared" si="22"/>
        <v>#NUM!</v>
      </c>
      <c r="E308" s="80" t="e">
        <f t="shared" si="23"/>
        <v>#NUM!</v>
      </c>
      <c r="F308" s="80" t="e">
        <f t="shared" si="24"/>
        <v>#NUM!</v>
      </c>
    </row>
    <row r="309" spans="1:6" x14ac:dyDescent="0.2">
      <c r="A309" s="81">
        <v>298</v>
      </c>
      <c r="B309" s="80" t="e">
        <f t="shared" si="20"/>
        <v>#NUM!</v>
      </c>
      <c r="C309" s="80" t="e">
        <f t="shared" si="21"/>
        <v>#NUM!</v>
      </c>
      <c r="D309" s="80" t="e">
        <f t="shared" si="22"/>
        <v>#NUM!</v>
      </c>
      <c r="E309" s="80" t="e">
        <f t="shared" si="23"/>
        <v>#NUM!</v>
      </c>
      <c r="F309" s="80" t="e">
        <f t="shared" si="24"/>
        <v>#NUM!</v>
      </c>
    </row>
    <row r="310" spans="1:6" x14ac:dyDescent="0.2">
      <c r="A310" s="81">
        <v>299</v>
      </c>
      <c r="B310" s="80" t="e">
        <f t="shared" si="20"/>
        <v>#NUM!</v>
      </c>
      <c r="C310" s="80" t="e">
        <f t="shared" si="21"/>
        <v>#NUM!</v>
      </c>
      <c r="D310" s="80" t="e">
        <f t="shared" si="22"/>
        <v>#NUM!</v>
      </c>
      <c r="E310" s="80" t="e">
        <f t="shared" si="23"/>
        <v>#NUM!</v>
      </c>
      <c r="F310" s="80" t="e">
        <f t="shared" si="24"/>
        <v>#NUM!</v>
      </c>
    </row>
    <row r="311" spans="1:6" x14ac:dyDescent="0.2">
      <c r="A311" s="81">
        <v>300</v>
      </c>
      <c r="B311" s="80" t="e">
        <f t="shared" si="20"/>
        <v>#NUM!</v>
      </c>
      <c r="C311" s="80" t="e">
        <f t="shared" si="21"/>
        <v>#NUM!</v>
      </c>
      <c r="D311" s="80" t="e">
        <f t="shared" si="22"/>
        <v>#NUM!</v>
      </c>
      <c r="E311" s="80" t="e">
        <f t="shared" si="23"/>
        <v>#NUM!</v>
      </c>
      <c r="F311" s="80" t="e">
        <f t="shared" si="24"/>
        <v>#NUM!</v>
      </c>
    </row>
    <row r="312" spans="1:6" x14ac:dyDescent="0.2">
      <c r="A312" s="81">
        <v>301</v>
      </c>
      <c r="B312" s="80" t="e">
        <f t="shared" si="20"/>
        <v>#NUM!</v>
      </c>
      <c r="C312" s="80" t="e">
        <f t="shared" si="21"/>
        <v>#NUM!</v>
      </c>
      <c r="D312" s="80" t="e">
        <f t="shared" si="22"/>
        <v>#NUM!</v>
      </c>
      <c r="E312" s="80" t="e">
        <f t="shared" si="23"/>
        <v>#NUM!</v>
      </c>
      <c r="F312" s="80" t="e">
        <f t="shared" si="24"/>
        <v>#NUM!</v>
      </c>
    </row>
    <row r="313" spans="1:6" x14ac:dyDescent="0.2">
      <c r="A313" s="81">
        <v>302</v>
      </c>
      <c r="B313" s="80" t="e">
        <f t="shared" si="20"/>
        <v>#NUM!</v>
      </c>
      <c r="C313" s="80" t="e">
        <f t="shared" si="21"/>
        <v>#NUM!</v>
      </c>
      <c r="D313" s="80" t="e">
        <f t="shared" si="22"/>
        <v>#NUM!</v>
      </c>
      <c r="E313" s="80" t="e">
        <f t="shared" si="23"/>
        <v>#NUM!</v>
      </c>
      <c r="F313" s="80" t="e">
        <f t="shared" si="24"/>
        <v>#NUM!</v>
      </c>
    </row>
    <row r="314" spans="1:6" x14ac:dyDescent="0.2">
      <c r="A314" s="81">
        <v>303</v>
      </c>
      <c r="B314" s="80" t="e">
        <f t="shared" si="20"/>
        <v>#NUM!</v>
      </c>
      <c r="C314" s="80" t="e">
        <f t="shared" si="21"/>
        <v>#NUM!</v>
      </c>
      <c r="D314" s="80" t="e">
        <f t="shared" si="22"/>
        <v>#NUM!</v>
      </c>
      <c r="E314" s="80" t="e">
        <f t="shared" si="23"/>
        <v>#NUM!</v>
      </c>
      <c r="F314" s="80" t="e">
        <f t="shared" si="24"/>
        <v>#NUM!</v>
      </c>
    </row>
    <row r="315" spans="1:6" x14ac:dyDescent="0.2">
      <c r="A315" s="81">
        <v>304</v>
      </c>
      <c r="B315" s="80" t="e">
        <f t="shared" si="20"/>
        <v>#NUM!</v>
      </c>
      <c r="C315" s="80" t="e">
        <f t="shared" si="21"/>
        <v>#NUM!</v>
      </c>
      <c r="D315" s="80" t="e">
        <f t="shared" si="22"/>
        <v>#NUM!</v>
      </c>
      <c r="E315" s="80" t="e">
        <f t="shared" si="23"/>
        <v>#NUM!</v>
      </c>
      <c r="F315" s="80" t="e">
        <f t="shared" si="24"/>
        <v>#NUM!</v>
      </c>
    </row>
    <row r="316" spans="1:6" x14ac:dyDescent="0.2">
      <c r="A316" s="81">
        <v>305</v>
      </c>
      <c r="B316" s="80" t="e">
        <f t="shared" si="20"/>
        <v>#NUM!</v>
      </c>
      <c r="C316" s="80" t="e">
        <f t="shared" si="21"/>
        <v>#NUM!</v>
      </c>
      <c r="D316" s="80" t="e">
        <f t="shared" si="22"/>
        <v>#NUM!</v>
      </c>
      <c r="E316" s="80" t="e">
        <f t="shared" si="23"/>
        <v>#NUM!</v>
      </c>
      <c r="F316" s="80" t="e">
        <f t="shared" si="24"/>
        <v>#NUM!</v>
      </c>
    </row>
    <row r="317" spans="1:6" x14ac:dyDescent="0.2">
      <c r="A317" s="81">
        <v>306</v>
      </c>
      <c r="B317" s="80" t="e">
        <f t="shared" si="20"/>
        <v>#NUM!</v>
      </c>
      <c r="C317" s="80" t="e">
        <f t="shared" si="21"/>
        <v>#NUM!</v>
      </c>
      <c r="D317" s="80" t="e">
        <f t="shared" si="22"/>
        <v>#NUM!</v>
      </c>
      <c r="E317" s="80" t="e">
        <f t="shared" si="23"/>
        <v>#NUM!</v>
      </c>
      <c r="F317" s="80" t="e">
        <f t="shared" si="24"/>
        <v>#NUM!</v>
      </c>
    </row>
    <row r="318" spans="1:6" x14ac:dyDescent="0.2">
      <c r="A318" s="81">
        <v>307</v>
      </c>
      <c r="B318" s="80" t="e">
        <f t="shared" si="20"/>
        <v>#NUM!</v>
      </c>
      <c r="C318" s="80" t="e">
        <f t="shared" si="21"/>
        <v>#NUM!</v>
      </c>
      <c r="D318" s="80" t="e">
        <f t="shared" si="22"/>
        <v>#NUM!</v>
      </c>
      <c r="E318" s="80" t="e">
        <f t="shared" si="23"/>
        <v>#NUM!</v>
      </c>
      <c r="F318" s="80" t="e">
        <f t="shared" si="24"/>
        <v>#NUM!</v>
      </c>
    </row>
    <row r="319" spans="1:6" x14ac:dyDescent="0.2">
      <c r="A319" s="81">
        <v>308</v>
      </c>
      <c r="B319" s="80" t="e">
        <f t="shared" si="20"/>
        <v>#NUM!</v>
      </c>
      <c r="C319" s="80" t="e">
        <f t="shared" si="21"/>
        <v>#NUM!</v>
      </c>
      <c r="D319" s="80" t="e">
        <f t="shared" si="22"/>
        <v>#NUM!</v>
      </c>
      <c r="E319" s="80" t="e">
        <f t="shared" si="23"/>
        <v>#NUM!</v>
      </c>
      <c r="F319" s="80" t="e">
        <f t="shared" si="24"/>
        <v>#NUM!</v>
      </c>
    </row>
    <row r="320" spans="1:6" x14ac:dyDescent="0.2">
      <c r="A320" s="81">
        <v>309</v>
      </c>
      <c r="B320" s="80" t="e">
        <f t="shared" si="20"/>
        <v>#NUM!</v>
      </c>
      <c r="C320" s="80" t="e">
        <f t="shared" si="21"/>
        <v>#NUM!</v>
      </c>
      <c r="D320" s="80" t="e">
        <f t="shared" si="22"/>
        <v>#NUM!</v>
      </c>
      <c r="E320" s="80" t="e">
        <f t="shared" si="23"/>
        <v>#NUM!</v>
      </c>
      <c r="F320" s="80" t="e">
        <f t="shared" si="24"/>
        <v>#NUM!</v>
      </c>
    </row>
    <row r="321" spans="1:6" x14ac:dyDescent="0.2">
      <c r="A321" s="81">
        <v>310</v>
      </c>
      <c r="B321" s="80" t="e">
        <f t="shared" si="20"/>
        <v>#NUM!</v>
      </c>
      <c r="C321" s="80" t="e">
        <f t="shared" si="21"/>
        <v>#NUM!</v>
      </c>
      <c r="D321" s="80" t="e">
        <f t="shared" si="22"/>
        <v>#NUM!</v>
      </c>
      <c r="E321" s="80" t="e">
        <f t="shared" si="23"/>
        <v>#NUM!</v>
      </c>
      <c r="F321" s="80" t="e">
        <f t="shared" si="24"/>
        <v>#NUM!</v>
      </c>
    </row>
    <row r="322" spans="1:6" x14ac:dyDescent="0.2">
      <c r="A322" s="81">
        <v>311</v>
      </c>
      <c r="B322" s="80" t="e">
        <f t="shared" si="20"/>
        <v>#NUM!</v>
      </c>
      <c r="C322" s="80" t="e">
        <f t="shared" si="21"/>
        <v>#NUM!</v>
      </c>
      <c r="D322" s="80" t="e">
        <f t="shared" si="22"/>
        <v>#NUM!</v>
      </c>
      <c r="E322" s="80" t="e">
        <f t="shared" si="23"/>
        <v>#NUM!</v>
      </c>
      <c r="F322" s="80" t="e">
        <f t="shared" si="24"/>
        <v>#NUM!</v>
      </c>
    </row>
    <row r="323" spans="1:6" x14ac:dyDescent="0.2">
      <c r="A323" s="81">
        <v>312</v>
      </c>
      <c r="B323" s="80" t="e">
        <f t="shared" si="20"/>
        <v>#NUM!</v>
      </c>
      <c r="C323" s="80" t="e">
        <f t="shared" si="21"/>
        <v>#NUM!</v>
      </c>
      <c r="D323" s="80" t="e">
        <f t="shared" si="22"/>
        <v>#NUM!</v>
      </c>
      <c r="E323" s="80" t="e">
        <f t="shared" si="23"/>
        <v>#NUM!</v>
      </c>
      <c r="F323" s="80" t="e">
        <f t="shared" si="24"/>
        <v>#NUM!</v>
      </c>
    </row>
    <row r="324" spans="1:6" x14ac:dyDescent="0.2">
      <c r="A324" s="81">
        <v>313</v>
      </c>
      <c r="B324" s="80" t="e">
        <f t="shared" si="20"/>
        <v>#NUM!</v>
      </c>
      <c r="C324" s="80" t="e">
        <f t="shared" si="21"/>
        <v>#NUM!</v>
      </c>
      <c r="D324" s="80" t="e">
        <f t="shared" si="22"/>
        <v>#NUM!</v>
      </c>
      <c r="E324" s="80" t="e">
        <f t="shared" si="23"/>
        <v>#NUM!</v>
      </c>
      <c r="F324" s="80" t="e">
        <f t="shared" si="24"/>
        <v>#NUM!</v>
      </c>
    </row>
    <row r="325" spans="1:6" x14ac:dyDescent="0.2">
      <c r="A325" s="81">
        <v>314</v>
      </c>
      <c r="B325" s="80" t="e">
        <f t="shared" si="20"/>
        <v>#NUM!</v>
      </c>
      <c r="C325" s="80" t="e">
        <f t="shared" si="21"/>
        <v>#NUM!</v>
      </c>
      <c r="D325" s="80" t="e">
        <f t="shared" si="22"/>
        <v>#NUM!</v>
      </c>
      <c r="E325" s="80" t="e">
        <f t="shared" si="23"/>
        <v>#NUM!</v>
      </c>
      <c r="F325" s="80" t="e">
        <f t="shared" si="24"/>
        <v>#NUM!</v>
      </c>
    </row>
    <row r="326" spans="1:6" x14ac:dyDescent="0.2">
      <c r="A326" s="81">
        <v>315</v>
      </c>
      <c r="B326" s="80" t="e">
        <f t="shared" si="20"/>
        <v>#NUM!</v>
      </c>
      <c r="C326" s="80" t="e">
        <f t="shared" si="21"/>
        <v>#NUM!</v>
      </c>
      <c r="D326" s="80" t="e">
        <f t="shared" si="22"/>
        <v>#NUM!</v>
      </c>
      <c r="E326" s="80" t="e">
        <f t="shared" si="23"/>
        <v>#NUM!</v>
      </c>
      <c r="F326" s="80" t="e">
        <f t="shared" si="24"/>
        <v>#NUM!</v>
      </c>
    </row>
    <row r="327" spans="1:6" x14ac:dyDescent="0.2">
      <c r="A327" s="81">
        <v>316</v>
      </c>
      <c r="B327" s="80" t="e">
        <f t="shared" si="20"/>
        <v>#NUM!</v>
      </c>
      <c r="C327" s="80" t="e">
        <f t="shared" si="21"/>
        <v>#NUM!</v>
      </c>
      <c r="D327" s="80" t="e">
        <f t="shared" si="22"/>
        <v>#NUM!</v>
      </c>
      <c r="E327" s="80" t="e">
        <f t="shared" si="23"/>
        <v>#NUM!</v>
      </c>
      <c r="F327" s="80" t="e">
        <f t="shared" si="24"/>
        <v>#NUM!</v>
      </c>
    </row>
    <row r="328" spans="1:6" x14ac:dyDescent="0.2">
      <c r="A328" s="81">
        <v>317</v>
      </c>
      <c r="B328" s="80" t="e">
        <f t="shared" si="20"/>
        <v>#NUM!</v>
      </c>
      <c r="C328" s="80" t="e">
        <f t="shared" si="21"/>
        <v>#NUM!</v>
      </c>
      <c r="D328" s="80" t="e">
        <f t="shared" si="22"/>
        <v>#NUM!</v>
      </c>
      <c r="E328" s="80" t="e">
        <f t="shared" si="23"/>
        <v>#NUM!</v>
      </c>
      <c r="F328" s="80" t="e">
        <f t="shared" si="24"/>
        <v>#NUM!</v>
      </c>
    </row>
    <row r="329" spans="1:6" x14ac:dyDescent="0.2">
      <c r="A329" s="81">
        <v>318</v>
      </c>
      <c r="B329" s="80" t="e">
        <f t="shared" si="20"/>
        <v>#NUM!</v>
      </c>
      <c r="C329" s="80" t="e">
        <f t="shared" si="21"/>
        <v>#NUM!</v>
      </c>
      <c r="D329" s="80" t="e">
        <f t="shared" si="22"/>
        <v>#NUM!</v>
      </c>
      <c r="E329" s="80" t="e">
        <f t="shared" si="23"/>
        <v>#NUM!</v>
      </c>
      <c r="F329" s="80" t="e">
        <f t="shared" si="24"/>
        <v>#NUM!</v>
      </c>
    </row>
    <row r="330" spans="1:6" x14ac:dyDescent="0.2">
      <c r="A330" s="81">
        <v>319</v>
      </c>
      <c r="B330" s="80" t="e">
        <f t="shared" si="20"/>
        <v>#NUM!</v>
      </c>
      <c r="C330" s="80" t="e">
        <f t="shared" si="21"/>
        <v>#NUM!</v>
      </c>
      <c r="D330" s="80" t="e">
        <f t="shared" si="22"/>
        <v>#NUM!</v>
      </c>
      <c r="E330" s="80" t="e">
        <f t="shared" si="23"/>
        <v>#NUM!</v>
      </c>
      <c r="F330" s="80" t="e">
        <f t="shared" si="24"/>
        <v>#NUM!</v>
      </c>
    </row>
    <row r="331" spans="1:6" x14ac:dyDescent="0.2">
      <c r="A331" s="81">
        <v>320</v>
      </c>
      <c r="B331" s="80" t="e">
        <f t="shared" si="20"/>
        <v>#NUM!</v>
      </c>
      <c r="C331" s="80" t="e">
        <f t="shared" si="21"/>
        <v>#NUM!</v>
      </c>
      <c r="D331" s="80" t="e">
        <f t="shared" si="22"/>
        <v>#NUM!</v>
      </c>
      <c r="E331" s="80" t="e">
        <f t="shared" si="23"/>
        <v>#NUM!</v>
      </c>
      <c r="F331" s="80" t="e">
        <f t="shared" si="24"/>
        <v>#NUM!</v>
      </c>
    </row>
    <row r="332" spans="1:6" x14ac:dyDescent="0.2">
      <c r="A332" s="81">
        <v>321</v>
      </c>
      <c r="B332" s="80" t="e">
        <f t="shared" ref="B332:B395" si="25">PPMT(C$5,A332,B$5,-E$11)</f>
        <v>#NUM!</v>
      </c>
      <c r="C332" s="80" t="e">
        <f t="shared" ref="C332:C395" si="26">IPMT(C$5,A332,B$5,-E$11)</f>
        <v>#NUM!</v>
      </c>
      <c r="D332" s="80" t="e">
        <f t="shared" ref="D332:D395" si="27">SUM($D$5)</f>
        <v>#NUM!</v>
      </c>
      <c r="E332" s="80" t="e">
        <f t="shared" ref="E332:E395" si="28">PV(C$5,B$5-A332,-D$12)</f>
        <v>#NUM!</v>
      </c>
      <c r="F332" s="80" t="e">
        <f t="shared" si="24"/>
        <v>#NUM!</v>
      </c>
    </row>
    <row r="333" spans="1:6" x14ac:dyDescent="0.2">
      <c r="A333" s="81">
        <v>322</v>
      </c>
      <c r="B333" s="80" t="e">
        <f t="shared" si="25"/>
        <v>#NUM!</v>
      </c>
      <c r="C333" s="80" t="e">
        <f t="shared" si="26"/>
        <v>#NUM!</v>
      </c>
      <c r="D333" s="80" t="e">
        <f t="shared" si="27"/>
        <v>#NUM!</v>
      </c>
      <c r="E333" s="80" t="e">
        <f t="shared" si="28"/>
        <v>#NUM!</v>
      </c>
      <c r="F333" s="80" t="e">
        <f t="shared" si="24"/>
        <v>#NUM!</v>
      </c>
    </row>
    <row r="334" spans="1:6" x14ac:dyDescent="0.2">
      <c r="A334" s="81">
        <v>323</v>
      </c>
      <c r="B334" s="80" t="e">
        <f t="shared" si="25"/>
        <v>#NUM!</v>
      </c>
      <c r="C334" s="80" t="e">
        <f t="shared" si="26"/>
        <v>#NUM!</v>
      </c>
      <c r="D334" s="80" t="e">
        <f t="shared" si="27"/>
        <v>#NUM!</v>
      </c>
      <c r="E334" s="80" t="e">
        <f t="shared" si="28"/>
        <v>#NUM!</v>
      </c>
      <c r="F334" s="80" t="e">
        <f t="shared" si="24"/>
        <v>#NUM!</v>
      </c>
    </row>
    <row r="335" spans="1:6" x14ac:dyDescent="0.2">
      <c r="A335" s="81">
        <v>324</v>
      </c>
      <c r="B335" s="80" t="e">
        <f t="shared" si="25"/>
        <v>#NUM!</v>
      </c>
      <c r="C335" s="80" t="e">
        <f t="shared" si="26"/>
        <v>#NUM!</v>
      </c>
      <c r="D335" s="80" t="e">
        <f t="shared" si="27"/>
        <v>#NUM!</v>
      </c>
      <c r="E335" s="80" t="e">
        <f t="shared" si="28"/>
        <v>#NUM!</v>
      </c>
      <c r="F335" s="80" t="e">
        <f t="shared" si="24"/>
        <v>#NUM!</v>
      </c>
    </row>
    <row r="336" spans="1:6" x14ac:dyDescent="0.2">
      <c r="A336" s="81">
        <v>325</v>
      </c>
      <c r="B336" s="80" t="e">
        <f t="shared" si="25"/>
        <v>#NUM!</v>
      </c>
      <c r="C336" s="80" t="e">
        <f t="shared" si="26"/>
        <v>#NUM!</v>
      </c>
      <c r="D336" s="80" t="e">
        <f t="shared" si="27"/>
        <v>#NUM!</v>
      </c>
      <c r="E336" s="80" t="e">
        <f t="shared" si="28"/>
        <v>#NUM!</v>
      </c>
      <c r="F336" s="80" t="e">
        <f t="shared" si="24"/>
        <v>#NUM!</v>
      </c>
    </row>
    <row r="337" spans="1:6" x14ac:dyDescent="0.2">
      <c r="A337" s="81">
        <v>326</v>
      </c>
      <c r="B337" s="80" t="e">
        <f t="shared" si="25"/>
        <v>#NUM!</v>
      </c>
      <c r="C337" s="80" t="e">
        <f t="shared" si="26"/>
        <v>#NUM!</v>
      </c>
      <c r="D337" s="80" t="e">
        <f t="shared" si="27"/>
        <v>#NUM!</v>
      </c>
      <c r="E337" s="80" t="e">
        <f t="shared" si="28"/>
        <v>#NUM!</v>
      </c>
      <c r="F337" s="80" t="e">
        <f t="shared" si="24"/>
        <v>#NUM!</v>
      </c>
    </row>
    <row r="338" spans="1:6" x14ac:dyDescent="0.2">
      <c r="A338" s="81">
        <v>327</v>
      </c>
      <c r="B338" s="80" t="e">
        <f t="shared" si="25"/>
        <v>#NUM!</v>
      </c>
      <c r="C338" s="80" t="e">
        <f t="shared" si="26"/>
        <v>#NUM!</v>
      </c>
      <c r="D338" s="80" t="e">
        <f t="shared" si="27"/>
        <v>#NUM!</v>
      </c>
      <c r="E338" s="80" t="e">
        <f t="shared" si="28"/>
        <v>#NUM!</v>
      </c>
      <c r="F338" s="80" t="e">
        <f t="shared" si="24"/>
        <v>#NUM!</v>
      </c>
    </row>
    <row r="339" spans="1:6" x14ac:dyDescent="0.2">
      <c r="A339" s="81">
        <v>328</v>
      </c>
      <c r="B339" s="80" t="e">
        <f t="shared" si="25"/>
        <v>#NUM!</v>
      </c>
      <c r="C339" s="80" t="e">
        <f t="shared" si="26"/>
        <v>#NUM!</v>
      </c>
      <c r="D339" s="80" t="e">
        <f t="shared" si="27"/>
        <v>#NUM!</v>
      </c>
      <c r="E339" s="80" t="e">
        <f t="shared" si="28"/>
        <v>#NUM!</v>
      </c>
      <c r="F339" s="80" t="e">
        <f t="shared" si="24"/>
        <v>#NUM!</v>
      </c>
    </row>
    <row r="340" spans="1:6" x14ac:dyDescent="0.2">
      <c r="A340" s="81">
        <v>329</v>
      </c>
      <c r="B340" s="80" t="e">
        <f t="shared" si="25"/>
        <v>#NUM!</v>
      </c>
      <c r="C340" s="80" t="e">
        <f t="shared" si="26"/>
        <v>#NUM!</v>
      </c>
      <c r="D340" s="80" t="e">
        <f t="shared" si="27"/>
        <v>#NUM!</v>
      </c>
      <c r="E340" s="80" t="e">
        <f t="shared" si="28"/>
        <v>#NUM!</v>
      </c>
      <c r="F340" s="80" t="e">
        <f t="shared" si="24"/>
        <v>#NUM!</v>
      </c>
    </row>
    <row r="341" spans="1:6" x14ac:dyDescent="0.2">
      <c r="A341" s="81">
        <v>330</v>
      </c>
      <c r="B341" s="80" t="e">
        <f t="shared" si="25"/>
        <v>#NUM!</v>
      </c>
      <c r="C341" s="80" t="e">
        <f t="shared" si="26"/>
        <v>#NUM!</v>
      </c>
      <c r="D341" s="80" t="e">
        <f t="shared" si="27"/>
        <v>#NUM!</v>
      </c>
      <c r="E341" s="80" t="e">
        <f t="shared" si="28"/>
        <v>#NUM!</v>
      </c>
      <c r="F341" s="80" t="e">
        <f t="shared" si="24"/>
        <v>#NUM!</v>
      </c>
    </row>
    <row r="342" spans="1:6" x14ac:dyDescent="0.2">
      <c r="A342" s="81">
        <v>331</v>
      </c>
      <c r="B342" s="80" t="e">
        <f t="shared" si="25"/>
        <v>#NUM!</v>
      </c>
      <c r="C342" s="80" t="e">
        <f t="shared" si="26"/>
        <v>#NUM!</v>
      </c>
      <c r="D342" s="80" t="e">
        <f t="shared" si="27"/>
        <v>#NUM!</v>
      </c>
      <c r="E342" s="80" t="e">
        <f t="shared" si="28"/>
        <v>#NUM!</v>
      </c>
      <c r="F342" s="80" t="e">
        <f t="shared" si="24"/>
        <v>#NUM!</v>
      </c>
    </row>
    <row r="343" spans="1:6" x14ac:dyDescent="0.2">
      <c r="A343" s="81">
        <v>332</v>
      </c>
      <c r="B343" s="80" t="e">
        <f t="shared" si="25"/>
        <v>#NUM!</v>
      </c>
      <c r="C343" s="80" t="e">
        <f t="shared" si="26"/>
        <v>#NUM!</v>
      </c>
      <c r="D343" s="80" t="e">
        <f t="shared" si="27"/>
        <v>#NUM!</v>
      </c>
      <c r="E343" s="80" t="e">
        <f t="shared" si="28"/>
        <v>#NUM!</v>
      </c>
      <c r="F343" s="80" t="e">
        <f t="shared" si="24"/>
        <v>#NUM!</v>
      </c>
    </row>
    <row r="344" spans="1:6" x14ac:dyDescent="0.2">
      <c r="A344" s="81">
        <v>333</v>
      </c>
      <c r="B344" s="80" t="e">
        <f t="shared" si="25"/>
        <v>#NUM!</v>
      </c>
      <c r="C344" s="80" t="e">
        <f t="shared" si="26"/>
        <v>#NUM!</v>
      </c>
      <c r="D344" s="80" t="e">
        <f t="shared" si="27"/>
        <v>#NUM!</v>
      </c>
      <c r="E344" s="80" t="e">
        <f t="shared" si="28"/>
        <v>#NUM!</v>
      </c>
      <c r="F344" s="80" t="e">
        <f t="shared" si="24"/>
        <v>#NUM!</v>
      </c>
    </row>
    <row r="345" spans="1:6" x14ac:dyDescent="0.2">
      <c r="A345" s="81">
        <v>334</v>
      </c>
      <c r="B345" s="80" t="e">
        <f t="shared" si="25"/>
        <v>#NUM!</v>
      </c>
      <c r="C345" s="80" t="e">
        <f t="shared" si="26"/>
        <v>#NUM!</v>
      </c>
      <c r="D345" s="80" t="e">
        <f t="shared" si="27"/>
        <v>#NUM!</v>
      </c>
      <c r="E345" s="80" t="e">
        <f t="shared" si="28"/>
        <v>#NUM!</v>
      </c>
      <c r="F345" s="80" t="e">
        <f t="shared" si="24"/>
        <v>#NUM!</v>
      </c>
    </row>
    <row r="346" spans="1:6" x14ac:dyDescent="0.2">
      <c r="A346" s="81">
        <v>335</v>
      </c>
      <c r="B346" s="80" t="e">
        <f t="shared" si="25"/>
        <v>#NUM!</v>
      </c>
      <c r="C346" s="80" t="e">
        <f t="shared" si="26"/>
        <v>#NUM!</v>
      </c>
      <c r="D346" s="80" t="e">
        <f t="shared" si="27"/>
        <v>#NUM!</v>
      </c>
      <c r="E346" s="80" t="e">
        <f t="shared" si="28"/>
        <v>#NUM!</v>
      </c>
      <c r="F346" s="80" t="e">
        <f t="shared" si="24"/>
        <v>#NUM!</v>
      </c>
    </row>
    <row r="347" spans="1:6" x14ac:dyDescent="0.2">
      <c r="A347" s="81">
        <v>336</v>
      </c>
      <c r="B347" s="80" t="e">
        <f t="shared" si="25"/>
        <v>#NUM!</v>
      </c>
      <c r="C347" s="80" t="e">
        <f t="shared" si="26"/>
        <v>#NUM!</v>
      </c>
      <c r="D347" s="80" t="e">
        <f t="shared" si="27"/>
        <v>#NUM!</v>
      </c>
      <c r="E347" s="80" t="e">
        <f t="shared" si="28"/>
        <v>#NUM!</v>
      </c>
      <c r="F347" s="80" t="e">
        <f t="shared" si="24"/>
        <v>#NUM!</v>
      </c>
    </row>
    <row r="348" spans="1:6" x14ac:dyDescent="0.2">
      <c r="A348" s="81">
        <v>337</v>
      </c>
      <c r="B348" s="80" t="e">
        <f t="shared" si="25"/>
        <v>#NUM!</v>
      </c>
      <c r="C348" s="80" t="e">
        <f t="shared" si="26"/>
        <v>#NUM!</v>
      </c>
      <c r="D348" s="80" t="e">
        <f t="shared" si="27"/>
        <v>#NUM!</v>
      </c>
      <c r="E348" s="80" t="e">
        <f t="shared" si="28"/>
        <v>#NUM!</v>
      </c>
      <c r="F348" s="80" t="e">
        <f t="shared" si="24"/>
        <v>#NUM!</v>
      </c>
    </row>
    <row r="349" spans="1:6" x14ac:dyDescent="0.2">
      <c r="A349" s="81">
        <v>338</v>
      </c>
      <c r="B349" s="80" t="e">
        <f t="shared" si="25"/>
        <v>#NUM!</v>
      </c>
      <c r="C349" s="80" t="e">
        <f t="shared" si="26"/>
        <v>#NUM!</v>
      </c>
      <c r="D349" s="80" t="e">
        <f t="shared" si="27"/>
        <v>#NUM!</v>
      </c>
      <c r="E349" s="80" t="e">
        <f t="shared" si="28"/>
        <v>#NUM!</v>
      </c>
      <c r="F349" s="80" t="e">
        <f t="shared" si="24"/>
        <v>#NUM!</v>
      </c>
    </row>
    <row r="350" spans="1:6" x14ac:dyDescent="0.2">
      <c r="A350" s="81">
        <v>339</v>
      </c>
      <c r="B350" s="80" t="e">
        <f t="shared" si="25"/>
        <v>#NUM!</v>
      </c>
      <c r="C350" s="80" t="e">
        <f t="shared" si="26"/>
        <v>#NUM!</v>
      </c>
      <c r="D350" s="80" t="e">
        <f t="shared" si="27"/>
        <v>#NUM!</v>
      </c>
      <c r="E350" s="80" t="e">
        <f t="shared" si="28"/>
        <v>#NUM!</v>
      </c>
      <c r="F350" s="80" t="e">
        <f t="shared" si="24"/>
        <v>#NUM!</v>
      </c>
    </row>
    <row r="351" spans="1:6" x14ac:dyDescent="0.2">
      <c r="A351" s="81">
        <v>340</v>
      </c>
      <c r="B351" s="80" t="e">
        <f t="shared" si="25"/>
        <v>#NUM!</v>
      </c>
      <c r="C351" s="80" t="e">
        <f t="shared" si="26"/>
        <v>#NUM!</v>
      </c>
      <c r="D351" s="80" t="e">
        <f t="shared" si="27"/>
        <v>#NUM!</v>
      </c>
      <c r="E351" s="80" t="e">
        <f t="shared" si="28"/>
        <v>#NUM!</v>
      </c>
      <c r="F351" s="80" t="e">
        <f t="shared" si="24"/>
        <v>#NUM!</v>
      </c>
    </row>
    <row r="352" spans="1:6" x14ac:dyDescent="0.2">
      <c r="A352" s="81">
        <v>341</v>
      </c>
      <c r="B352" s="80" t="e">
        <f t="shared" si="25"/>
        <v>#NUM!</v>
      </c>
      <c r="C352" s="80" t="e">
        <f t="shared" si="26"/>
        <v>#NUM!</v>
      </c>
      <c r="D352" s="80" t="e">
        <f t="shared" si="27"/>
        <v>#NUM!</v>
      </c>
      <c r="E352" s="80" t="e">
        <f t="shared" si="28"/>
        <v>#NUM!</v>
      </c>
      <c r="F352" s="80" t="e">
        <f t="shared" si="24"/>
        <v>#NUM!</v>
      </c>
    </row>
    <row r="353" spans="1:6" x14ac:dyDescent="0.2">
      <c r="A353" s="81">
        <v>342</v>
      </c>
      <c r="B353" s="80" t="e">
        <f t="shared" si="25"/>
        <v>#NUM!</v>
      </c>
      <c r="C353" s="80" t="e">
        <f t="shared" si="26"/>
        <v>#NUM!</v>
      </c>
      <c r="D353" s="80" t="e">
        <f t="shared" si="27"/>
        <v>#NUM!</v>
      </c>
      <c r="E353" s="80" t="e">
        <f t="shared" si="28"/>
        <v>#NUM!</v>
      </c>
      <c r="F353" s="80" t="e">
        <f t="shared" si="24"/>
        <v>#NUM!</v>
      </c>
    </row>
    <row r="354" spans="1:6" x14ac:dyDescent="0.2">
      <c r="A354" s="81">
        <v>343</v>
      </c>
      <c r="B354" s="80" t="e">
        <f t="shared" si="25"/>
        <v>#NUM!</v>
      </c>
      <c r="C354" s="80" t="e">
        <f t="shared" si="26"/>
        <v>#NUM!</v>
      </c>
      <c r="D354" s="80" t="e">
        <f t="shared" si="27"/>
        <v>#NUM!</v>
      </c>
      <c r="E354" s="80" t="e">
        <f t="shared" si="28"/>
        <v>#NUM!</v>
      </c>
      <c r="F354" s="80" t="e">
        <f t="shared" si="24"/>
        <v>#NUM!</v>
      </c>
    </row>
    <row r="355" spans="1:6" x14ac:dyDescent="0.2">
      <c r="A355" s="81">
        <v>344</v>
      </c>
      <c r="B355" s="80" t="e">
        <f t="shared" si="25"/>
        <v>#NUM!</v>
      </c>
      <c r="C355" s="80" t="e">
        <f t="shared" si="26"/>
        <v>#NUM!</v>
      </c>
      <c r="D355" s="80" t="e">
        <f t="shared" si="27"/>
        <v>#NUM!</v>
      </c>
      <c r="E355" s="80" t="e">
        <f t="shared" si="28"/>
        <v>#NUM!</v>
      </c>
      <c r="F355" s="80" t="e">
        <f t="shared" si="24"/>
        <v>#NUM!</v>
      </c>
    </row>
    <row r="356" spans="1:6" x14ac:dyDescent="0.2">
      <c r="A356" s="81">
        <v>345</v>
      </c>
      <c r="B356" s="80" t="e">
        <f t="shared" si="25"/>
        <v>#NUM!</v>
      </c>
      <c r="C356" s="80" t="e">
        <f t="shared" si="26"/>
        <v>#NUM!</v>
      </c>
      <c r="D356" s="80" t="e">
        <f t="shared" si="27"/>
        <v>#NUM!</v>
      </c>
      <c r="E356" s="80" t="e">
        <f t="shared" si="28"/>
        <v>#NUM!</v>
      </c>
      <c r="F356" s="80" t="e">
        <f t="shared" si="24"/>
        <v>#NUM!</v>
      </c>
    </row>
    <row r="357" spans="1:6" x14ac:dyDescent="0.2">
      <c r="A357" s="81">
        <v>346</v>
      </c>
      <c r="B357" s="80" t="e">
        <f t="shared" si="25"/>
        <v>#NUM!</v>
      </c>
      <c r="C357" s="80" t="e">
        <f t="shared" si="26"/>
        <v>#NUM!</v>
      </c>
      <c r="D357" s="80" t="e">
        <f t="shared" si="27"/>
        <v>#NUM!</v>
      </c>
      <c r="E357" s="80" t="e">
        <f t="shared" si="28"/>
        <v>#NUM!</v>
      </c>
      <c r="F357" s="80" t="e">
        <f t="shared" ref="F357:F420" si="29">E357*0.00025</f>
        <v>#NUM!</v>
      </c>
    </row>
    <row r="358" spans="1:6" x14ac:dyDescent="0.2">
      <c r="A358" s="81">
        <v>347</v>
      </c>
      <c r="B358" s="80" t="e">
        <f t="shared" si="25"/>
        <v>#NUM!</v>
      </c>
      <c r="C358" s="80" t="e">
        <f t="shared" si="26"/>
        <v>#NUM!</v>
      </c>
      <c r="D358" s="80" t="e">
        <f t="shared" si="27"/>
        <v>#NUM!</v>
      </c>
      <c r="E358" s="80" t="e">
        <f t="shared" si="28"/>
        <v>#NUM!</v>
      </c>
      <c r="F358" s="80" t="e">
        <f t="shared" si="29"/>
        <v>#NUM!</v>
      </c>
    </row>
    <row r="359" spans="1:6" x14ac:dyDescent="0.2">
      <c r="A359" s="81">
        <v>348</v>
      </c>
      <c r="B359" s="80" t="e">
        <f t="shared" si="25"/>
        <v>#NUM!</v>
      </c>
      <c r="C359" s="80" t="e">
        <f t="shared" si="26"/>
        <v>#NUM!</v>
      </c>
      <c r="D359" s="80" t="e">
        <f t="shared" si="27"/>
        <v>#NUM!</v>
      </c>
      <c r="E359" s="80" t="e">
        <f t="shared" si="28"/>
        <v>#NUM!</v>
      </c>
      <c r="F359" s="80" t="e">
        <f t="shared" si="29"/>
        <v>#NUM!</v>
      </c>
    </row>
    <row r="360" spans="1:6" x14ac:dyDescent="0.2">
      <c r="A360" s="81">
        <v>349</v>
      </c>
      <c r="B360" s="80" t="e">
        <f t="shared" si="25"/>
        <v>#NUM!</v>
      </c>
      <c r="C360" s="80" t="e">
        <f t="shared" si="26"/>
        <v>#NUM!</v>
      </c>
      <c r="D360" s="80" t="e">
        <f t="shared" si="27"/>
        <v>#NUM!</v>
      </c>
      <c r="E360" s="80" t="e">
        <f t="shared" si="28"/>
        <v>#NUM!</v>
      </c>
      <c r="F360" s="80" t="e">
        <f t="shared" si="29"/>
        <v>#NUM!</v>
      </c>
    </row>
    <row r="361" spans="1:6" x14ac:dyDescent="0.2">
      <c r="A361" s="81">
        <v>350</v>
      </c>
      <c r="B361" s="80" t="e">
        <f t="shared" si="25"/>
        <v>#NUM!</v>
      </c>
      <c r="C361" s="80" t="e">
        <f t="shared" si="26"/>
        <v>#NUM!</v>
      </c>
      <c r="D361" s="80" t="e">
        <f t="shared" si="27"/>
        <v>#NUM!</v>
      </c>
      <c r="E361" s="80" t="e">
        <f t="shared" si="28"/>
        <v>#NUM!</v>
      </c>
      <c r="F361" s="80" t="e">
        <f t="shared" si="29"/>
        <v>#NUM!</v>
      </c>
    </row>
    <row r="362" spans="1:6" x14ac:dyDescent="0.2">
      <c r="A362" s="81">
        <v>351</v>
      </c>
      <c r="B362" s="80" t="e">
        <f t="shared" si="25"/>
        <v>#NUM!</v>
      </c>
      <c r="C362" s="80" t="e">
        <f t="shared" si="26"/>
        <v>#NUM!</v>
      </c>
      <c r="D362" s="80" t="e">
        <f t="shared" si="27"/>
        <v>#NUM!</v>
      </c>
      <c r="E362" s="80" t="e">
        <f t="shared" si="28"/>
        <v>#NUM!</v>
      </c>
      <c r="F362" s="80" t="e">
        <f t="shared" si="29"/>
        <v>#NUM!</v>
      </c>
    </row>
    <row r="363" spans="1:6" x14ac:dyDescent="0.2">
      <c r="A363" s="81">
        <v>352</v>
      </c>
      <c r="B363" s="80" t="e">
        <f t="shared" si="25"/>
        <v>#NUM!</v>
      </c>
      <c r="C363" s="80" t="e">
        <f t="shared" si="26"/>
        <v>#NUM!</v>
      </c>
      <c r="D363" s="80" t="e">
        <f t="shared" si="27"/>
        <v>#NUM!</v>
      </c>
      <c r="E363" s="80" t="e">
        <f t="shared" si="28"/>
        <v>#NUM!</v>
      </c>
      <c r="F363" s="80" t="e">
        <f t="shared" si="29"/>
        <v>#NUM!</v>
      </c>
    </row>
    <row r="364" spans="1:6" x14ac:dyDescent="0.2">
      <c r="A364" s="81">
        <v>353</v>
      </c>
      <c r="B364" s="80" t="e">
        <f t="shared" si="25"/>
        <v>#NUM!</v>
      </c>
      <c r="C364" s="80" t="e">
        <f t="shared" si="26"/>
        <v>#NUM!</v>
      </c>
      <c r="D364" s="80" t="e">
        <f t="shared" si="27"/>
        <v>#NUM!</v>
      </c>
      <c r="E364" s="80" t="e">
        <f t="shared" si="28"/>
        <v>#NUM!</v>
      </c>
      <c r="F364" s="80" t="e">
        <f t="shared" si="29"/>
        <v>#NUM!</v>
      </c>
    </row>
    <row r="365" spans="1:6" x14ac:dyDescent="0.2">
      <c r="A365" s="81">
        <v>354</v>
      </c>
      <c r="B365" s="80" t="e">
        <f t="shared" si="25"/>
        <v>#NUM!</v>
      </c>
      <c r="C365" s="80" t="e">
        <f t="shared" si="26"/>
        <v>#NUM!</v>
      </c>
      <c r="D365" s="80" t="e">
        <f t="shared" si="27"/>
        <v>#NUM!</v>
      </c>
      <c r="E365" s="80" t="e">
        <f t="shared" si="28"/>
        <v>#NUM!</v>
      </c>
      <c r="F365" s="80" t="e">
        <f t="shared" si="29"/>
        <v>#NUM!</v>
      </c>
    </row>
    <row r="366" spans="1:6" x14ac:dyDescent="0.2">
      <c r="A366" s="81">
        <v>355</v>
      </c>
      <c r="B366" s="80" t="e">
        <f t="shared" si="25"/>
        <v>#NUM!</v>
      </c>
      <c r="C366" s="80" t="e">
        <f t="shared" si="26"/>
        <v>#NUM!</v>
      </c>
      <c r="D366" s="80" t="e">
        <f t="shared" si="27"/>
        <v>#NUM!</v>
      </c>
      <c r="E366" s="80" t="e">
        <f t="shared" si="28"/>
        <v>#NUM!</v>
      </c>
      <c r="F366" s="80" t="e">
        <f t="shared" si="29"/>
        <v>#NUM!</v>
      </c>
    </row>
    <row r="367" spans="1:6" x14ac:dyDescent="0.2">
      <c r="A367" s="81">
        <v>356</v>
      </c>
      <c r="B367" s="80" t="e">
        <f t="shared" si="25"/>
        <v>#NUM!</v>
      </c>
      <c r="C367" s="80" t="e">
        <f t="shared" si="26"/>
        <v>#NUM!</v>
      </c>
      <c r="D367" s="80" t="e">
        <f t="shared" si="27"/>
        <v>#NUM!</v>
      </c>
      <c r="E367" s="80" t="e">
        <f t="shared" si="28"/>
        <v>#NUM!</v>
      </c>
      <c r="F367" s="80" t="e">
        <f t="shared" si="29"/>
        <v>#NUM!</v>
      </c>
    </row>
    <row r="368" spans="1:6" x14ac:dyDescent="0.2">
      <c r="A368" s="81">
        <v>357</v>
      </c>
      <c r="B368" s="80" t="e">
        <f t="shared" si="25"/>
        <v>#NUM!</v>
      </c>
      <c r="C368" s="80" t="e">
        <f t="shared" si="26"/>
        <v>#NUM!</v>
      </c>
      <c r="D368" s="80" t="e">
        <f t="shared" si="27"/>
        <v>#NUM!</v>
      </c>
      <c r="E368" s="80" t="e">
        <f t="shared" si="28"/>
        <v>#NUM!</v>
      </c>
      <c r="F368" s="80" t="e">
        <f t="shared" si="29"/>
        <v>#NUM!</v>
      </c>
    </row>
    <row r="369" spans="1:6" x14ac:dyDescent="0.2">
      <c r="A369" s="81">
        <v>358</v>
      </c>
      <c r="B369" s="80" t="e">
        <f t="shared" si="25"/>
        <v>#NUM!</v>
      </c>
      <c r="C369" s="80" t="e">
        <f t="shared" si="26"/>
        <v>#NUM!</v>
      </c>
      <c r="D369" s="80" t="e">
        <f t="shared" si="27"/>
        <v>#NUM!</v>
      </c>
      <c r="E369" s="80" t="e">
        <f t="shared" si="28"/>
        <v>#NUM!</v>
      </c>
      <c r="F369" s="80" t="e">
        <f t="shared" si="29"/>
        <v>#NUM!</v>
      </c>
    </row>
    <row r="370" spans="1:6" x14ac:dyDescent="0.2">
      <c r="A370" s="81">
        <v>359</v>
      </c>
      <c r="B370" s="80" t="e">
        <f t="shared" si="25"/>
        <v>#NUM!</v>
      </c>
      <c r="C370" s="80" t="e">
        <f t="shared" si="26"/>
        <v>#NUM!</v>
      </c>
      <c r="D370" s="80" t="e">
        <f t="shared" si="27"/>
        <v>#NUM!</v>
      </c>
      <c r="E370" s="80" t="e">
        <f t="shared" si="28"/>
        <v>#NUM!</v>
      </c>
      <c r="F370" s="80" t="e">
        <f t="shared" si="29"/>
        <v>#NUM!</v>
      </c>
    </row>
    <row r="371" spans="1:6" ht="13.5" thickBot="1" x14ac:dyDescent="0.25">
      <c r="A371" s="82">
        <v>360</v>
      </c>
      <c r="B371" s="83" t="e">
        <f t="shared" si="25"/>
        <v>#NUM!</v>
      </c>
      <c r="C371" s="83" t="e">
        <f t="shared" si="26"/>
        <v>#NUM!</v>
      </c>
      <c r="D371" s="83" t="e">
        <f t="shared" si="27"/>
        <v>#NUM!</v>
      </c>
      <c r="E371" s="83" t="e">
        <f t="shared" si="28"/>
        <v>#NUM!</v>
      </c>
      <c r="F371" s="80" t="e">
        <f t="shared" si="29"/>
        <v>#NUM!</v>
      </c>
    </row>
    <row r="372" spans="1:6" ht="13.5" thickTop="1" x14ac:dyDescent="0.2">
      <c r="A372" s="84">
        <v>361</v>
      </c>
      <c r="B372" s="80" t="e">
        <f t="shared" si="25"/>
        <v>#NUM!</v>
      </c>
      <c r="C372" s="80" t="e">
        <f t="shared" si="26"/>
        <v>#NUM!</v>
      </c>
      <c r="D372" s="80" t="e">
        <f t="shared" si="27"/>
        <v>#NUM!</v>
      </c>
      <c r="E372" s="80" t="e">
        <f t="shared" si="28"/>
        <v>#NUM!</v>
      </c>
      <c r="F372" s="80" t="e">
        <f t="shared" si="29"/>
        <v>#NUM!</v>
      </c>
    </row>
    <row r="373" spans="1:6" x14ac:dyDescent="0.2">
      <c r="A373" s="84">
        <v>362</v>
      </c>
      <c r="B373" s="80" t="e">
        <f t="shared" si="25"/>
        <v>#NUM!</v>
      </c>
      <c r="C373" s="80" t="e">
        <f t="shared" si="26"/>
        <v>#NUM!</v>
      </c>
      <c r="D373" s="80" t="e">
        <f t="shared" si="27"/>
        <v>#NUM!</v>
      </c>
      <c r="E373" s="80" t="e">
        <f t="shared" si="28"/>
        <v>#NUM!</v>
      </c>
      <c r="F373" s="80" t="e">
        <f t="shared" si="29"/>
        <v>#NUM!</v>
      </c>
    </row>
    <row r="374" spans="1:6" x14ac:dyDescent="0.2">
      <c r="A374" s="84">
        <v>363</v>
      </c>
      <c r="B374" s="80" t="e">
        <f t="shared" si="25"/>
        <v>#NUM!</v>
      </c>
      <c r="C374" s="80" t="e">
        <f t="shared" si="26"/>
        <v>#NUM!</v>
      </c>
      <c r="D374" s="80" t="e">
        <f t="shared" si="27"/>
        <v>#NUM!</v>
      </c>
      <c r="E374" s="80" t="e">
        <f t="shared" si="28"/>
        <v>#NUM!</v>
      </c>
      <c r="F374" s="80" t="e">
        <f t="shared" si="29"/>
        <v>#NUM!</v>
      </c>
    </row>
    <row r="375" spans="1:6" x14ac:dyDescent="0.2">
      <c r="A375" s="84">
        <v>364</v>
      </c>
      <c r="B375" s="80" t="e">
        <f t="shared" si="25"/>
        <v>#NUM!</v>
      </c>
      <c r="C375" s="80" t="e">
        <f t="shared" si="26"/>
        <v>#NUM!</v>
      </c>
      <c r="D375" s="80" t="e">
        <f t="shared" si="27"/>
        <v>#NUM!</v>
      </c>
      <c r="E375" s="80" t="e">
        <f t="shared" si="28"/>
        <v>#NUM!</v>
      </c>
      <c r="F375" s="80" t="e">
        <f t="shared" si="29"/>
        <v>#NUM!</v>
      </c>
    </row>
    <row r="376" spans="1:6" x14ac:dyDescent="0.2">
      <c r="A376" s="84">
        <v>365</v>
      </c>
      <c r="B376" s="80" t="e">
        <f t="shared" si="25"/>
        <v>#NUM!</v>
      </c>
      <c r="C376" s="80" t="e">
        <f t="shared" si="26"/>
        <v>#NUM!</v>
      </c>
      <c r="D376" s="80" t="e">
        <f t="shared" si="27"/>
        <v>#NUM!</v>
      </c>
      <c r="E376" s="80" t="e">
        <f t="shared" si="28"/>
        <v>#NUM!</v>
      </c>
      <c r="F376" s="80" t="e">
        <f t="shared" si="29"/>
        <v>#NUM!</v>
      </c>
    </row>
    <row r="377" spans="1:6" x14ac:dyDescent="0.2">
      <c r="A377" s="84">
        <v>366</v>
      </c>
      <c r="B377" s="80" t="e">
        <f t="shared" si="25"/>
        <v>#NUM!</v>
      </c>
      <c r="C377" s="80" t="e">
        <f t="shared" si="26"/>
        <v>#NUM!</v>
      </c>
      <c r="D377" s="80" t="e">
        <f t="shared" si="27"/>
        <v>#NUM!</v>
      </c>
      <c r="E377" s="80" t="e">
        <f t="shared" si="28"/>
        <v>#NUM!</v>
      </c>
      <c r="F377" s="80" t="e">
        <f t="shared" si="29"/>
        <v>#NUM!</v>
      </c>
    </row>
    <row r="378" spans="1:6" x14ac:dyDescent="0.2">
      <c r="A378" s="84">
        <v>367</v>
      </c>
      <c r="B378" s="80" t="e">
        <f t="shared" si="25"/>
        <v>#NUM!</v>
      </c>
      <c r="C378" s="80" t="e">
        <f t="shared" si="26"/>
        <v>#NUM!</v>
      </c>
      <c r="D378" s="80" t="e">
        <f t="shared" si="27"/>
        <v>#NUM!</v>
      </c>
      <c r="E378" s="80" t="e">
        <f t="shared" si="28"/>
        <v>#NUM!</v>
      </c>
      <c r="F378" s="80" t="e">
        <f t="shared" si="29"/>
        <v>#NUM!</v>
      </c>
    </row>
    <row r="379" spans="1:6" x14ac:dyDescent="0.2">
      <c r="A379" s="84">
        <v>368</v>
      </c>
      <c r="B379" s="80" t="e">
        <f t="shared" si="25"/>
        <v>#NUM!</v>
      </c>
      <c r="C379" s="80" t="e">
        <f t="shared" si="26"/>
        <v>#NUM!</v>
      </c>
      <c r="D379" s="80" t="e">
        <f t="shared" si="27"/>
        <v>#NUM!</v>
      </c>
      <c r="E379" s="80" t="e">
        <f t="shared" si="28"/>
        <v>#NUM!</v>
      </c>
      <c r="F379" s="80" t="e">
        <f t="shared" si="29"/>
        <v>#NUM!</v>
      </c>
    </row>
    <row r="380" spans="1:6" x14ac:dyDescent="0.2">
      <c r="A380" s="84">
        <v>369</v>
      </c>
      <c r="B380" s="80" t="e">
        <f t="shared" si="25"/>
        <v>#NUM!</v>
      </c>
      <c r="C380" s="80" t="e">
        <f t="shared" si="26"/>
        <v>#NUM!</v>
      </c>
      <c r="D380" s="80" t="e">
        <f t="shared" si="27"/>
        <v>#NUM!</v>
      </c>
      <c r="E380" s="80" t="e">
        <f t="shared" si="28"/>
        <v>#NUM!</v>
      </c>
      <c r="F380" s="80" t="e">
        <f t="shared" si="29"/>
        <v>#NUM!</v>
      </c>
    </row>
    <row r="381" spans="1:6" x14ac:dyDescent="0.2">
      <c r="A381" s="84">
        <v>370</v>
      </c>
      <c r="B381" s="80" t="e">
        <f t="shared" si="25"/>
        <v>#NUM!</v>
      </c>
      <c r="C381" s="80" t="e">
        <f t="shared" si="26"/>
        <v>#NUM!</v>
      </c>
      <c r="D381" s="80" t="e">
        <f t="shared" si="27"/>
        <v>#NUM!</v>
      </c>
      <c r="E381" s="80" t="e">
        <f t="shared" si="28"/>
        <v>#NUM!</v>
      </c>
      <c r="F381" s="80" t="e">
        <f t="shared" si="29"/>
        <v>#NUM!</v>
      </c>
    </row>
    <row r="382" spans="1:6" x14ac:dyDescent="0.2">
      <c r="A382" s="84">
        <v>371</v>
      </c>
      <c r="B382" s="80" t="e">
        <f t="shared" si="25"/>
        <v>#NUM!</v>
      </c>
      <c r="C382" s="80" t="e">
        <f t="shared" si="26"/>
        <v>#NUM!</v>
      </c>
      <c r="D382" s="80" t="e">
        <f t="shared" si="27"/>
        <v>#NUM!</v>
      </c>
      <c r="E382" s="80" t="e">
        <f t="shared" si="28"/>
        <v>#NUM!</v>
      </c>
      <c r="F382" s="80" t="e">
        <f t="shared" si="29"/>
        <v>#NUM!</v>
      </c>
    </row>
    <row r="383" spans="1:6" x14ac:dyDescent="0.2">
      <c r="A383" s="84">
        <v>372</v>
      </c>
      <c r="B383" s="80" t="e">
        <f t="shared" si="25"/>
        <v>#NUM!</v>
      </c>
      <c r="C383" s="80" t="e">
        <f t="shared" si="26"/>
        <v>#NUM!</v>
      </c>
      <c r="D383" s="80" t="e">
        <f t="shared" si="27"/>
        <v>#NUM!</v>
      </c>
      <c r="E383" s="80" t="e">
        <f t="shared" si="28"/>
        <v>#NUM!</v>
      </c>
      <c r="F383" s="80" t="e">
        <f t="shared" si="29"/>
        <v>#NUM!</v>
      </c>
    </row>
    <row r="384" spans="1:6" x14ac:dyDescent="0.2">
      <c r="A384" s="84">
        <v>373</v>
      </c>
      <c r="B384" s="80" t="e">
        <f t="shared" si="25"/>
        <v>#NUM!</v>
      </c>
      <c r="C384" s="80" t="e">
        <f t="shared" si="26"/>
        <v>#NUM!</v>
      </c>
      <c r="D384" s="80" t="e">
        <f t="shared" si="27"/>
        <v>#NUM!</v>
      </c>
      <c r="E384" s="80" t="e">
        <f t="shared" si="28"/>
        <v>#NUM!</v>
      </c>
      <c r="F384" s="80" t="e">
        <f t="shared" si="29"/>
        <v>#NUM!</v>
      </c>
    </row>
    <row r="385" spans="1:6" x14ac:dyDescent="0.2">
      <c r="A385" s="84">
        <v>374</v>
      </c>
      <c r="B385" s="80" t="e">
        <f t="shared" si="25"/>
        <v>#NUM!</v>
      </c>
      <c r="C385" s="80" t="e">
        <f t="shared" si="26"/>
        <v>#NUM!</v>
      </c>
      <c r="D385" s="80" t="e">
        <f t="shared" si="27"/>
        <v>#NUM!</v>
      </c>
      <c r="E385" s="80" t="e">
        <f t="shared" si="28"/>
        <v>#NUM!</v>
      </c>
      <c r="F385" s="80" t="e">
        <f t="shared" si="29"/>
        <v>#NUM!</v>
      </c>
    </row>
    <row r="386" spans="1:6" x14ac:dyDescent="0.2">
      <c r="A386" s="84">
        <v>375</v>
      </c>
      <c r="B386" s="80" t="e">
        <f t="shared" si="25"/>
        <v>#NUM!</v>
      </c>
      <c r="C386" s="80" t="e">
        <f t="shared" si="26"/>
        <v>#NUM!</v>
      </c>
      <c r="D386" s="80" t="e">
        <f t="shared" si="27"/>
        <v>#NUM!</v>
      </c>
      <c r="E386" s="80" t="e">
        <f t="shared" si="28"/>
        <v>#NUM!</v>
      </c>
      <c r="F386" s="80" t="e">
        <f t="shared" si="29"/>
        <v>#NUM!</v>
      </c>
    </row>
    <row r="387" spans="1:6" x14ac:dyDescent="0.2">
      <c r="A387" s="84">
        <v>376</v>
      </c>
      <c r="B387" s="80" t="e">
        <f t="shared" si="25"/>
        <v>#NUM!</v>
      </c>
      <c r="C387" s="80" t="e">
        <f t="shared" si="26"/>
        <v>#NUM!</v>
      </c>
      <c r="D387" s="80" t="e">
        <f t="shared" si="27"/>
        <v>#NUM!</v>
      </c>
      <c r="E387" s="80" t="e">
        <f t="shared" si="28"/>
        <v>#NUM!</v>
      </c>
      <c r="F387" s="80" t="e">
        <f t="shared" si="29"/>
        <v>#NUM!</v>
      </c>
    </row>
    <row r="388" spans="1:6" x14ac:dyDescent="0.2">
      <c r="A388" s="84">
        <v>377</v>
      </c>
      <c r="B388" s="80" t="e">
        <f t="shared" si="25"/>
        <v>#NUM!</v>
      </c>
      <c r="C388" s="80" t="e">
        <f t="shared" si="26"/>
        <v>#NUM!</v>
      </c>
      <c r="D388" s="80" t="e">
        <f t="shared" si="27"/>
        <v>#NUM!</v>
      </c>
      <c r="E388" s="80" t="e">
        <f t="shared" si="28"/>
        <v>#NUM!</v>
      </c>
      <c r="F388" s="80" t="e">
        <f t="shared" si="29"/>
        <v>#NUM!</v>
      </c>
    </row>
    <row r="389" spans="1:6" x14ac:dyDescent="0.2">
      <c r="A389" s="84">
        <v>378</v>
      </c>
      <c r="B389" s="80" t="e">
        <f t="shared" si="25"/>
        <v>#NUM!</v>
      </c>
      <c r="C389" s="80" t="e">
        <f t="shared" si="26"/>
        <v>#NUM!</v>
      </c>
      <c r="D389" s="80" t="e">
        <f t="shared" si="27"/>
        <v>#NUM!</v>
      </c>
      <c r="E389" s="80" t="e">
        <f t="shared" si="28"/>
        <v>#NUM!</v>
      </c>
      <c r="F389" s="80" t="e">
        <f t="shared" si="29"/>
        <v>#NUM!</v>
      </c>
    </row>
    <row r="390" spans="1:6" x14ac:dyDescent="0.2">
      <c r="A390" s="84">
        <v>379</v>
      </c>
      <c r="B390" s="80" t="e">
        <f t="shared" si="25"/>
        <v>#NUM!</v>
      </c>
      <c r="C390" s="80" t="e">
        <f t="shared" si="26"/>
        <v>#NUM!</v>
      </c>
      <c r="D390" s="80" t="e">
        <f t="shared" si="27"/>
        <v>#NUM!</v>
      </c>
      <c r="E390" s="80" t="e">
        <f t="shared" si="28"/>
        <v>#NUM!</v>
      </c>
      <c r="F390" s="80" t="e">
        <f t="shared" si="29"/>
        <v>#NUM!</v>
      </c>
    </row>
    <row r="391" spans="1:6" x14ac:dyDescent="0.2">
      <c r="A391" s="84">
        <v>380</v>
      </c>
      <c r="B391" s="80" t="e">
        <f t="shared" si="25"/>
        <v>#NUM!</v>
      </c>
      <c r="C391" s="80" t="e">
        <f t="shared" si="26"/>
        <v>#NUM!</v>
      </c>
      <c r="D391" s="80" t="e">
        <f t="shared" si="27"/>
        <v>#NUM!</v>
      </c>
      <c r="E391" s="80" t="e">
        <f t="shared" si="28"/>
        <v>#NUM!</v>
      </c>
      <c r="F391" s="80" t="e">
        <f t="shared" si="29"/>
        <v>#NUM!</v>
      </c>
    </row>
    <row r="392" spans="1:6" x14ac:dyDescent="0.2">
      <c r="A392" s="84">
        <v>381</v>
      </c>
      <c r="B392" s="80" t="e">
        <f t="shared" si="25"/>
        <v>#NUM!</v>
      </c>
      <c r="C392" s="80" t="e">
        <f t="shared" si="26"/>
        <v>#NUM!</v>
      </c>
      <c r="D392" s="80" t="e">
        <f t="shared" si="27"/>
        <v>#NUM!</v>
      </c>
      <c r="E392" s="80" t="e">
        <f t="shared" si="28"/>
        <v>#NUM!</v>
      </c>
      <c r="F392" s="80" t="e">
        <f t="shared" si="29"/>
        <v>#NUM!</v>
      </c>
    </row>
    <row r="393" spans="1:6" x14ac:dyDescent="0.2">
      <c r="A393" s="84">
        <v>382</v>
      </c>
      <c r="B393" s="80" t="e">
        <f t="shared" si="25"/>
        <v>#NUM!</v>
      </c>
      <c r="C393" s="80" t="e">
        <f t="shared" si="26"/>
        <v>#NUM!</v>
      </c>
      <c r="D393" s="80" t="e">
        <f t="shared" si="27"/>
        <v>#NUM!</v>
      </c>
      <c r="E393" s="80" t="e">
        <f t="shared" si="28"/>
        <v>#NUM!</v>
      </c>
      <c r="F393" s="80" t="e">
        <f t="shared" si="29"/>
        <v>#NUM!</v>
      </c>
    </row>
    <row r="394" spans="1:6" x14ac:dyDescent="0.2">
      <c r="A394" s="84">
        <v>383</v>
      </c>
      <c r="B394" s="80" t="e">
        <f t="shared" si="25"/>
        <v>#NUM!</v>
      </c>
      <c r="C394" s="80" t="e">
        <f t="shared" si="26"/>
        <v>#NUM!</v>
      </c>
      <c r="D394" s="80" t="e">
        <f t="shared" si="27"/>
        <v>#NUM!</v>
      </c>
      <c r="E394" s="80" t="e">
        <f t="shared" si="28"/>
        <v>#NUM!</v>
      </c>
      <c r="F394" s="80" t="e">
        <f t="shared" si="29"/>
        <v>#NUM!</v>
      </c>
    </row>
    <row r="395" spans="1:6" x14ac:dyDescent="0.2">
      <c r="A395" s="84">
        <v>384</v>
      </c>
      <c r="B395" s="80" t="e">
        <f t="shared" si="25"/>
        <v>#NUM!</v>
      </c>
      <c r="C395" s="80" t="e">
        <f t="shared" si="26"/>
        <v>#NUM!</v>
      </c>
      <c r="D395" s="80" t="e">
        <f t="shared" si="27"/>
        <v>#NUM!</v>
      </c>
      <c r="E395" s="80" t="e">
        <f t="shared" si="28"/>
        <v>#NUM!</v>
      </c>
      <c r="F395" s="80" t="e">
        <f t="shared" si="29"/>
        <v>#NUM!</v>
      </c>
    </row>
    <row r="396" spans="1:6" x14ac:dyDescent="0.2">
      <c r="A396" s="84">
        <v>385</v>
      </c>
      <c r="B396" s="80" t="e">
        <f t="shared" ref="B396:B459" si="30">PPMT(C$5,A396,B$5,-E$11)</f>
        <v>#NUM!</v>
      </c>
      <c r="C396" s="80" t="e">
        <f t="shared" ref="C396:C459" si="31">IPMT(C$5,A396,B$5,-E$11)</f>
        <v>#NUM!</v>
      </c>
      <c r="D396" s="80" t="e">
        <f t="shared" ref="D396:D459" si="32">SUM($D$5)</f>
        <v>#NUM!</v>
      </c>
      <c r="E396" s="80" t="e">
        <f t="shared" ref="E396:E459" si="33">PV(C$5,B$5-A396,-D$12)</f>
        <v>#NUM!</v>
      </c>
      <c r="F396" s="80" t="e">
        <f t="shared" si="29"/>
        <v>#NUM!</v>
      </c>
    </row>
    <row r="397" spans="1:6" x14ac:dyDescent="0.2">
      <c r="A397" s="84">
        <v>386</v>
      </c>
      <c r="B397" s="80" t="e">
        <f t="shared" si="30"/>
        <v>#NUM!</v>
      </c>
      <c r="C397" s="80" t="e">
        <f t="shared" si="31"/>
        <v>#NUM!</v>
      </c>
      <c r="D397" s="80" t="e">
        <f t="shared" si="32"/>
        <v>#NUM!</v>
      </c>
      <c r="E397" s="80" t="e">
        <f t="shared" si="33"/>
        <v>#NUM!</v>
      </c>
      <c r="F397" s="80" t="e">
        <f t="shared" si="29"/>
        <v>#NUM!</v>
      </c>
    </row>
    <row r="398" spans="1:6" x14ac:dyDescent="0.2">
      <c r="A398" s="84">
        <v>387</v>
      </c>
      <c r="B398" s="80" t="e">
        <f t="shared" si="30"/>
        <v>#NUM!</v>
      </c>
      <c r="C398" s="80" t="e">
        <f t="shared" si="31"/>
        <v>#NUM!</v>
      </c>
      <c r="D398" s="80" t="e">
        <f t="shared" si="32"/>
        <v>#NUM!</v>
      </c>
      <c r="E398" s="80" t="e">
        <f t="shared" si="33"/>
        <v>#NUM!</v>
      </c>
      <c r="F398" s="80" t="e">
        <f t="shared" si="29"/>
        <v>#NUM!</v>
      </c>
    </row>
    <row r="399" spans="1:6" x14ac:dyDescent="0.2">
      <c r="A399" s="84">
        <v>388</v>
      </c>
      <c r="B399" s="80" t="e">
        <f t="shared" si="30"/>
        <v>#NUM!</v>
      </c>
      <c r="C399" s="80" t="e">
        <f t="shared" si="31"/>
        <v>#NUM!</v>
      </c>
      <c r="D399" s="80" t="e">
        <f t="shared" si="32"/>
        <v>#NUM!</v>
      </c>
      <c r="E399" s="80" t="e">
        <f t="shared" si="33"/>
        <v>#NUM!</v>
      </c>
      <c r="F399" s="80" t="e">
        <f t="shared" si="29"/>
        <v>#NUM!</v>
      </c>
    </row>
    <row r="400" spans="1:6" x14ac:dyDescent="0.2">
      <c r="A400" s="84">
        <v>389</v>
      </c>
      <c r="B400" s="80" t="e">
        <f t="shared" si="30"/>
        <v>#NUM!</v>
      </c>
      <c r="C400" s="80" t="e">
        <f t="shared" si="31"/>
        <v>#NUM!</v>
      </c>
      <c r="D400" s="80" t="e">
        <f t="shared" si="32"/>
        <v>#NUM!</v>
      </c>
      <c r="E400" s="80" t="e">
        <f t="shared" si="33"/>
        <v>#NUM!</v>
      </c>
      <c r="F400" s="80" t="e">
        <f t="shared" si="29"/>
        <v>#NUM!</v>
      </c>
    </row>
    <row r="401" spans="1:6" x14ac:dyDescent="0.2">
      <c r="A401" s="84">
        <v>390</v>
      </c>
      <c r="B401" s="80" t="e">
        <f t="shared" si="30"/>
        <v>#NUM!</v>
      </c>
      <c r="C401" s="80" t="e">
        <f t="shared" si="31"/>
        <v>#NUM!</v>
      </c>
      <c r="D401" s="80" t="e">
        <f t="shared" si="32"/>
        <v>#NUM!</v>
      </c>
      <c r="E401" s="80" t="e">
        <f t="shared" si="33"/>
        <v>#NUM!</v>
      </c>
      <c r="F401" s="80" t="e">
        <f t="shared" si="29"/>
        <v>#NUM!</v>
      </c>
    </row>
    <row r="402" spans="1:6" x14ac:dyDescent="0.2">
      <c r="A402" s="84">
        <v>391</v>
      </c>
      <c r="B402" s="80" t="e">
        <f t="shared" si="30"/>
        <v>#NUM!</v>
      </c>
      <c r="C402" s="80" t="e">
        <f t="shared" si="31"/>
        <v>#NUM!</v>
      </c>
      <c r="D402" s="80" t="e">
        <f t="shared" si="32"/>
        <v>#NUM!</v>
      </c>
      <c r="E402" s="80" t="e">
        <f t="shared" si="33"/>
        <v>#NUM!</v>
      </c>
      <c r="F402" s="80" t="e">
        <f t="shared" si="29"/>
        <v>#NUM!</v>
      </c>
    </row>
    <row r="403" spans="1:6" x14ac:dyDescent="0.2">
      <c r="A403" s="84">
        <v>392</v>
      </c>
      <c r="B403" s="80" t="e">
        <f t="shared" si="30"/>
        <v>#NUM!</v>
      </c>
      <c r="C403" s="80" t="e">
        <f t="shared" si="31"/>
        <v>#NUM!</v>
      </c>
      <c r="D403" s="80" t="e">
        <f t="shared" si="32"/>
        <v>#NUM!</v>
      </c>
      <c r="E403" s="80" t="e">
        <f t="shared" si="33"/>
        <v>#NUM!</v>
      </c>
      <c r="F403" s="80" t="e">
        <f t="shared" si="29"/>
        <v>#NUM!</v>
      </c>
    </row>
    <row r="404" spans="1:6" x14ac:dyDescent="0.2">
      <c r="A404" s="84">
        <v>393</v>
      </c>
      <c r="B404" s="80" t="e">
        <f t="shared" si="30"/>
        <v>#NUM!</v>
      </c>
      <c r="C404" s="80" t="e">
        <f t="shared" si="31"/>
        <v>#NUM!</v>
      </c>
      <c r="D404" s="80" t="e">
        <f t="shared" si="32"/>
        <v>#NUM!</v>
      </c>
      <c r="E404" s="80" t="e">
        <f t="shared" si="33"/>
        <v>#NUM!</v>
      </c>
      <c r="F404" s="80" t="e">
        <f t="shared" si="29"/>
        <v>#NUM!</v>
      </c>
    </row>
    <row r="405" spans="1:6" x14ac:dyDescent="0.2">
      <c r="A405" s="84">
        <v>394</v>
      </c>
      <c r="B405" s="80" t="e">
        <f t="shared" si="30"/>
        <v>#NUM!</v>
      </c>
      <c r="C405" s="80" t="e">
        <f t="shared" si="31"/>
        <v>#NUM!</v>
      </c>
      <c r="D405" s="80" t="e">
        <f t="shared" si="32"/>
        <v>#NUM!</v>
      </c>
      <c r="E405" s="80" t="e">
        <f t="shared" si="33"/>
        <v>#NUM!</v>
      </c>
      <c r="F405" s="80" t="e">
        <f t="shared" si="29"/>
        <v>#NUM!</v>
      </c>
    </row>
    <row r="406" spans="1:6" x14ac:dyDescent="0.2">
      <c r="A406" s="84">
        <v>395</v>
      </c>
      <c r="B406" s="80" t="e">
        <f t="shared" si="30"/>
        <v>#NUM!</v>
      </c>
      <c r="C406" s="80" t="e">
        <f t="shared" si="31"/>
        <v>#NUM!</v>
      </c>
      <c r="D406" s="80" t="e">
        <f t="shared" si="32"/>
        <v>#NUM!</v>
      </c>
      <c r="E406" s="80" t="e">
        <f t="shared" si="33"/>
        <v>#NUM!</v>
      </c>
      <c r="F406" s="80" t="e">
        <f t="shared" si="29"/>
        <v>#NUM!</v>
      </c>
    </row>
    <row r="407" spans="1:6" x14ac:dyDescent="0.2">
      <c r="A407" s="84">
        <v>396</v>
      </c>
      <c r="B407" s="80" t="e">
        <f t="shared" si="30"/>
        <v>#NUM!</v>
      </c>
      <c r="C407" s="80" t="e">
        <f t="shared" si="31"/>
        <v>#NUM!</v>
      </c>
      <c r="D407" s="80" t="e">
        <f t="shared" si="32"/>
        <v>#NUM!</v>
      </c>
      <c r="E407" s="80" t="e">
        <f t="shared" si="33"/>
        <v>#NUM!</v>
      </c>
      <c r="F407" s="80" t="e">
        <f t="shared" si="29"/>
        <v>#NUM!</v>
      </c>
    </row>
    <row r="408" spans="1:6" x14ac:dyDescent="0.2">
      <c r="A408" s="84">
        <v>397</v>
      </c>
      <c r="B408" s="80" t="e">
        <f t="shared" si="30"/>
        <v>#NUM!</v>
      </c>
      <c r="C408" s="80" t="e">
        <f t="shared" si="31"/>
        <v>#NUM!</v>
      </c>
      <c r="D408" s="80" t="e">
        <f t="shared" si="32"/>
        <v>#NUM!</v>
      </c>
      <c r="E408" s="80" t="e">
        <f t="shared" si="33"/>
        <v>#NUM!</v>
      </c>
      <c r="F408" s="80" t="e">
        <f t="shared" si="29"/>
        <v>#NUM!</v>
      </c>
    </row>
    <row r="409" spans="1:6" x14ac:dyDescent="0.2">
      <c r="A409" s="84">
        <v>398</v>
      </c>
      <c r="B409" s="80" t="e">
        <f t="shared" si="30"/>
        <v>#NUM!</v>
      </c>
      <c r="C409" s="80" t="e">
        <f t="shared" si="31"/>
        <v>#NUM!</v>
      </c>
      <c r="D409" s="80" t="e">
        <f t="shared" si="32"/>
        <v>#NUM!</v>
      </c>
      <c r="E409" s="80" t="e">
        <f t="shared" si="33"/>
        <v>#NUM!</v>
      </c>
      <c r="F409" s="80" t="e">
        <f t="shared" si="29"/>
        <v>#NUM!</v>
      </c>
    </row>
    <row r="410" spans="1:6" x14ac:dyDescent="0.2">
      <c r="A410" s="84">
        <v>399</v>
      </c>
      <c r="B410" s="80" t="e">
        <f t="shared" si="30"/>
        <v>#NUM!</v>
      </c>
      <c r="C410" s="80" t="e">
        <f t="shared" si="31"/>
        <v>#NUM!</v>
      </c>
      <c r="D410" s="80" t="e">
        <f t="shared" si="32"/>
        <v>#NUM!</v>
      </c>
      <c r="E410" s="80" t="e">
        <f t="shared" si="33"/>
        <v>#NUM!</v>
      </c>
      <c r="F410" s="80" t="e">
        <f t="shared" si="29"/>
        <v>#NUM!</v>
      </c>
    </row>
    <row r="411" spans="1:6" x14ac:dyDescent="0.2">
      <c r="A411" s="84">
        <v>400</v>
      </c>
      <c r="B411" s="80" t="e">
        <f t="shared" si="30"/>
        <v>#NUM!</v>
      </c>
      <c r="C411" s="80" t="e">
        <f t="shared" si="31"/>
        <v>#NUM!</v>
      </c>
      <c r="D411" s="80" t="e">
        <f t="shared" si="32"/>
        <v>#NUM!</v>
      </c>
      <c r="E411" s="80" t="e">
        <f t="shared" si="33"/>
        <v>#NUM!</v>
      </c>
      <c r="F411" s="80" t="e">
        <f t="shared" si="29"/>
        <v>#NUM!</v>
      </c>
    </row>
    <row r="412" spans="1:6" x14ac:dyDescent="0.2">
      <c r="A412" s="84">
        <v>401</v>
      </c>
      <c r="B412" s="80" t="e">
        <f t="shared" si="30"/>
        <v>#NUM!</v>
      </c>
      <c r="C412" s="80" t="e">
        <f t="shared" si="31"/>
        <v>#NUM!</v>
      </c>
      <c r="D412" s="80" t="e">
        <f t="shared" si="32"/>
        <v>#NUM!</v>
      </c>
      <c r="E412" s="80" t="e">
        <f t="shared" si="33"/>
        <v>#NUM!</v>
      </c>
      <c r="F412" s="80" t="e">
        <f t="shared" si="29"/>
        <v>#NUM!</v>
      </c>
    </row>
    <row r="413" spans="1:6" x14ac:dyDescent="0.2">
      <c r="A413" s="84">
        <v>402</v>
      </c>
      <c r="B413" s="80" t="e">
        <f t="shared" si="30"/>
        <v>#NUM!</v>
      </c>
      <c r="C413" s="80" t="e">
        <f t="shared" si="31"/>
        <v>#NUM!</v>
      </c>
      <c r="D413" s="80" t="e">
        <f t="shared" si="32"/>
        <v>#NUM!</v>
      </c>
      <c r="E413" s="80" t="e">
        <f t="shared" si="33"/>
        <v>#NUM!</v>
      </c>
      <c r="F413" s="80" t="e">
        <f t="shared" si="29"/>
        <v>#NUM!</v>
      </c>
    </row>
    <row r="414" spans="1:6" x14ac:dyDescent="0.2">
      <c r="A414" s="84">
        <v>403</v>
      </c>
      <c r="B414" s="80" t="e">
        <f t="shared" si="30"/>
        <v>#NUM!</v>
      </c>
      <c r="C414" s="80" t="e">
        <f t="shared" si="31"/>
        <v>#NUM!</v>
      </c>
      <c r="D414" s="80" t="e">
        <f t="shared" si="32"/>
        <v>#NUM!</v>
      </c>
      <c r="E414" s="80" t="e">
        <f t="shared" si="33"/>
        <v>#NUM!</v>
      </c>
      <c r="F414" s="80" t="e">
        <f t="shared" si="29"/>
        <v>#NUM!</v>
      </c>
    </row>
    <row r="415" spans="1:6" x14ac:dyDescent="0.2">
      <c r="A415" s="84">
        <v>404</v>
      </c>
      <c r="B415" s="80" t="e">
        <f t="shared" si="30"/>
        <v>#NUM!</v>
      </c>
      <c r="C415" s="80" t="e">
        <f t="shared" si="31"/>
        <v>#NUM!</v>
      </c>
      <c r="D415" s="80" t="e">
        <f t="shared" si="32"/>
        <v>#NUM!</v>
      </c>
      <c r="E415" s="80" t="e">
        <f t="shared" si="33"/>
        <v>#NUM!</v>
      </c>
      <c r="F415" s="80" t="e">
        <f t="shared" si="29"/>
        <v>#NUM!</v>
      </c>
    </row>
    <row r="416" spans="1:6" x14ac:dyDescent="0.2">
      <c r="A416" s="84">
        <v>405</v>
      </c>
      <c r="B416" s="80" t="e">
        <f t="shared" si="30"/>
        <v>#NUM!</v>
      </c>
      <c r="C416" s="80" t="e">
        <f t="shared" si="31"/>
        <v>#NUM!</v>
      </c>
      <c r="D416" s="80" t="e">
        <f t="shared" si="32"/>
        <v>#NUM!</v>
      </c>
      <c r="E416" s="80" t="e">
        <f t="shared" si="33"/>
        <v>#NUM!</v>
      </c>
      <c r="F416" s="80" t="e">
        <f t="shared" si="29"/>
        <v>#NUM!</v>
      </c>
    </row>
    <row r="417" spans="1:6" x14ac:dyDescent="0.2">
      <c r="A417" s="84">
        <v>406</v>
      </c>
      <c r="B417" s="80" t="e">
        <f t="shared" si="30"/>
        <v>#NUM!</v>
      </c>
      <c r="C417" s="80" t="e">
        <f t="shared" si="31"/>
        <v>#NUM!</v>
      </c>
      <c r="D417" s="80" t="e">
        <f t="shared" si="32"/>
        <v>#NUM!</v>
      </c>
      <c r="E417" s="80" t="e">
        <f t="shared" si="33"/>
        <v>#NUM!</v>
      </c>
      <c r="F417" s="80" t="e">
        <f t="shared" si="29"/>
        <v>#NUM!</v>
      </c>
    </row>
    <row r="418" spans="1:6" x14ac:dyDescent="0.2">
      <c r="A418" s="84">
        <v>407</v>
      </c>
      <c r="B418" s="80" t="e">
        <f t="shared" si="30"/>
        <v>#NUM!</v>
      </c>
      <c r="C418" s="80" t="e">
        <f t="shared" si="31"/>
        <v>#NUM!</v>
      </c>
      <c r="D418" s="80" t="e">
        <f t="shared" si="32"/>
        <v>#NUM!</v>
      </c>
      <c r="E418" s="80" t="e">
        <f t="shared" si="33"/>
        <v>#NUM!</v>
      </c>
      <c r="F418" s="80" t="e">
        <f t="shared" si="29"/>
        <v>#NUM!</v>
      </c>
    </row>
    <row r="419" spans="1:6" x14ac:dyDescent="0.2">
      <c r="A419" s="84">
        <v>408</v>
      </c>
      <c r="B419" s="80" t="e">
        <f t="shared" si="30"/>
        <v>#NUM!</v>
      </c>
      <c r="C419" s="80" t="e">
        <f t="shared" si="31"/>
        <v>#NUM!</v>
      </c>
      <c r="D419" s="80" t="e">
        <f t="shared" si="32"/>
        <v>#NUM!</v>
      </c>
      <c r="E419" s="80" t="e">
        <f t="shared" si="33"/>
        <v>#NUM!</v>
      </c>
      <c r="F419" s="80" t="e">
        <f t="shared" si="29"/>
        <v>#NUM!</v>
      </c>
    </row>
    <row r="420" spans="1:6" x14ac:dyDescent="0.2">
      <c r="A420" s="84">
        <v>409</v>
      </c>
      <c r="B420" s="80" t="e">
        <f t="shared" si="30"/>
        <v>#NUM!</v>
      </c>
      <c r="C420" s="80" t="e">
        <f t="shared" si="31"/>
        <v>#NUM!</v>
      </c>
      <c r="D420" s="80" t="e">
        <f t="shared" si="32"/>
        <v>#NUM!</v>
      </c>
      <c r="E420" s="80" t="e">
        <f t="shared" si="33"/>
        <v>#NUM!</v>
      </c>
      <c r="F420" s="80" t="e">
        <f t="shared" si="29"/>
        <v>#NUM!</v>
      </c>
    </row>
    <row r="421" spans="1:6" x14ac:dyDescent="0.2">
      <c r="A421" s="84">
        <v>410</v>
      </c>
      <c r="B421" s="80" t="e">
        <f t="shared" si="30"/>
        <v>#NUM!</v>
      </c>
      <c r="C421" s="80" t="e">
        <f t="shared" si="31"/>
        <v>#NUM!</v>
      </c>
      <c r="D421" s="80" t="e">
        <f t="shared" si="32"/>
        <v>#NUM!</v>
      </c>
      <c r="E421" s="80" t="e">
        <f t="shared" si="33"/>
        <v>#NUM!</v>
      </c>
      <c r="F421" s="80" t="e">
        <f t="shared" ref="F421:F484" si="34">E421*0.00025</f>
        <v>#NUM!</v>
      </c>
    </row>
    <row r="422" spans="1:6" x14ac:dyDescent="0.2">
      <c r="A422" s="84">
        <v>411</v>
      </c>
      <c r="B422" s="80" t="e">
        <f t="shared" si="30"/>
        <v>#NUM!</v>
      </c>
      <c r="C422" s="80" t="e">
        <f t="shared" si="31"/>
        <v>#NUM!</v>
      </c>
      <c r="D422" s="80" t="e">
        <f t="shared" si="32"/>
        <v>#NUM!</v>
      </c>
      <c r="E422" s="80" t="e">
        <f t="shared" si="33"/>
        <v>#NUM!</v>
      </c>
      <c r="F422" s="80" t="e">
        <f t="shared" si="34"/>
        <v>#NUM!</v>
      </c>
    </row>
    <row r="423" spans="1:6" x14ac:dyDescent="0.2">
      <c r="A423" s="84">
        <v>412</v>
      </c>
      <c r="B423" s="80" t="e">
        <f t="shared" si="30"/>
        <v>#NUM!</v>
      </c>
      <c r="C423" s="80" t="e">
        <f t="shared" si="31"/>
        <v>#NUM!</v>
      </c>
      <c r="D423" s="80" t="e">
        <f t="shared" si="32"/>
        <v>#NUM!</v>
      </c>
      <c r="E423" s="80" t="e">
        <f t="shared" si="33"/>
        <v>#NUM!</v>
      </c>
      <c r="F423" s="80" t="e">
        <f t="shared" si="34"/>
        <v>#NUM!</v>
      </c>
    </row>
    <row r="424" spans="1:6" x14ac:dyDescent="0.2">
      <c r="A424" s="84">
        <v>413</v>
      </c>
      <c r="B424" s="80" t="e">
        <f t="shared" si="30"/>
        <v>#NUM!</v>
      </c>
      <c r="C424" s="80" t="e">
        <f t="shared" si="31"/>
        <v>#NUM!</v>
      </c>
      <c r="D424" s="80" t="e">
        <f t="shared" si="32"/>
        <v>#NUM!</v>
      </c>
      <c r="E424" s="80" t="e">
        <f t="shared" si="33"/>
        <v>#NUM!</v>
      </c>
      <c r="F424" s="80" t="e">
        <f t="shared" si="34"/>
        <v>#NUM!</v>
      </c>
    </row>
    <row r="425" spans="1:6" x14ac:dyDescent="0.2">
      <c r="A425" s="84">
        <v>414</v>
      </c>
      <c r="B425" s="80" t="e">
        <f t="shared" si="30"/>
        <v>#NUM!</v>
      </c>
      <c r="C425" s="80" t="e">
        <f t="shared" si="31"/>
        <v>#NUM!</v>
      </c>
      <c r="D425" s="80" t="e">
        <f t="shared" si="32"/>
        <v>#NUM!</v>
      </c>
      <c r="E425" s="80" t="e">
        <f t="shared" si="33"/>
        <v>#NUM!</v>
      </c>
      <c r="F425" s="80" t="e">
        <f t="shared" si="34"/>
        <v>#NUM!</v>
      </c>
    </row>
    <row r="426" spans="1:6" x14ac:dyDescent="0.2">
      <c r="A426" s="84">
        <v>415</v>
      </c>
      <c r="B426" s="80" t="e">
        <f t="shared" si="30"/>
        <v>#NUM!</v>
      </c>
      <c r="C426" s="80" t="e">
        <f t="shared" si="31"/>
        <v>#NUM!</v>
      </c>
      <c r="D426" s="80" t="e">
        <f t="shared" si="32"/>
        <v>#NUM!</v>
      </c>
      <c r="E426" s="80" t="e">
        <f t="shared" si="33"/>
        <v>#NUM!</v>
      </c>
      <c r="F426" s="80" t="e">
        <f t="shared" si="34"/>
        <v>#NUM!</v>
      </c>
    </row>
    <row r="427" spans="1:6" x14ac:dyDescent="0.2">
      <c r="A427" s="84">
        <v>416</v>
      </c>
      <c r="B427" s="80" t="e">
        <f t="shared" si="30"/>
        <v>#NUM!</v>
      </c>
      <c r="C427" s="80" t="e">
        <f t="shared" si="31"/>
        <v>#NUM!</v>
      </c>
      <c r="D427" s="80" t="e">
        <f t="shared" si="32"/>
        <v>#NUM!</v>
      </c>
      <c r="E427" s="80" t="e">
        <f t="shared" si="33"/>
        <v>#NUM!</v>
      </c>
      <c r="F427" s="80" t="e">
        <f t="shared" si="34"/>
        <v>#NUM!</v>
      </c>
    </row>
    <row r="428" spans="1:6" x14ac:dyDescent="0.2">
      <c r="A428" s="84">
        <v>417</v>
      </c>
      <c r="B428" s="80" t="e">
        <f t="shared" si="30"/>
        <v>#NUM!</v>
      </c>
      <c r="C428" s="80" t="e">
        <f t="shared" si="31"/>
        <v>#NUM!</v>
      </c>
      <c r="D428" s="80" t="e">
        <f t="shared" si="32"/>
        <v>#NUM!</v>
      </c>
      <c r="E428" s="80" t="e">
        <f t="shared" si="33"/>
        <v>#NUM!</v>
      </c>
      <c r="F428" s="80" t="e">
        <f t="shared" si="34"/>
        <v>#NUM!</v>
      </c>
    </row>
    <row r="429" spans="1:6" x14ac:dyDescent="0.2">
      <c r="A429" s="84">
        <v>418</v>
      </c>
      <c r="B429" s="80" t="e">
        <f t="shared" si="30"/>
        <v>#NUM!</v>
      </c>
      <c r="C429" s="80" t="e">
        <f t="shared" si="31"/>
        <v>#NUM!</v>
      </c>
      <c r="D429" s="80" t="e">
        <f t="shared" si="32"/>
        <v>#NUM!</v>
      </c>
      <c r="E429" s="80" t="e">
        <f t="shared" si="33"/>
        <v>#NUM!</v>
      </c>
      <c r="F429" s="80" t="e">
        <f t="shared" si="34"/>
        <v>#NUM!</v>
      </c>
    </row>
    <row r="430" spans="1:6" x14ac:dyDescent="0.2">
      <c r="A430" s="84">
        <v>419</v>
      </c>
      <c r="B430" s="80" t="e">
        <f t="shared" si="30"/>
        <v>#NUM!</v>
      </c>
      <c r="C430" s="80" t="e">
        <f t="shared" si="31"/>
        <v>#NUM!</v>
      </c>
      <c r="D430" s="80" t="e">
        <f t="shared" si="32"/>
        <v>#NUM!</v>
      </c>
      <c r="E430" s="80" t="e">
        <f t="shared" si="33"/>
        <v>#NUM!</v>
      </c>
      <c r="F430" s="80" t="e">
        <f t="shared" si="34"/>
        <v>#NUM!</v>
      </c>
    </row>
    <row r="431" spans="1:6" x14ac:dyDescent="0.2">
      <c r="A431" s="84">
        <v>420</v>
      </c>
      <c r="B431" s="80" t="e">
        <f t="shared" si="30"/>
        <v>#NUM!</v>
      </c>
      <c r="C431" s="80" t="e">
        <f t="shared" si="31"/>
        <v>#NUM!</v>
      </c>
      <c r="D431" s="80" t="e">
        <f t="shared" si="32"/>
        <v>#NUM!</v>
      </c>
      <c r="E431" s="80" t="e">
        <f t="shared" si="33"/>
        <v>#NUM!</v>
      </c>
      <c r="F431" s="80" t="e">
        <f t="shared" si="34"/>
        <v>#NUM!</v>
      </c>
    </row>
    <row r="432" spans="1:6" x14ac:dyDescent="0.2">
      <c r="A432" s="84">
        <v>421</v>
      </c>
      <c r="B432" s="80" t="e">
        <f t="shared" si="30"/>
        <v>#NUM!</v>
      </c>
      <c r="C432" s="80" t="e">
        <f t="shared" si="31"/>
        <v>#NUM!</v>
      </c>
      <c r="D432" s="80" t="e">
        <f t="shared" si="32"/>
        <v>#NUM!</v>
      </c>
      <c r="E432" s="80" t="e">
        <f t="shared" si="33"/>
        <v>#NUM!</v>
      </c>
      <c r="F432" s="80" t="e">
        <f t="shared" si="34"/>
        <v>#NUM!</v>
      </c>
    </row>
    <row r="433" spans="1:6" x14ac:dyDescent="0.2">
      <c r="A433" s="84">
        <v>422</v>
      </c>
      <c r="B433" s="80" t="e">
        <f t="shared" si="30"/>
        <v>#NUM!</v>
      </c>
      <c r="C433" s="80" t="e">
        <f t="shared" si="31"/>
        <v>#NUM!</v>
      </c>
      <c r="D433" s="80" t="e">
        <f t="shared" si="32"/>
        <v>#NUM!</v>
      </c>
      <c r="E433" s="80" t="e">
        <f t="shared" si="33"/>
        <v>#NUM!</v>
      </c>
      <c r="F433" s="80" t="e">
        <f t="shared" si="34"/>
        <v>#NUM!</v>
      </c>
    </row>
    <row r="434" spans="1:6" x14ac:dyDescent="0.2">
      <c r="A434" s="84">
        <v>423</v>
      </c>
      <c r="B434" s="80" t="e">
        <f t="shared" si="30"/>
        <v>#NUM!</v>
      </c>
      <c r="C434" s="80" t="e">
        <f t="shared" si="31"/>
        <v>#NUM!</v>
      </c>
      <c r="D434" s="80" t="e">
        <f t="shared" si="32"/>
        <v>#NUM!</v>
      </c>
      <c r="E434" s="80" t="e">
        <f t="shared" si="33"/>
        <v>#NUM!</v>
      </c>
      <c r="F434" s="80" t="e">
        <f t="shared" si="34"/>
        <v>#NUM!</v>
      </c>
    </row>
    <row r="435" spans="1:6" x14ac:dyDescent="0.2">
      <c r="A435" s="84">
        <v>424</v>
      </c>
      <c r="B435" s="80" t="e">
        <f t="shared" si="30"/>
        <v>#NUM!</v>
      </c>
      <c r="C435" s="80" t="e">
        <f t="shared" si="31"/>
        <v>#NUM!</v>
      </c>
      <c r="D435" s="80" t="e">
        <f t="shared" si="32"/>
        <v>#NUM!</v>
      </c>
      <c r="E435" s="80" t="e">
        <f t="shared" si="33"/>
        <v>#NUM!</v>
      </c>
      <c r="F435" s="80" t="e">
        <f t="shared" si="34"/>
        <v>#NUM!</v>
      </c>
    </row>
    <row r="436" spans="1:6" x14ac:dyDescent="0.2">
      <c r="A436" s="84">
        <v>425</v>
      </c>
      <c r="B436" s="80" t="e">
        <f t="shared" si="30"/>
        <v>#NUM!</v>
      </c>
      <c r="C436" s="80" t="e">
        <f t="shared" si="31"/>
        <v>#NUM!</v>
      </c>
      <c r="D436" s="80" t="e">
        <f t="shared" si="32"/>
        <v>#NUM!</v>
      </c>
      <c r="E436" s="80" t="e">
        <f t="shared" si="33"/>
        <v>#NUM!</v>
      </c>
      <c r="F436" s="80" t="e">
        <f t="shared" si="34"/>
        <v>#NUM!</v>
      </c>
    </row>
    <row r="437" spans="1:6" x14ac:dyDescent="0.2">
      <c r="A437" s="84">
        <v>426</v>
      </c>
      <c r="B437" s="80" t="e">
        <f t="shared" si="30"/>
        <v>#NUM!</v>
      </c>
      <c r="C437" s="80" t="e">
        <f t="shared" si="31"/>
        <v>#NUM!</v>
      </c>
      <c r="D437" s="80" t="e">
        <f t="shared" si="32"/>
        <v>#NUM!</v>
      </c>
      <c r="E437" s="80" t="e">
        <f t="shared" si="33"/>
        <v>#NUM!</v>
      </c>
      <c r="F437" s="80" t="e">
        <f t="shared" si="34"/>
        <v>#NUM!</v>
      </c>
    </row>
    <row r="438" spans="1:6" x14ac:dyDescent="0.2">
      <c r="A438" s="84">
        <v>427</v>
      </c>
      <c r="B438" s="80" t="e">
        <f t="shared" si="30"/>
        <v>#NUM!</v>
      </c>
      <c r="C438" s="80" t="e">
        <f t="shared" si="31"/>
        <v>#NUM!</v>
      </c>
      <c r="D438" s="80" t="e">
        <f t="shared" si="32"/>
        <v>#NUM!</v>
      </c>
      <c r="E438" s="80" t="e">
        <f t="shared" si="33"/>
        <v>#NUM!</v>
      </c>
      <c r="F438" s="80" t="e">
        <f t="shared" si="34"/>
        <v>#NUM!</v>
      </c>
    </row>
    <row r="439" spans="1:6" x14ac:dyDescent="0.2">
      <c r="A439" s="84">
        <v>428</v>
      </c>
      <c r="B439" s="80" t="e">
        <f t="shared" si="30"/>
        <v>#NUM!</v>
      </c>
      <c r="C439" s="80" t="e">
        <f t="shared" si="31"/>
        <v>#NUM!</v>
      </c>
      <c r="D439" s="80" t="e">
        <f t="shared" si="32"/>
        <v>#NUM!</v>
      </c>
      <c r="E439" s="80" t="e">
        <f t="shared" si="33"/>
        <v>#NUM!</v>
      </c>
      <c r="F439" s="80" t="e">
        <f t="shared" si="34"/>
        <v>#NUM!</v>
      </c>
    </row>
    <row r="440" spans="1:6" x14ac:dyDescent="0.2">
      <c r="A440" s="84">
        <v>429</v>
      </c>
      <c r="B440" s="80" t="e">
        <f t="shared" si="30"/>
        <v>#NUM!</v>
      </c>
      <c r="C440" s="80" t="e">
        <f t="shared" si="31"/>
        <v>#NUM!</v>
      </c>
      <c r="D440" s="80" t="e">
        <f t="shared" si="32"/>
        <v>#NUM!</v>
      </c>
      <c r="E440" s="80" t="e">
        <f t="shared" si="33"/>
        <v>#NUM!</v>
      </c>
      <c r="F440" s="80" t="e">
        <f t="shared" si="34"/>
        <v>#NUM!</v>
      </c>
    </row>
    <row r="441" spans="1:6" x14ac:dyDescent="0.2">
      <c r="A441" s="84">
        <v>430</v>
      </c>
      <c r="B441" s="80" t="e">
        <f t="shared" si="30"/>
        <v>#NUM!</v>
      </c>
      <c r="C441" s="80" t="e">
        <f t="shared" si="31"/>
        <v>#NUM!</v>
      </c>
      <c r="D441" s="80" t="e">
        <f t="shared" si="32"/>
        <v>#NUM!</v>
      </c>
      <c r="E441" s="80" t="e">
        <f t="shared" si="33"/>
        <v>#NUM!</v>
      </c>
      <c r="F441" s="80" t="e">
        <f t="shared" si="34"/>
        <v>#NUM!</v>
      </c>
    </row>
    <row r="442" spans="1:6" x14ac:dyDescent="0.2">
      <c r="A442" s="84">
        <v>431</v>
      </c>
      <c r="B442" s="80" t="e">
        <f t="shared" si="30"/>
        <v>#NUM!</v>
      </c>
      <c r="C442" s="80" t="e">
        <f t="shared" si="31"/>
        <v>#NUM!</v>
      </c>
      <c r="D442" s="80" t="e">
        <f t="shared" si="32"/>
        <v>#NUM!</v>
      </c>
      <c r="E442" s="80" t="e">
        <f t="shared" si="33"/>
        <v>#NUM!</v>
      </c>
      <c r="F442" s="80" t="e">
        <f t="shared" si="34"/>
        <v>#NUM!</v>
      </c>
    </row>
    <row r="443" spans="1:6" x14ac:dyDescent="0.2">
      <c r="A443" s="84">
        <v>432</v>
      </c>
      <c r="B443" s="80" t="e">
        <f t="shared" si="30"/>
        <v>#NUM!</v>
      </c>
      <c r="C443" s="80" t="e">
        <f t="shared" si="31"/>
        <v>#NUM!</v>
      </c>
      <c r="D443" s="80" t="e">
        <f t="shared" si="32"/>
        <v>#NUM!</v>
      </c>
      <c r="E443" s="80" t="e">
        <f t="shared" si="33"/>
        <v>#NUM!</v>
      </c>
      <c r="F443" s="80" t="e">
        <f t="shared" si="34"/>
        <v>#NUM!</v>
      </c>
    </row>
    <row r="444" spans="1:6" x14ac:dyDescent="0.2">
      <c r="A444" s="84">
        <v>433</v>
      </c>
      <c r="B444" s="80" t="e">
        <f t="shared" si="30"/>
        <v>#NUM!</v>
      </c>
      <c r="C444" s="80" t="e">
        <f t="shared" si="31"/>
        <v>#NUM!</v>
      </c>
      <c r="D444" s="80" t="e">
        <f t="shared" si="32"/>
        <v>#NUM!</v>
      </c>
      <c r="E444" s="80" t="e">
        <f t="shared" si="33"/>
        <v>#NUM!</v>
      </c>
      <c r="F444" s="80" t="e">
        <f t="shared" si="34"/>
        <v>#NUM!</v>
      </c>
    </row>
    <row r="445" spans="1:6" x14ac:dyDescent="0.2">
      <c r="A445" s="84">
        <v>434</v>
      </c>
      <c r="B445" s="80" t="e">
        <f t="shared" si="30"/>
        <v>#NUM!</v>
      </c>
      <c r="C445" s="80" t="e">
        <f t="shared" si="31"/>
        <v>#NUM!</v>
      </c>
      <c r="D445" s="80" t="e">
        <f t="shared" si="32"/>
        <v>#NUM!</v>
      </c>
      <c r="E445" s="80" t="e">
        <f t="shared" si="33"/>
        <v>#NUM!</v>
      </c>
      <c r="F445" s="80" t="e">
        <f t="shared" si="34"/>
        <v>#NUM!</v>
      </c>
    </row>
    <row r="446" spans="1:6" x14ac:dyDescent="0.2">
      <c r="A446" s="84">
        <v>435</v>
      </c>
      <c r="B446" s="80" t="e">
        <f t="shared" si="30"/>
        <v>#NUM!</v>
      </c>
      <c r="C446" s="80" t="e">
        <f t="shared" si="31"/>
        <v>#NUM!</v>
      </c>
      <c r="D446" s="80" t="e">
        <f t="shared" si="32"/>
        <v>#NUM!</v>
      </c>
      <c r="E446" s="80" t="e">
        <f t="shared" si="33"/>
        <v>#NUM!</v>
      </c>
      <c r="F446" s="80" t="e">
        <f t="shared" si="34"/>
        <v>#NUM!</v>
      </c>
    </row>
    <row r="447" spans="1:6" x14ac:dyDescent="0.2">
      <c r="A447" s="84">
        <v>436</v>
      </c>
      <c r="B447" s="80" t="e">
        <f t="shared" si="30"/>
        <v>#NUM!</v>
      </c>
      <c r="C447" s="80" t="e">
        <f t="shared" si="31"/>
        <v>#NUM!</v>
      </c>
      <c r="D447" s="80" t="e">
        <f t="shared" si="32"/>
        <v>#NUM!</v>
      </c>
      <c r="E447" s="80" t="e">
        <f t="shared" si="33"/>
        <v>#NUM!</v>
      </c>
      <c r="F447" s="80" t="e">
        <f t="shared" si="34"/>
        <v>#NUM!</v>
      </c>
    </row>
    <row r="448" spans="1:6" x14ac:dyDescent="0.2">
      <c r="A448" s="84">
        <v>437</v>
      </c>
      <c r="B448" s="80" t="e">
        <f t="shared" si="30"/>
        <v>#NUM!</v>
      </c>
      <c r="C448" s="80" t="e">
        <f t="shared" si="31"/>
        <v>#NUM!</v>
      </c>
      <c r="D448" s="80" t="e">
        <f t="shared" si="32"/>
        <v>#NUM!</v>
      </c>
      <c r="E448" s="80" t="e">
        <f t="shared" si="33"/>
        <v>#NUM!</v>
      </c>
      <c r="F448" s="80" t="e">
        <f t="shared" si="34"/>
        <v>#NUM!</v>
      </c>
    </row>
    <row r="449" spans="1:6" x14ac:dyDescent="0.2">
      <c r="A449" s="84">
        <v>438</v>
      </c>
      <c r="B449" s="80" t="e">
        <f t="shared" si="30"/>
        <v>#NUM!</v>
      </c>
      <c r="C449" s="80" t="e">
        <f t="shared" si="31"/>
        <v>#NUM!</v>
      </c>
      <c r="D449" s="80" t="e">
        <f t="shared" si="32"/>
        <v>#NUM!</v>
      </c>
      <c r="E449" s="80" t="e">
        <f t="shared" si="33"/>
        <v>#NUM!</v>
      </c>
      <c r="F449" s="80" t="e">
        <f t="shared" si="34"/>
        <v>#NUM!</v>
      </c>
    </row>
    <row r="450" spans="1:6" x14ac:dyDescent="0.2">
      <c r="A450" s="84">
        <v>439</v>
      </c>
      <c r="B450" s="80" t="e">
        <f t="shared" si="30"/>
        <v>#NUM!</v>
      </c>
      <c r="C450" s="80" t="e">
        <f t="shared" si="31"/>
        <v>#NUM!</v>
      </c>
      <c r="D450" s="80" t="e">
        <f t="shared" si="32"/>
        <v>#NUM!</v>
      </c>
      <c r="E450" s="80" t="e">
        <f t="shared" si="33"/>
        <v>#NUM!</v>
      </c>
      <c r="F450" s="80" t="e">
        <f t="shared" si="34"/>
        <v>#NUM!</v>
      </c>
    </row>
    <row r="451" spans="1:6" x14ac:dyDescent="0.2">
      <c r="A451" s="84">
        <v>440</v>
      </c>
      <c r="B451" s="80" t="e">
        <f t="shared" si="30"/>
        <v>#NUM!</v>
      </c>
      <c r="C451" s="80" t="e">
        <f t="shared" si="31"/>
        <v>#NUM!</v>
      </c>
      <c r="D451" s="80" t="e">
        <f t="shared" si="32"/>
        <v>#NUM!</v>
      </c>
      <c r="E451" s="80" t="e">
        <f t="shared" si="33"/>
        <v>#NUM!</v>
      </c>
      <c r="F451" s="80" t="e">
        <f t="shared" si="34"/>
        <v>#NUM!</v>
      </c>
    </row>
    <row r="452" spans="1:6" x14ac:dyDescent="0.2">
      <c r="A452" s="84">
        <v>441</v>
      </c>
      <c r="B452" s="80" t="e">
        <f t="shared" si="30"/>
        <v>#NUM!</v>
      </c>
      <c r="C452" s="80" t="e">
        <f t="shared" si="31"/>
        <v>#NUM!</v>
      </c>
      <c r="D452" s="80" t="e">
        <f t="shared" si="32"/>
        <v>#NUM!</v>
      </c>
      <c r="E452" s="80" t="e">
        <f t="shared" si="33"/>
        <v>#NUM!</v>
      </c>
      <c r="F452" s="80" t="e">
        <f t="shared" si="34"/>
        <v>#NUM!</v>
      </c>
    </row>
    <row r="453" spans="1:6" x14ac:dyDescent="0.2">
      <c r="A453" s="84">
        <v>442</v>
      </c>
      <c r="B453" s="80" t="e">
        <f t="shared" si="30"/>
        <v>#NUM!</v>
      </c>
      <c r="C453" s="80" t="e">
        <f t="shared" si="31"/>
        <v>#NUM!</v>
      </c>
      <c r="D453" s="80" t="e">
        <f t="shared" si="32"/>
        <v>#NUM!</v>
      </c>
      <c r="E453" s="80" t="e">
        <f t="shared" si="33"/>
        <v>#NUM!</v>
      </c>
      <c r="F453" s="80" t="e">
        <f t="shared" si="34"/>
        <v>#NUM!</v>
      </c>
    </row>
    <row r="454" spans="1:6" x14ac:dyDescent="0.2">
      <c r="A454" s="84">
        <v>443</v>
      </c>
      <c r="B454" s="80" t="e">
        <f t="shared" si="30"/>
        <v>#NUM!</v>
      </c>
      <c r="C454" s="80" t="e">
        <f t="shared" si="31"/>
        <v>#NUM!</v>
      </c>
      <c r="D454" s="80" t="e">
        <f t="shared" si="32"/>
        <v>#NUM!</v>
      </c>
      <c r="E454" s="80" t="e">
        <f t="shared" si="33"/>
        <v>#NUM!</v>
      </c>
      <c r="F454" s="80" t="e">
        <f t="shared" si="34"/>
        <v>#NUM!</v>
      </c>
    </row>
    <row r="455" spans="1:6" x14ac:dyDescent="0.2">
      <c r="A455" s="84">
        <v>444</v>
      </c>
      <c r="B455" s="80" t="e">
        <f t="shared" si="30"/>
        <v>#NUM!</v>
      </c>
      <c r="C455" s="80" t="e">
        <f t="shared" si="31"/>
        <v>#NUM!</v>
      </c>
      <c r="D455" s="80" t="e">
        <f t="shared" si="32"/>
        <v>#NUM!</v>
      </c>
      <c r="E455" s="80" t="e">
        <f t="shared" si="33"/>
        <v>#NUM!</v>
      </c>
      <c r="F455" s="80" t="e">
        <f t="shared" si="34"/>
        <v>#NUM!</v>
      </c>
    </row>
    <row r="456" spans="1:6" x14ac:dyDescent="0.2">
      <c r="A456" s="84">
        <v>445</v>
      </c>
      <c r="B456" s="80" t="e">
        <f t="shared" si="30"/>
        <v>#NUM!</v>
      </c>
      <c r="C456" s="80" t="e">
        <f t="shared" si="31"/>
        <v>#NUM!</v>
      </c>
      <c r="D456" s="80" t="e">
        <f t="shared" si="32"/>
        <v>#NUM!</v>
      </c>
      <c r="E456" s="80" t="e">
        <f t="shared" si="33"/>
        <v>#NUM!</v>
      </c>
      <c r="F456" s="80" t="e">
        <f t="shared" si="34"/>
        <v>#NUM!</v>
      </c>
    </row>
    <row r="457" spans="1:6" x14ac:dyDescent="0.2">
      <c r="A457" s="84">
        <v>446</v>
      </c>
      <c r="B457" s="80" t="e">
        <f t="shared" si="30"/>
        <v>#NUM!</v>
      </c>
      <c r="C457" s="80" t="e">
        <f t="shared" si="31"/>
        <v>#NUM!</v>
      </c>
      <c r="D457" s="80" t="e">
        <f t="shared" si="32"/>
        <v>#NUM!</v>
      </c>
      <c r="E457" s="80" t="e">
        <f t="shared" si="33"/>
        <v>#NUM!</v>
      </c>
      <c r="F457" s="80" t="e">
        <f t="shared" si="34"/>
        <v>#NUM!</v>
      </c>
    </row>
    <row r="458" spans="1:6" x14ac:dyDescent="0.2">
      <c r="A458" s="84">
        <v>447</v>
      </c>
      <c r="B458" s="80" t="e">
        <f t="shared" si="30"/>
        <v>#NUM!</v>
      </c>
      <c r="C458" s="80" t="e">
        <f t="shared" si="31"/>
        <v>#NUM!</v>
      </c>
      <c r="D458" s="80" t="e">
        <f t="shared" si="32"/>
        <v>#NUM!</v>
      </c>
      <c r="E458" s="80" t="e">
        <f t="shared" si="33"/>
        <v>#NUM!</v>
      </c>
      <c r="F458" s="80" t="e">
        <f t="shared" si="34"/>
        <v>#NUM!</v>
      </c>
    </row>
    <row r="459" spans="1:6" x14ac:dyDescent="0.2">
      <c r="A459" s="84">
        <v>448</v>
      </c>
      <c r="B459" s="80" t="e">
        <f t="shared" si="30"/>
        <v>#NUM!</v>
      </c>
      <c r="C459" s="80" t="e">
        <f t="shared" si="31"/>
        <v>#NUM!</v>
      </c>
      <c r="D459" s="80" t="e">
        <f t="shared" si="32"/>
        <v>#NUM!</v>
      </c>
      <c r="E459" s="80" t="e">
        <f t="shared" si="33"/>
        <v>#NUM!</v>
      </c>
      <c r="F459" s="80" t="e">
        <f t="shared" si="34"/>
        <v>#NUM!</v>
      </c>
    </row>
    <row r="460" spans="1:6" x14ac:dyDescent="0.2">
      <c r="A460" s="84">
        <v>449</v>
      </c>
      <c r="B460" s="80" t="e">
        <f t="shared" ref="B460:B523" si="35">PPMT(C$5,A460,B$5,-E$11)</f>
        <v>#NUM!</v>
      </c>
      <c r="C460" s="80" t="e">
        <f t="shared" ref="C460:C523" si="36">IPMT(C$5,A460,B$5,-E$11)</f>
        <v>#NUM!</v>
      </c>
      <c r="D460" s="80" t="e">
        <f t="shared" ref="D460:D523" si="37">SUM($D$5)</f>
        <v>#NUM!</v>
      </c>
      <c r="E460" s="80" t="e">
        <f t="shared" ref="E460:E523" si="38">PV(C$5,B$5-A460,-D$12)</f>
        <v>#NUM!</v>
      </c>
      <c r="F460" s="80" t="e">
        <f t="shared" si="34"/>
        <v>#NUM!</v>
      </c>
    </row>
    <row r="461" spans="1:6" x14ac:dyDescent="0.2">
      <c r="A461" s="84">
        <v>450</v>
      </c>
      <c r="B461" s="80" t="e">
        <f t="shared" si="35"/>
        <v>#NUM!</v>
      </c>
      <c r="C461" s="80" t="e">
        <f t="shared" si="36"/>
        <v>#NUM!</v>
      </c>
      <c r="D461" s="80" t="e">
        <f t="shared" si="37"/>
        <v>#NUM!</v>
      </c>
      <c r="E461" s="80" t="e">
        <f t="shared" si="38"/>
        <v>#NUM!</v>
      </c>
      <c r="F461" s="80" t="e">
        <f t="shared" si="34"/>
        <v>#NUM!</v>
      </c>
    </row>
    <row r="462" spans="1:6" x14ac:dyDescent="0.2">
      <c r="A462" s="84">
        <v>451</v>
      </c>
      <c r="B462" s="80" t="e">
        <f t="shared" si="35"/>
        <v>#NUM!</v>
      </c>
      <c r="C462" s="80" t="e">
        <f t="shared" si="36"/>
        <v>#NUM!</v>
      </c>
      <c r="D462" s="80" t="e">
        <f t="shared" si="37"/>
        <v>#NUM!</v>
      </c>
      <c r="E462" s="80" t="e">
        <f t="shared" si="38"/>
        <v>#NUM!</v>
      </c>
      <c r="F462" s="80" t="e">
        <f t="shared" si="34"/>
        <v>#NUM!</v>
      </c>
    </row>
    <row r="463" spans="1:6" x14ac:dyDescent="0.2">
      <c r="A463" s="84">
        <v>452</v>
      </c>
      <c r="B463" s="80" t="e">
        <f t="shared" si="35"/>
        <v>#NUM!</v>
      </c>
      <c r="C463" s="80" t="e">
        <f t="shared" si="36"/>
        <v>#NUM!</v>
      </c>
      <c r="D463" s="80" t="e">
        <f t="shared" si="37"/>
        <v>#NUM!</v>
      </c>
      <c r="E463" s="80" t="e">
        <f t="shared" si="38"/>
        <v>#NUM!</v>
      </c>
      <c r="F463" s="80" t="e">
        <f t="shared" si="34"/>
        <v>#NUM!</v>
      </c>
    </row>
    <row r="464" spans="1:6" x14ac:dyDescent="0.2">
      <c r="A464" s="84">
        <v>453</v>
      </c>
      <c r="B464" s="80" t="e">
        <f t="shared" si="35"/>
        <v>#NUM!</v>
      </c>
      <c r="C464" s="80" t="e">
        <f t="shared" si="36"/>
        <v>#NUM!</v>
      </c>
      <c r="D464" s="80" t="e">
        <f t="shared" si="37"/>
        <v>#NUM!</v>
      </c>
      <c r="E464" s="80" t="e">
        <f t="shared" si="38"/>
        <v>#NUM!</v>
      </c>
      <c r="F464" s="80" t="e">
        <f t="shared" si="34"/>
        <v>#NUM!</v>
      </c>
    </row>
    <row r="465" spans="1:6" x14ac:dyDescent="0.2">
      <c r="A465" s="84">
        <v>454</v>
      </c>
      <c r="B465" s="80" t="e">
        <f t="shared" si="35"/>
        <v>#NUM!</v>
      </c>
      <c r="C465" s="80" t="e">
        <f t="shared" si="36"/>
        <v>#NUM!</v>
      </c>
      <c r="D465" s="80" t="e">
        <f t="shared" si="37"/>
        <v>#NUM!</v>
      </c>
      <c r="E465" s="80" t="e">
        <f t="shared" si="38"/>
        <v>#NUM!</v>
      </c>
      <c r="F465" s="80" t="e">
        <f t="shared" si="34"/>
        <v>#NUM!</v>
      </c>
    </row>
    <row r="466" spans="1:6" x14ac:dyDescent="0.2">
      <c r="A466" s="84">
        <v>455</v>
      </c>
      <c r="B466" s="80" t="e">
        <f t="shared" si="35"/>
        <v>#NUM!</v>
      </c>
      <c r="C466" s="80" t="e">
        <f t="shared" si="36"/>
        <v>#NUM!</v>
      </c>
      <c r="D466" s="80" t="e">
        <f t="shared" si="37"/>
        <v>#NUM!</v>
      </c>
      <c r="E466" s="80" t="e">
        <f t="shared" si="38"/>
        <v>#NUM!</v>
      </c>
      <c r="F466" s="80" t="e">
        <f t="shared" si="34"/>
        <v>#NUM!</v>
      </c>
    </row>
    <row r="467" spans="1:6" x14ac:dyDescent="0.2">
      <c r="A467" s="84">
        <v>456</v>
      </c>
      <c r="B467" s="80" t="e">
        <f t="shared" si="35"/>
        <v>#NUM!</v>
      </c>
      <c r="C467" s="80" t="e">
        <f t="shared" si="36"/>
        <v>#NUM!</v>
      </c>
      <c r="D467" s="80" t="e">
        <f t="shared" si="37"/>
        <v>#NUM!</v>
      </c>
      <c r="E467" s="80" t="e">
        <f t="shared" si="38"/>
        <v>#NUM!</v>
      </c>
      <c r="F467" s="80" t="e">
        <f t="shared" si="34"/>
        <v>#NUM!</v>
      </c>
    </row>
    <row r="468" spans="1:6" x14ac:dyDescent="0.2">
      <c r="A468" s="84">
        <v>457</v>
      </c>
      <c r="B468" s="80" t="e">
        <f t="shared" si="35"/>
        <v>#NUM!</v>
      </c>
      <c r="C468" s="80" t="e">
        <f t="shared" si="36"/>
        <v>#NUM!</v>
      </c>
      <c r="D468" s="80" t="e">
        <f t="shared" si="37"/>
        <v>#NUM!</v>
      </c>
      <c r="E468" s="80" t="e">
        <f t="shared" si="38"/>
        <v>#NUM!</v>
      </c>
      <c r="F468" s="80" t="e">
        <f t="shared" si="34"/>
        <v>#NUM!</v>
      </c>
    </row>
    <row r="469" spans="1:6" x14ac:dyDescent="0.2">
      <c r="A469" s="84">
        <v>458</v>
      </c>
      <c r="B469" s="80" t="e">
        <f t="shared" si="35"/>
        <v>#NUM!</v>
      </c>
      <c r="C469" s="80" t="e">
        <f t="shared" si="36"/>
        <v>#NUM!</v>
      </c>
      <c r="D469" s="80" t="e">
        <f t="shared" si="37"/>
        <v>#NUM!</v>
      </c>
      <c r="E469" s="80" t="e">
        <f t="shared" si="38"/>
        <v>#NUM!</v>
      </c>
      <c r="F469" s="80" t="e">
        <f t="shared" si="34"/>
        <v>#NUM!</v>
      </c>
    </row>
    <row r="470" spans="1:6" x14ac:dyDescent="0.2">
      <c r="A470" s="84">
        <v>459</v>
      </c>
      <c r="B470" s="80" t="e">
        <f t="shared" si="35"/>
        <v>#NUM!</v>
      </c>
      <c r="C470" s="80" t="e">
        <f t="shared" si="36"/>
        <v>#NUM!</v>
      </c>
      <c r="D470" s="80" t="e">
        <f t="shared" si="37"/>
        <v>#NUM!</v>
      </c>
      <c r="E470" s="80" t="e">
        <f t="shared" si="38"/>
        <v>#NUM!</v>
      </c>
      <c r="F470" s="80" t="e">
        <f t="shared" si="34"/>
        <v>#NUM!</v>
      </c>
    </row>
    <row r="471" spans="1:6" x14ac:dyDescent="0.2">
      <c r="A471" s="84">
        <v>460</v>
      </c>
      <c r="B471" s="80" t="e">
        <f t="shared" si="35"/>
        <v>#NUM!</v>
      </c>
      <c r="C471" s="80" t="e">
        <f t="shared" si="36"/>
        <v>#NUM!</v>
      </c>
      <c r="D471" s="80" t="e">
        <f t="shared" si="37"/>
        <v>#NUM!</v>
      </c>
      <c r="E471" s="80" t="e">
        <f t="shared" si="38"/>
        <v>#NUM!</v>
      </c>
      <c r="F471" s="80" t="e">
        <f t="shared" si="34"/>
        <v>#NUM!</v>
      </c>
    </row>
    <row r="472" spans="1:6" x14ac:dyDescent="0.2">
      <c r="A472" s="84">
        <v>461</v>
      </c>
      <c r="B472" s="80" t="e">
        <f t="shared" si="35"/>
        <v>#NUM!</v>
      </c>
      <c r="C472" s="80" t="e">
        <f t="shared" si="36"/>
        <v>#NUM!</v>
      </c>
      <c r="D472" s="80" t="e">
        <f t="shared" si="37"/>
        <v>#NUM!</v>
      </c>
      <c r="E472" s="80" t="e">
        <f t="shared" si="38"/>
        <v>#NUM!</v>
      </c>
      <c r="F472" s="80" t="e">
        <f t="shared" si="34"/>
        <v>#NUM!</v>
      </c>
    </row>
    <row r="473" spans="1:6" x14ac:dyDescent="0.2">
      <c r="A473" s="84">
        <v>462</v>
      </c>
      <c r="B473" s="80" t="e">
        <f t="shared" si="35"/>
        <v>#NUM!</v>
      </c>
      <c r="C473" s="80" t="e">
        <f t="shared" si="36"/>
        <v>#NUM!</v>
      </c>
      <c r="D473" s="80" t="e">
        <f t="shared" si="37"/>
        <v>#NUM!</v>
      </c>
      <c r="E473" s="80" t="e">
        <f t="shared" si="38"/>
        <v>#NUM!</v>
      </c>
      <c r="F473" s="80" t="e">
        <f t="shared" si="34"/>
        <v>#NUM!</v>
      </c>
    </row>
    <row r="474" spans="1:6" x14ac:dyDescent="0.2">
      <c r="A474" s="84">
        <v>463</v>
      </c>
      <c r="B474" s="80" t="e">
        <f t="shared" si="35"/>
        <v>#NUM!</v>
      </c>
      <c r="C474" s="80" t="e">
        <f t="shared" si="36"/>
        <v>#NUM!</v>
      </c>
      <c r="D474" s="80" t="e">
        <f t="shared" si="37"/>
        <v>#NUM!</v>
      </c>
      <c r="E474" s="80" t="e">
        <f t="shared" si="38"/>
        <v>#NUM!</v>
      </c>
      <c r="F474" s="80" t="e">
        <f t="shared" si="34"/>
        <v>#NUM!</v>
      </c>
    </row>
    <row r="475" spans="1:6" x14ac:dyDescent="0.2">
      <c r="A475" s="84">
        <v>464</v>
      </c>
      <c r="B475" s="80" t="e">
        <f t="shared" si="35"/>
        <v>#NUM!</v>
      </c>
      <c r="C475" s="80" t="e">
        <f t="shared" si="36"/>
        <v>#NUM!</v>
      </c>
      <c r="D475" s="80" t="e">
        <f t="shared" si="37"/>
        <v>#NUM!</v>
      </c>
      <c r="E475" s="80" t="e">
        <f t="shared" si="38"/>
        <v>#NUM!</v>
      </c>
      <c r="F475" s="80" t="e">
        <f t="shared" si="34"/>
        <v>#NUM!</v>
      </c>
    </row>
    <row r="476" spans="1:6" x14ac:dyDescent="0.2">
      <c r="A476" s="84">
        <v>465</v>
      </c>
      <c r="B476" s="80" t="e">
        <f t="shared" si="35"/>
        <v>#NUM!</v>
      </c>
      <c r="C476" s="80" t="e">
        <f t="shared" si="36"/>
        <v>#NUM!</v>
      </c>
      <c r="D476" s="80" t="e">
        <f t="shared" si="37"/>
        <v>#NUM!</v>
      </c>
      <c r="E476" s="80" t="e">
        <f t="shared" si="38"/>
        <v>#NUM!</v>
      </c>
      <c r="F476" s="80" t="e">
        <f t="shared" si="34"/>
        <v>#NUM!</v>
      </c>
    </row>
    <row r="477" spans="1:6" x14ac:dyDescent="0.2">
      <c r="A477" s="84">
        <v>466</v>
      </c>
      <c r="B477" s="80" t="e">
        <f t="shared" si="35"/>
        <v>#NUM!</v>
      </c>
      <c r="C477" s="80" t="e">
        <f t="shared" si="36"/>
        <v>#NUM!</v>
      </c>
      <c r="D477" s="80" t="e">
        <f t="shared" si="37"/>
        <v>#NUM!</v>
      </c>
      <c r="E477" s="80" t="e">
        <f t="shared" si="38"/>
        <v>#NUM!</v>
      </c>
      <c r="F477" s="80" t="e">
        <f t="shared" si="34"/>
        <v>#NUM!</v>
      </c>
    </row>
    <row r="478" spans="1:6" x14ac:dyDescent="0.2">
      <c r="A478" s="84">
        <v>467</v>
      </c>
      <c r="B478" s="80" t="e">
        <f t="shared" si="35"/>
        <v>#NUM!</v>
      </c>
      <c r="C478" s="80" t="e">
        <f t="shared" si="36"/>
        <v>#NUM!</v>
      </c>
      <c r="D478" s="80" t="e">
        <f t="shared" si="37"/>
        <v>#NUM!</v>
      </c>
      <c r="E478" s="80" t="e">
        <f t="shared" si="38"/>
        <v>#NUM!</v>
      </c>
      <c r="F478" s="80" t="e">
        <f t="shared" si="34"/>
        <v>#NUM!</v>
      </c>
    </row>
    <row r="479" spans="1:6" x14ac:dyDescent="0.2">
      <c r="A479" s="84">
        <v>468</v>
      </c>
      <c r="B479" s="80" t="e">
        <f t="shared" si="35"/>
        <v>#NUM!</v>
      </c>
      <c r="C479" s="80" t="e">
        <f t="shared" si="36"/>
        <v>#NUM!</v>
      </c>
      <c r="D479" s="80" t="e">
        <f t="shared" si="37"/>
        <v>#NUM!</v>
      </c>
      <c r="E479" s="80" t="e">
        <f t="shared" si="38"/>
        <v>#NUM!</v>
      </c>
      <c r="F479" s="80" t="e">
        <f t="shared" si="34"/>
        <v>#NUM!</v>
      </c>
    </row>
    <row r="480" spans="1:6" x14ac:dyDescent="0.2">
      <c r="A480" s="84">
        <v>469</v>
      </c>
      <c r="B480" s="80" t="e">
        <f t="shared" si="35"/>
        <v>#NUM!</v>
      </c>
      <c r="C480" s="80" t="e">
        <f t="shared" si="36"/>
        <v>#NUM!</v>
      </c>
      <c r="D480" s="80" t="e">
        <f t="shared" si="37"/>
        <v>#NUM!</v>
      </c>
      <c r="E480" s="80" t="e">
        <f t="shared" si="38"/>
        <v>#NUM!</v>
      </c>
      <c r="F480" s="80" t="e">
        <f t="shared" si="34"/>
        <v>#NUM!</v>
      </c>
    </row>
    <row r="481" spans="1:6" x14ac:dyDescent="0.2">
      <c r="A481" s="84">
        <v>470</v>
      </c>
      <c r="B481" s="80" t="e">
        <f t="shared" si="35"/>
        <v>#NUM!</v>
      </c>
      <c r="C481" s="80" t="e">
        <f t="shared" si="36"/>
        <v>#NUM!</v>
      </c>
      <c r="D481" s="80" t="e">
        <f t="shared" si="37"/>
        <v>#NUM!</v>
      </c>
      <c r="E481" s="80" t="e">
        <f t="shared" si="38"/>
        <v>#NUM!</v>
      </c>
      <c r="F481" s="80" t="e">
        <f t="shared" si="34"/>
        <v>#NUM!</v>
      </c>
    </row>
    <row r="482" spans="1:6" x14ac:dyDescent="0.2">
      <c r="A482" s="84">
        <v>471</v>
      </c>
      <c r="B482" s="80" t="e">
        <f t="shared" si="35"/>
        <v>#NUM!</v>
      </c>
      <c r="C482" s="80" t="e">
        <f t="shared" si="36"/>
        <v>#NUM!</v>
      </c>
      <c r="D482" s="80" t="e">
        <f t="shared" si="37"/>
        <v>#NUM!</v>
      </c>
      <c r="E482" s="80" t="e">
        <f t="shared" si="38"/>
        <v>#NUM!</v>
      </c>
      <c r="F482" s="80" t="e">
        <f t="shared" si="34"/>
        <v>#NUM!</v>
      </c>
    </row>
    <row r="483" spans="1:6" x14ac:dyDescent="0.2">
      <c r="A483" s="84">
        <v>472</v>
      </c>
      <c r="B483" s="80" t="e">
        <f t="shared" si="35"/>
        <v>#NUM!</v>
      </c>
      <c r="C483" s="80" t="e">
        <f t="shared" si="36"/>
        <v>#NUM!</v>
      </c>
      <c r="D483" s="80" t="e">
        <f t="shared" si="37"/>
        <v>#NUM!</v>
      </c>
      <c r="E483" s="80" t="e">
        <f t="shared" si="38"/>
        <v>#NUM!</v>
      </c>
      <c r="F483" s="80" t="e">
        <f t="shared" si="34"/>
        <v>#NUM!</v>
      </c>
    </row>
    <row r="484" spans="1:6" x14ac:dyDescent="0.2">
      <c r="A484" s="84">
        <v>473</v>
      </c>
      <c r="B484" s="80" t="e">
        <f t="shared" si="35"/>
        <v>#NUM!</v>
      </c>
      <c r="C484" s="80" t="e">
        <f t="shared" si="36"/>
        <v>#NUM!</v>
      </c>
      <c r="D484" s="80" t="e">
        <f t="shared" si="37"/>
        <v>#NUM!</v>
      </c>
      <c r="E484" s="80" t="e">
        <f t="shared" si="38"/>
        <v>#NUM!</v>
      </c>
      <c r="F484" s="80" t="e">
        <f t="shared" si="34"/>
        <v>#NUM!</v>
      </c>
    </row>
    <row r="485" spans="1:6" x14ac:dyDescent="0.2">
      <c r="A485" s="84">
        <v>474</v>
      </c>
      <c r="B485" s="80" t="e">
        <f t="shared" si="35"/>
        <v>#NUM!</v>
      </c>
      <c r="C485" s="80" t="e">
        <f t="shared" si="36"/>
        <v>#NUM!</v>
      </c>
      <c r="D485" s="80" t="e">
        <f t="shared" si="37"/>
        <v>#NUM!</v>
      </c>
      <c r="E485" s="80" t="e">
        <f t="shared" si="38"/>
        <v>#NUM!</v>
      </c>
      <c r="F485" s="80" t="e">
        <f t="shared" ref="F485:F548" si="39">E485*0.00025</f>
        <v>#NUM!</v>
      </c>
    </row>
    <row r="486" spans="1:6" x14ac:dyDescent="0.2">
      <c r="A486" s="84">
        <v>475</v>
      </c>
      <c r="B486" s="80" t="e">
        <f t="shared" si="35"/>
        <v>#NUM!</v>
      </c>
      <c r="C486" s="80" t="e">
        <f t="shared" si="36"/>
        <v>#NUM!</v>
      </c>
      <c r="D486" s="80" t="e">
        <f t="shared" si="37"/>
        <v>#NUM!</v>
      </c>
      <c r="E486" s="80" t="e">
        <f t="shared" si="38"/>
        <v>#NUM!</v>
      </c>
      <c r="F486" s="80" t="e">
        <f t="shared" si="39"/>
        <v>#NUM!</v>
      </c>
    </row>
    <row r="487" spans="1:6" x14ac:dyDescent="0.2">
      <c r="A487" s="84">
        <v>476</v>
      </c>
      <c r="B487" s="80" t="e">
        <f t="shared" si="35"/>
        <v>#NUM!</v>
      </c>
      <c r="C487" s="80" t="e">
        <f t="shared" si="36"/>
        <v>#NUM!</v>
      </c>
      <c r="D487" s="80" t="e">
        <f t="shared" si="37"/>
        <v>#NUM!</v>
      </c>
      <c r="E487" s="80" t="e">
        <f t="shared" si="38"/>
        <v>#NUM!</v>
      </c>
      <c r="F487" s="80" t="e">
        <f t="shared" si="39"/>
        <v>#NUM!</v>
      </c>
    </row>
    <row r="488" spans="1:6" x14ac:dyDescent="0.2">
      <c r="A488" s="84">
        <v>477</v>
      </c>
      <c r="B488" s="80" t="e">
        <f t="shared" si="35"/>
        <v>#NUM!</v>
      </c>
      <c r="C488" s="80" t="e">
        <f t="shared" si="36"/>
        <v>#NUM!</v>
      </c>
      <c r="D488" s="80" t="e">
        <f t="shared" si="37"/>
        <v>#NUM!</v>
      </c>
      <c r="E488" s="80" t="e">
        <f t="shared" si="38"/>
        <v>#NUM!</v>
      </c>
      <c r="F488" s="80" t="e">
        <f t="shared" si="39"/>
        <v>#NUM!</v>
      </c>
    </row>
    <row r="489" spans="1:6" x14ac:dyDescent="0.2">
      <c r="A489" s="84">
        <v>478</v>
      </c>
      <c r="B489" s="80" t="e">
        <f t="shared" si="35"/>
        <v>#NUM!</v>
      </c>
      <c r="C489" s="80" t="e">
        <f t="shared" si="36"/>
        <v>#NUM!</v>
      </c>
      <c r="D489" s="80" t="e">
        <f t="shared" si="37"/>
        <v>#NUM!</v>
      </c>
      <c r="E489" s="80" t="e">
        <f t="shared" si="38"/>
        <v>#NUM!</v>
      </c>
      <c r="F489" s="80" t="e">
        <f t="shared" si="39"/>
        <v>#NUM!</v>
      </c>
    </row>
    <row r="490" spans="1:6" x14ac:dyDescent="0.2">
      <c r="A490" s="84">
        <v>479</v>
      </c>
      <c r="B490" s="80" t="e">
        <f t="shared" si="35"/>
        <v>#NUM!</v>
      </c>
      <c r="C490" s="80" t="e">
        <f t="shared" si="36"/>
        <v>#NUM!</v>
      </c>
      <c r="D490" s="80" t="e">
        <f t="shared" si="37"/>
        <v>#NUM!</v>
      </c>
      <c r="E490" s="80" t="e">
        <f t="shared" si="38"/>
        <v>#NUM!</v>
      </c>
      <c r="F490" s="80" t="e">
        <f t="shared" si="39"/>
        <v>#NUM!</v>
      </c>
    </row>
    <row r="491" spans="1:6" x14ac:dyDescent="0.2">
      <c r="A491" s="84">
        <v>480</v>
      </c>
      <c r="B491" s="80" t="e">
        <f t="shared" si="35"/>
        <v>#NUM!</v>
      </c>
      <c r="C491" s="80" t="e">
        <f t="shared" si="36"/>
        <v>#NUM!</v>
      </c>
      <c r="D491" s="80" t="e">
        <f t="shared" si="37"/>
        <v>#NUM!</v>
      </c>
      <c r="E491" s="80" t="e">
        <f t="shared" si="38"/>
        <v>#NUM!</v>
      </c>
      <c r="F491" s="80" t="e">
        <f t="shared" si="39"/>
        <v>#NUM!</v>
      </c>
    </row>
    <row r="492" spans="1:6" x14ac:dyDescent="0.2">
      <c r="A492" s="84">
        <v>481</v>
      </c>
      <c r="B492" s="80" t="e">
        <f t="shared" si="35"/>
        <v>#NUM!</v>
      </c>
      <c r="C492" s="80" t="e">
        <f t="shared" si="36"/>
        <v>#NUM!</v>
      </c>
      <c r="D492" s="80" t="e">
        <f t="shared" si="37"/>
        <v>#NUM!</v>
      </c>
      <c r="E492" s="80" t="e">
        <f t="shared" si="38"/>
        <v>#NUM!</v>
      </c>
      <c r="F492" s="80" t="e">
        <f t="shared" si="39"/>
        <v>#NUM!</v>
      </c>
    </row>
    <row r="493" spans="1:6" x14ac:dyDescent="0.2">
      <c r="A493" s="84">
        <v>482</v>
      </c>
      <c r="B493" s="80" t="e">
        <f t="shared" si="35"/>
        <v>#NUM!</v>
      </c>
      <c r="C493" s="80" t="e">
        <f t="shared" si="36"/>
        <v>#NUM!</v>
      </c>
      <c r="D493" s="80" t="e">
        <f t="shared" si="37"/>
        <v>#NUM!</v>
      </c>
      <c r="E493" s="80" t="e">
        <f t="shared" si="38"/>
        <v>#NUM!</v>
      </c>
      <c r="F493" s="80" t="e">
        <f t="shared" si="39"/>
        <v>#NUM!</v>
      </c>
    </row>
    <row r="494" spans="1:6" x14ac:dyDescent="0.2">
      <c r="A494" s="84">
        <v>483</v>
      </c>
      <c r="B494" s="80" t="e">
        <f t="shared" si="35"/>
        <v>#NUM!</v>
      </c>
      <c r="C494" s="80" t="e">
        <f t="shared" si="36"/>
        <v>#NUM!</v>
      </c>
      <c r="D494" s="80" t="e">
        <f t="shared" si="37"/>
        <v>#NUM!</v>
      </c>
      <c r="E494" s="80" t="e">
        <f t="shared" si="38"/>
        <v>#NUM!</v>
      </c>
      <c r="F494" s="80" t="e">
        <f t="shared" si="39"/>
        <v>#NUM!</v>
      </c>
    </row>
    <row r="495" spans="1:6" x14ac:dyDescent="0.2">
      <c r="A495" s="84">
        <v>484</v>
      </c>
      <c r="B495" s="80" t="e">
        <f t="shared" si="35"/>
        <v>#NUM!</v>
      </c>
      <c r="C495" s="80" t="e">
        <f t="shared" si="36"/>
        <v>#NUM!</v>
      </c>
      <c r="D495" s="80" t="e">
        <f t="shared" si="37"/>
        <v>#NUM!</v>
      </c>
      <c r="E495" s="80" t="e">
        <f t="shared" si="38"/>
        <v>#NUM!</v>
      </c>
      <c r="F495" s="80" t="e">
        <f t="shared" si="39"/>
        <v>#NUM!</v>
      </c>
    </row>
    <row r="496" spans="1:6" x14ac:dyDescent="0.2">
      <c r="A496" s="84">
        <v>485</v>
      </c>
      <c r="B496" s="80" t="e">
        <f t="shared" si="35"/>
        <v>#NUM!</v>
      </c>
      <c r="C496" s="80" t="e">
        <f t="shared" si="36"/>
        <v>#NUM!</v>
      </c>
      <c r="D496" s="80" t="e">
        <f t="shared" si="37"/>
        <v>#NUM!</v>
      </c>
      <c r="E496" s="80" t="e">
        <f t="shared" si="38"/>
        <v>#NUM!</v>
      </c>
      <c r="F496" s="80" t="e">
        <f t="shared" si="39"/>
        <v>#NUM!</v>
      </c>
    </row>
    <row r="497" spans="1:6" x14ac:dyDescent="0.2">
      <c r="A497" s="84">
        <v>486</v>
      </c>
      <c r="B497" s="80" t="e">
        <f t="shared" si="35"/>
        <v>#NUM!</v>
      </c>
      <c r="C497" s="80" t="e">
        <f t="shared" si="36"/>
        <v>#NUM!</v>
      </c>
      <c r="D497" s="80" t="e">
        <f t="shared" si="37"/>
        <v>#NUM!</v>
      </c>
      <c r="E497" s="80" t="e">
        <f t="shared" si="38"/>
        <v>#NUM!</v>
      </c>
      <c r="F497" s="80" t="e">
        <f t="shared" si="39"/>
        <v>#NUM!</v>
      </c>
    </row>
    <row r="498" spans="1:6" x14ac:dyDescent="0.2">
      <c r="A498" s="84">
        <v>487</v>
      </c>
      <c r="B498" s="80" t="e">
        <f t="shared" si="35"/>
        <v>#NUM!</v>
      </c>
      <c r="C498" s="80" t="e">
        <f t="shared" si="36"/>
        <v>#NUM!</v>
      </c>
      <c r="D498" s="80" t="e">
        <f t="shared" si="37"/>
        <v>#NUM!</v>
      </c>
      <c r="E498" s="80" t="e">
        <f t="shared" si="38"/>
        <v>#NUM!</v>
      </c>
      <c r="F498" s="80" t="e">
        <f t="shared" si="39"/>
        <v>#NUM!</v>
      </c>
    </row>
    <row r="499" spans="1:6" x14ac:dyDescent="0.2">
      <c r="A499" s="84">
        <v>488</v>
      </c>
      <c r="B499" s="80" t="e">
        <f t="shared" si="35"/>
        <v>#NUM!</v>
      </c>
      <c r="C499" s="80" t="e">
        <f t="shared" si="36"/>
        <v>#NUM!</v>
      </c>
      <c r="D499" s="80" t="e">
        <f t="shared" si="37"/>
        <v>#NUM!</v>
      </c>
      <c r="E499" s="80" t="e">
        <f t="shared" si="38"/>
        <v>#NUM!</v>
      </c>
      <c r="F499" s="80" t="e">
        <f t="shared" si="39"/>
        <v>#NUM!</v>
      </c>
    </row>
    <row r="500" spans="1:6" x14ac:dyDescent="0.2">
      <c r="A500" s="84">
        <v>489</v>
      </c>
      <c r="B500" s="80" t="e">
        <f t="shared" si="35"/>
        <v>#NUM!</v>
      </c>
      <c r="C500" s="80" t="e">
        <f t="shared" si="36"/>
        <v>#NUM!</v>
      </c>
      <c r="D500" s="80" t="e">
        <f t="shared" si="37"/>
        <v>#NUM!</v>
      </c>
      <c r="E500" s="80" t="e">
        <f t="shared" si="38"/>
        <v>#NUM!</v>
      </c>
      <c r="F500" s="80" t="e">
        <f t="shared" si="39"/>
        <v>#NUM!</v>
      </c>
    </row>
    <row r="501" spans="1:6" x14ac:dyDescent="0.2">
      <c r="A501" s="84">
        <v>490</v>
      </c>
      <c r="B501" s="80" t="e">
        <f t="shared" si="35"/>
        <v>#NUM!</v>
      </c>
      <c r="C501" s="80" t="e">
        <f t="shared" si="36"/>
        <v>#NUM!</v>
      </c>
      <c r="D501" s="80" t="e">
        <f t="shared" si="37"/>
        <v>#NUM!</v>
      </c>
      <c r="E501" s="80" t="e">
        <f t="shared" si="38"/>
        <v>#NUM!</v>
      </c>
      <c r="F501" s="80" t="e">
        <f t="shared" si="39"/>
        <v>#NUM!</v>
      </c>
    </row>
    <row r="502" spans="1:6" x14ac:dyDescent="0.2">
      <c r="A502" s="84">
        <v>491</v>
      </c>
      <c r="B502" s="80" t="e">
        <f t="shared" si="35"/>
        <v>#NUM!</v>
      </c>
      <c r="C502" s="80" t="e">
        <f t="shared" si="36"/>
        <v>#NUM!</v>
      </c>
      <c r="D502" s="80" t="e">
        <f t="shared" si="37"/>
        <v>#NUM!</v>
      </c>
      <c r="E502" s="80" t="e">
        <f t="shared" si="38"/>
        <v>#NUM!</v>
      </c>
      <c r="F502" s="80" t="e">
        <f t="shared" si="39"/>
        <v>#NUM!</v>
      </c>
    </row>
    <row r="503" spans="1:6" x14ac:dyDescent="0.2">
      <c r="A503" s="84">
        <v>492</v>
      </c>
      <c r="B503" s="80" t="e">
        <f t="shared" si="35"/>
        <v>#NUM!</v>
      </c>
      <c r="C503" s="80" t="e">
        <f t="shared" si="36"/>
        <v>#NUM!</v>
      </c>
      <c r="D503" s="80" t="e">
        <f t="shared" si="37"/>
        <v>#NUM!</v>
      </c>
      <c r="E503" s="80" t="e">
        <f t="shared" si="38"/>
        <v>#NUM!</v>
      </c>
      <c r="F503" s="80" t="e">
        <f t="shared" si="39"/>
        <v>#NUM!</v>
      </c>
    </row>
    <row r="504" spans="1:6" x14ac:dyDescent="0.2">
      <c r="A504" s="84">
        <v>493</v>
      </c>
      <c r="B504" s="80" t="e">
        <f t="shared" si="35"/>
        <v>#NUM!</v>
      </c>
      <c r="C504" s="80" t="e">
        <f t="shared" si="36"/>
        <v>#NUM!</v>
      </c>
      <c r="D504" s="80" t="e">
        <f t="shared" si="37"/>
        <v>#NUM!</v>
      </c>
      <c r="E504" s="80" t="e">
        <f t="shared" si="38"/>
        <v>#NUM!</v>
      </c>
      <c r="F504" s="80" t="e">
        <f t="shared" si="39"/>
        <v>#NUM!</v>
      </c>
    </row>
    <row r="505" spans="1:6" x14ac:dyDescent="0.2">
      <c r="A505" s="84">
        <v>494</v>
      </c>
      <c r="B505" s="80" t="e">
        <f t="shared" si="35"/>
        <v>#NUM!</v>
      </c>
      <c r="C505" s="80" t="e">
        <f t="shared" si="36"/>
        <v>#NUM!</v>
      </c>
      <c r="D505" s="80" t="e">
        <f t="shared" si="37"/>
        <v>#NUM!</v>
      </c>
      <c r="E505" s="80" t="e">
        <f t="shared" si="38"/>
        <v>#NUM!</v>
      </c>
      <c r="F505" s="80" t="e">
        <f t="shared" si="39"/>
        <v>#NUM!</v>
      </c>
    </row>
    <row r="506" spans="1:6" x14ac:dyDescent="0.2">
      <c r="A506" s="84">
        <v>495</v>
      </c>
      <c r="B506" s="80" t="e">
        <f t="shared" si="35"/>
        <v>#NUM!</v>
      </c>
      <c r="C506" s="80" t="e">
        <f t="shared" si="36"/>
        <v>#NUM!</v>
      </c>
      <c r="D506" s="80" t="e">
        <f t="shared" si="37"/>
        <v>#NUM!</v>
      </c>
      <c r="E506" s="80" t="e">
        <f t="shared" si="38"/>
        <v>#NUM!</v>
      </c>
      <c r="F506" s="80" t="e">
        <f t="shared" si="39"/>
        <v>#NUM!</v>
      </c>
    </row>
    <row r="507" spans="1:6" x14ac:dyDescent="0.2">
      <c r="A507" s="84">
        <v>496</v>
      </c>
      <c r="B507" s="80" t="e">
        <f t="shared" si="35"/>
        <v>#NUM!</v>
      </c>
      <c r="C507" s="80" t="e">
        <f t="shared" si="36"/>
        <v>#NUM!</v>
      </c>
      <c r="D507" s="80" t="e">
        <f t="shared" si="37"/>
        <v>#NUM!</v>
      </c>
      <c r="E507" s="80" t="e">
        <f t="shared" si="38"/>
        <v>#NUM!</v>
      </c>
      <c r="F507" s="80" t="e">
        <f t="shared" si="39"/>
        <v>#NUM!</v>
      </c>
    </row>
    <row r="508" spans="1:6" x14ac:dyDescent="0.2">
      <c r="A508" s="84">
        <v>497</v>
      </c>
      <c r="B508" s="80" t="e">
        <f t="shared" si="35"/>
        <v>#NUM!</v>
      </c>
      <c r="C508" s="80" t="e">
        <f t="shared" si="36"/>
        <v>#NUM!</v>
      </c>
      <c r="D508" s="80" t="e">
        <f t="shared" si="37"/>
        <v>#NUM!</v>
      </c>
      <c r="E508" s="80" t="e">
        <f t="shared" si="38"/>
        <v>#NUM!</v>
      </c>
      <c r="F508" s="80" t="e">
        <f t="shared" si="39"/>
        <v>#NUM!</v>
      </c>
    </row>
    <row r="509" spans="1:6" x14ac:dyDescent="0.2">
      <c r="A509" s="84">
        <v>498</v>
      </c>
      <c r="B509" s="80" t="e">
        <f t="shared" si="35"/>
        <v>#NUM!</v>
      </c>
      <c r="C509" s="80" t="e">
        <f t="shared" si="36"/>
        <v>#NUM!</v>
      </c>
      <c r="D509" s="80" t="e">
        <f t="shared" si="37"/>
        <v>#NUM!</v>
      </c>
      <c r="E509" s="80" t="e">
        <f t="shared" si="38"/>
        <v>#NUM!</v>
      </c>
      <c r="F509" s="80" t="e">
        <f t="shared" si="39"/>
        <v>#NUM!</v>
      </c>
    </row>
    <row r="510" spans="1:6" x14ac:dyDescent="0.2">
      <c r="A510" s="84">
        <v>499</v>
      </c>
      <c r="B510" s="80" t="e">
        <f t="shared" si="35"/>
        <v>#NUM!</v>
      </c>
      <c r="C510" s="80" t="e">
        <f t="shared" si="36"/>
        <v>#NUM!</v>
      </c>
      <c r="D510" s="80" t="e">
        <f t="shared" si="37"/>
        <v>#NUM!</v>
      </c>
      <c r="E510" s="80" t="e">
        <f t="shared" si="38"/>
        <v>#NUM!</v>
      </c>
      <c r="F510" s="80" t="e">
        <f t="shared" si="39"/>
        <v>#NUM!</v>
      </c>
    </row>
    <row r="511" spans="1:6" x14ac:dyDescent="0.2">
      <c r="A511" s="84">
        <v>500</v>
      </c>
      <c r="B511" s="80" t="e">
        <f t="shared" si="35"/>
        <v>#NUM!</v>
      </c>
      <c r="C511" s="80" t="e">
        <f t="shared" si="36"/>
        <v>#NUM!</v>
      </c>
      <c r="D511" s="80" t="e">
        <f t="shared" si="37"/>
        <v>#NUM!</v>
      </c>
      <c r="E511" s="80" t="e">
        <f t="shared" si="38"/>
        <v>#NUM!</v>
      </c>
      <c r="F511" s="80" t="e">
        <f t="shared" si="39"/>
        <v>#NUM!</v>
      </c>
    </row>
    <row r="512" spans="1:6" x14ac:dyDescent="0.2">
      <c r="A512" s="84">
        <v>501</v>
      </c>
      <c r="B512" s="80" t="e">
        <f t="shared" si="35"/>
        <v>#NUM!</v>
      </c>
      <c r="C512" s="80" t="e">
        <f t="shared" si="36"/>
        <v>#NUM!</v>
      </c>
      <c r="D512" s="80" t="e">
        <f t="shared" si="37"/>
        <v>#NUM!</v>
      </c>
      <c r="E512" s="80" t="e">
        <f t="shared" si="38"/>
        <v>#NUM!</v>
      </c>
      <c r="F512" s="80" t="e">
        <f t="shared" si="39"/>
        <v>#NUM!</v>
      </c>
    </row>
    <row r="513" spans="1:6" x14ac:dyDescent="0.2">
      <c r="A513" s="84">
        <v>502</v>
      </c>
      <c r="B513" s="80" t="e">
        <f t="shared" si="35"/>
        <v>#NUM!</v>
      </c>
      <c r="C513" s="80" t="e">
        <f t="shared" si="36"/>
        <v>#NUM!</v>
      </c>
      <c r="D513" s="80" t="e">
        <f t="shared" si="37"/>
        <v>#NUM!</v>
      </c>
      <c r="E513" s="80" t="e">
        <f t="shared" si="38"/>
        <v>#NUM!</v>
      </c>
      <c r="F513" s="80" t="e">
        <f t="shared" si="39"/>
        <v>#NUM!</v>
      </c>
    </row>
    <row r="514" spans="1:6" x14ac:dyDescent="0.2">
      <c r="A514" s="84">
        <v>503</v>
      </c>
      <c r="B514" s="80" t="e">
        <f t="shared" si="35"/>
        <v>#NUM!</v>
      </c>
      <c r="C514" s="80" t="e">
        <f t="shared" si="36"/>
        <v>#NUM!</v>
      </c>
      <c r="D514" s="80" t="e">
        <f t="shared" si="37"/>
        <v>#NUM!</v>
      </c>
      <c r="E514" s="80" t="e">
        <f t="shared" si="38"/>
        <v>#NUM!</v>
      </c>
      <c r="F514" s="80" t="e">
        <f t="shared" si="39"/>
        <v>#NUM!</v>
      </c>
    </row>
    <row r="515" spans="1:6" x14ac:dyDescent="0.2">
      <c r="A515" s="84">
        <v>504</v>
      </c>
      <c r="B515" s="80" t="e">
        <f t="shared" si="35"/>
        <v>#NUM!</v>
      </c>
      <c r="C515" s="80" t="e">
        <f t="shared" si="36"/>
        <v>#NUM!</v>
      </c>
      <c r="D515" s="80" t="e">
        <f t="shared" si="37"/>
        <v>#NUM!</v>
      </c>
      <c r="E515" s="80" t="e">
        <f t="shared" si="38"/>
        <v>#NUM!</v>
      </c>
      <c r="F515" s="80" t="e">
        <f t="shared" si="39"/>
        <v>#NUM!</v>
      </c>
    </row>
    <row r="516" spans="1:6" x14ac:dyDescent="0.2">
      <c r="A516" s="84">
        <v>505</v>
      </c>
      <c r="B516" s="80" t="e">
        <f t="shared" si="35"/>
        <v>#NUM!</v>
      </c>
      <c r="C516" s="80" t="e">
        <f t="shared" si="36"/>
        <v>#NUM!</v>
      </c>
      <c r="D516" s="80" t="e">
        <f t="shared" si="37"/>
        <v>#NUM!</v>
      </c>
      <c r="E516" s="80" t="e">
        <f t="shared" si="38"/>
        <v>#NUM!</v>
      </c>
      <c r="F516" s="80" t="e">
        <f t="shared" si="39"/>
        <v>#NUM!</v>
      </c>
    </row>
    <row r="517" spans="1:6" x14ac:dyDescent="0.2">
      <c r="A517" s="84">
        <v>506</v>
      </c>
      <c r="B517" s="80" t="e">
        <f t="shared" si="35"/>
        <v>#NUM!</v>
      </c>
      <c r="C517" s="80" t="e">
        <f t="shared" si="36"/>
        <v>#NUM!</v>
      </c>
      <c r="D517" s="80" t="e">
        <f t="shared" si="37"/>
        <v>#NUM!</v>
      </c>
      <c r="E517" s="80" t="e">
        <f t="shared" si="38"/>
        <v>#NUM!</v>
      </c>
      <c r="F517" s="80" t="e">
        <f t="shared" si="39"/>
        <v>#NUM!</v>
      </c>
    </row>
    <row r="518" spans="1:6" x14ac:dyDescent="0.2">
      <c r="A518" s="84">
        <v>507</v>
      </c>
      <c r="B518" s="80" t="e">
        <f t="shared" si="35"/>
        <v>#NUM!</v>
      </c>
      <c r="C518" s="80" t="e">
        <f t="shared" si="36"/>
        <v>#NUM!</v>
      </c>
      <c r="D518" s="80" t="e">
        <f t="shared" si="37"/>
        <v>#NUM!</v>
      </c>
      <c r="E518" s="80" t="e">
        <f t="shared" si="38"/>
        <v>#NUM!</v>
      </c>
      <c r="F518" s="80" t="e">
        <f t="shared" si="39"/>
        <v>#NUM!</v>
      </c>
    </row>
    <row r="519" spans="1:6" x14ac:dyDescent="0.2">
      <c r="A519" s="84">
        <v>508</v>
      </c>
      <c r="B519" s="80" t="e">
        <f t="shared" si="35"/>
        <v>#NUM!</v>
      </c>
      <c r="C519" s="80" t="e">
        <f t="shared" si="36"/>
        <v>#NUM!</v>
      </c>
      <c r="D519" s="80" t="e">
        <f t="shared" si="37"/>
        <v>#NUM!</v>
      </c>
      <c r="E519" s="80" t="e">
        <f t="shared" si="38"/>
        <v>#NUM!</v>
      </c>
      <c r="F519" s="80" t="e">
        <f t="shared" si="39"/>
        <v>#NUM!</v>
      </c>
    </row>
    <row r="520" spans="1:6" x14ac:dyDescent="0.2">
      <c r="A520" s="84">
        <v>509</v>
      </c>
      <c r="B520" s="80" t="e">
        <f t="shared" si="35"/>
        <v>#NUM!</v>
      </c>
      <c r="C520" s="80" t="e">
        <f t="shared" si="36"/>
        <v>#NUM!</v>
      </c>
      <c r="D520" s="80" t="e">
        <f t="shared" si="37"/>
        <v>#NUM!</v>
      </c>
      <c r="E520" s="80" t="e">
        <f t="shared" si="38"/>
        <v>#NUM!</v>
      </c>
      <c r="F520" s="80" t="e">
        <f t="shared" si="39"/>
        <v>#NUM!</v>
      </c>
    </row>
    <row r="521" spans="1:6" x14ac:dyDescent="0.2">
      <c r="A521" s="84">
        <v>510</v>
      </c>
      <c r="B521" s="80" t="e">
        <f t="shared" si="35"/>
        <v>#NUM!</v>
      </c>
      <c r="C521" s="80" t="e">
        <f t="shared" si="36"/>
        <v>#NUM!</v>
      </c>
      <c r="D521" s="80" t="e">
        <f t="shared" si="37"/>
        <v>#NUM!</v>
      </c>
      <c r="E521" s="80" t="e">
        <f t="shared" si="38"/>
        <v>#NUM!</v>
      </c>
      <c r="F521" s="80" t="e">
        <f t="shared" si="39"/>
        <v>#NUM!</v>
      </c>
    </row>
    <row r="522" spans="1:6" x14ac:dyDescent="0.2">
      <c r="A522" s="84">
        <v>511</v>
      </c>
      <c r="B522" s="80" t="e">
        <f t="shared" si="35"/>
        <v>#NUM!</v>
      </c>
      <c r="C522" s="80" t="e">
        <f t="shared" si="36"/>
        <v>#NUM!</v>
      </c>
      <c r="D522" s="80" t="e">
        <f t="shared" si="37"/>
        <v>#NUM!</v>
      </c>
      <c r="E522" s="80" t="e">
        <f t="shared" si="38"/>
        <v>#NUM!</v>
      </c>
      <c r="F522" s="80" t="e">
        <f t="shared" si="39"/>
        <v>#NUM!</v>
      </c>
    </row>
    <row r="523" spans="1:6" x14ac:dyDescent="0.2">
      <c r="A523" s="84">
        <v>512</v>
      </c>
      <c r="B523" s="80" t="e">
        <f t="shared" si="35"/>
        <v>#NUM!</v>
      </c>
      <c r="C523" s="80" t="e">
        <f t="shared" si="36"/>
        <v>#NUM!</v>
      </c>
      <c r="D523" s="80" t="e">
        <f t="shared" si="37"/>
        <v>#NUM!</v>
      </c>
      <c r="E523" s="80" t="e">
        <f t="shared" si="38"/>
        <v>#NUM!</v>
      </c>
      <c r="F523" s="80" t="e">
        <f t="shared" si="39"/>
        <v>#NUM!</v>
      </c>
    </row>
    <row r="524" spans="1:6" x14ac:dyDescent="0.2">
      <c r="A524" s="84">
        <v>513</v>
      </c>
      <c r="B524" s="80" t="e">
        <f t="shared" ref="B524:B551" si="40">PPMT(C$5,A524,B$5,-E$11)</f>
        <v>#NUM!</v>
      </c>
      <c r="C524" s="80" t="e">
        <f t="shared" ref="C524:C551" si="41">IPMT(C$5,A524,B$5,-E$11)</f>
        <v>#NUM!</v>
      </c>
      <c r="D524" s="80" t="e">
        <f t="shared" ref="D524:D551" si="42">SUM($D$5)</f>
        <v>#NUM!</v>
      </c>
      <c r="E524" s="80" t="e">
        <f t="shared" ref="E524:E551" si="43">PV(C$5,B$5-A524,-D$12)</f>
        <v>#NUM!</v>
      </c>
      <c r="F524" s="80" t="e">
        <f t="shared" si="39"/>
        <v>#NUM!</v>
      </c>
    </row>
    <row r="525" spans="1:6" x14ac:dyDescent="0.2">
      <c r="A525" s="84">
        <v>514</v>
      </c>
      <c r="B525" s="80" t="e">
        <f t="shared" si="40"/>
        <v>#NUM!</v>
      </c>
      <c r="C525" s="80" t="e">
        <f t="shared" si="41"/>
        <v>#NUM!</v>
      </c>
      <c r="D525" s="80" t="e">
        <f t="shared" si="42"/>
        <v>#NUM!</v>
      </c>
      <c r="E525" s="80" t="e">
        <f t="shared" si="43"/>
        <v>#NUM!</v>
      </c>
      <c r="F525" s="80" t="e">
        <f t="shared" si="39"/>
        <v>#NUM!</v>
      </c>
    </row>
    <row r="526" spans="1:6" x14ac:dyDescent="0.2">
      <c r="A526" s="84">
        <v>515</v>
      </c>
      <c r="B526" s="80" t="e">
        <f t="shared" si="40"/>
        <v>#NUM!</v>
      </c>
      <c r="C526" s="80" t="e">
        <f t="shared" si="41"/>
        <v>#NUM!</v>
      </c>
      <c r="D526" s="80" t="e">
        <f t="shared" si="42"/>
        <v>#NUM!</v>
      </c>
      <c r="E526" s="80" t="e">
        <f t="shared" si="43"/>
        <v>#NUM!</v>
      </c>
      <c r="F526" s="80" t="e">
        <f t="shared" si="39"/>
        <v>#NUM!</v>
      </c>
    </row>
    <row r="527" spans="1:6" x14ac:dyDescent="0.2">
      <c r="A527" s="84">
        <v>516</v>
      </c>
      <c r="B527" s="80" t="e">
        <f t="shared" si="40"/>
        <v>#NUM!</v>
      </c>
      <c r="C527" s="80" t="e">
        <f t="shared" si="41"/>
        <v>#NUM!</v>
      </c>
      <c r="D527" s="80" t="e">
        <f t="shared" si="42"/>
        <v>#NUM!</v>
      </c>
      <c r="E527" s="80" t="e">
        <f t="shared" si="43"/>
        <v>#NUM!</v>
      </c>
      <c r="F527" s="80" t="e">
        <f t="shared" si="39"/>
        <v>#NUM!</v>
      </c>
    </row>
    <row r="528" spans="1:6" x14ac:dyDescent="0.2">
      <c r="A528" s="84">
        <v>517</v>
      </c>
      <c r="B528" s="80" t="e">
        <f t="shared" si="40"/>
        <v>#NUM!</v>
      </c>
      <c r="C528" s="80" t="e">
        <f t="shared" si="41"/>
        <v>#NUM!</v>
      </c>
      <c r="D528" s="80" t="e">
        <f t="shared" si="42"/>
        <v>#NUM!</v>
      </c>
      <c r="E528" s="80" t="e">
        <f t="shared" si="43"/>
        <v>#NUM!</v>
      </c>
      <c r="F528" s="80" t="e">
        <f t="shared" si="39"/>
        <v>#NUM!</v>
      </c>
    </row>
    <row r="529" spans="1:6" x14ac:dyDescent="0.2">
      <c r="A529" s="84">
        <v>518</v>
      </c>
      <c r="B529" s="80" t="e">
        <f t="shared" si="40"/>
        <v>#NUM!</v>
      </c>
      <c r="C529" s="80" t="e">
        <f t="shared" si="41"/>
        <v>#NUM!</v>
      </c>
      <c r="D529" s="80" t="e">
        <f t="shared" si="42"/>
        <v>#NUM!</v>
      </c>
      <c r="E529" s="80" t="e">
        <f t="shared" si="43"/>
        <v>#NUM!</v>
      </c>
      <c r="F529" s="80" t="e">
        <f t="shared" si="39"/>
        <v>#NUM!</v>
      </c>
    </row>
    <row r="530" spans="1:6" x14ac:dyDescent="0.2">
      <c r="A530" s="84">
        <v>519</v>
      </c>
      <c r="B530" s="80" t="e">
        <f t="shared" si="40"/>
        <v>#NUM!</v>
      </c>
      <c r="C530" s="80" t="e">
        <f t="shared" si="41"/>
        <v>#NUM!</v>
      </c>
      <c r="D530" s="80" t="e">
        <f t="shared" si="42"/>
        <v>#NUM!</v>
      </c>
      <c r="E530" s="80" t="e">
        <f t="shared" si="43"/>
        <v>#NUM!</v>
      </c>
      <c r="F530" s="80" t="e">
        <f t="shared" si="39"/>
        <v>#NUM!</v>
      </c>
    </row>
    <row r="531" spans="1:6" x14ac:dyDescent="0.2">
      <c r="A531" s="84">
        <v>520</v>
      </c>
      <c r="B531" s="80" t="e">
        <f t="shared" si="40"/>
        <v>#NUM!</v>
      </c>
      <c r="C531" s="80" t="e">
        <f t="shared" si="41"/>
        <v>#NUM!</v>
      </c>
      <c r="D531" s="80" t="e">
        <f t="shared" si="42"/>
        <v>#NUM!</v>
      </c>
      <c r="E531" s="80" t="e">
        <f t="shared" si="43"/>
        <v>#NUM!</v>
      </c>
      <c r="F531" s="80" t="e">
        <f t="shared" si="39"/>
        <v>#NUM!</v>
      </c>
    </row>
    <row r="532" spans="1:6" x14ac:dyDescent="0.2">
      <c r="A532" s="84">
        <v>521</v>
      </c>
      <c r="B532" s="80" t="e">
        <f t="shared" si="40"/>
        <v>#NUM!</v>
      </c>
      <c r="C532" s="80" t="e">
        <f t="shared" si="41"/>
        <v>#NUM!</v>
      </c>
      <c r="D532" s="80" t="e">
        <f t="shared" si="42"/>
        <v>#NUM!</v>
      </c>
      <c r="E532" s="80" t="e">
        <f t="shared" si="43"/>
        <v>#NUM!</v>
      </c>
      <c r="F532" s="80" t="e">
        <f t="shared" si="39"/>
        <v>#NUM!</v>
      </c>
    </row>
    <row r="533" spans="1:6" x14ac:dyDescent="0.2">
      <c r="A533" s="84">
        <v>522</v>
      </c>
      <c r="B533" s="80" t="e">
        <f t="shared" si="40"/>
        <v>#NUM!</v>
      </c>
      <c r="C533" s="80" t="e">
        <f t="shared" si="41"/>
        <v>#NUM!</v>
      </c>
      <c r="D533" s="80" t="e">
        <f t="shared" si="42"/>
        <v>#NUM!</v>
      </c>
      <c r="E533" s="80" t="e">
        <f t="shared" si="43"/>
        <v>#NUM!</v>
      </c>
      <c r="F533" s="80" t="e">
        <f t="shared" si="39"/>
        <v>#NUM!</v>
      </c>
    </row>
    <row r="534" spans="1:6" x14ac:dyDescent="0.2">
      <c r="A534" s="84">
        <v>523</v>
      </c>
      <c r="B534" s="80" t="e">
        <f t="shared" si="40"/>
        <v>#NUM!</v>
      </c>
      <c r="C534" s="80" t="e">
        <f t="shared" si="41"/>
        <v>#NUM!</v>
      </c>
      <c r="D534" s="80" t="e">
        <f t="shared" si="42"/>
        <v>#NUM!</v>
      </c>
      <c r="E534" s="80" t="e">
        <f t="shared" si="43"/>
        <v>#NUM!</v>
      </c>
      <c r="F534" s="80" t="e">
        <f t="shared" si="39"/>
        <v>#NUM!</v>
      </c>
    </row>
    <row r="535" spans="1:6" x14ac:dyDescent="0.2">
      <c r="A535" s="84">
        <v>524</v>
      </c>
      <c r="B535" s="80" t="e">
        <f t="shared" si="40"/>
        <v>#NUM!</v>
      </c>
      <c r="C535" s="80" t="e">
        <f t="shared" si="41"/>
        <v>#NUM!</v>
      </c>
      <c r="D535" s="80" t="e">
        <f t="shared" si="42"/>
        <v>#NUM!</v>
      </c>
      <c r="E535" s="80" t="e">
        <f t="shared" si="43"/>
        <v>#NUM!</v>
      </c>
      <c r="F535" s="80" t="e">
        <f t="shared" si="39"/>
        <v>#NUM!</v>
      </c>
    </row>
    <row r="536" spans="1:6" x14ac:dyDescent="0.2">
      <c r="A536" s="84">
        <v>525</v>
      </c>
      <c r="B536" s="80" t="e">
        <f t="shared" si="40"/>
        <v>#NUM!</v>
      </c>
      <c r="C536" s="80" t="e">
        <f t="shared" si="41"/>
        <v>#NUM!</v>
      </c>
      <c r="D536" s="80" t="e">
        <f t="shared" si="42"/>
        <v>#NUM!</v>
      </c>
      <c r="E536" s="80" t="e">
        <f t="shared" si="43"/>
        <v>#NUM!</v>
      </c>
      <c r="F536" s="80" t="e">
        <f t="shared" si="39"/>
        <v>#NUM!</v>
      </c>
    </row>
    <row r="537" spans="1:6" x14ac:dyDescent="0.2">
      <c r="A537" s="84">
        <v>526</v>
      </c>
      <c r="B537" s="80" t="e">
        <f t="shared" si="40"/>
        <v>#NUM!</v>
      </c>
      <c r="C537" s="80" t="e">
        <f t="shared" si="41"/>
        <v>#NUM!</v>
      </c>
      <c r="D537" s="80" t="e">
        <f t="shared" si="42"/>
        <v>#NUM!</v>
      </c>
      <c r="E537" s="80" t="e">
        <f t="shared" si="43"/>
        <v>#NUM!</v>
      </c>
      <c r="F537" s="80" t="e">
        <f t="shared" si="39"/>
        <v>#NUM!</v>
      </c>
    </row>
    <row r="538" spans="1:6" x14ac:dyDescent="0.2">
      <c r="A538" s="84">
        <v>527</v>
      </c>
      <c r="B538" s="80" t="e">
        <f t="shared" si="40"/>
        <v>#NUM!</v>
      </c>
      <c r="C538" s="80" t="e">
        <f t="shared" si="41"/>
        <v>#NUM!</v>
      </c>
      <c r="D538" s="80" t="e">
        <f t="shared" si="42"/>
        <v>#NUM!</v>
      </c>
      <c r="E538" s="80" t="e">
        <f t="shared" si="43"/>
        <v>#NUM!</v>
      </c>
      <c r="F538" s="80" t="e">
        <f t="shared" si="39"/>
        <v>#NUM!</v>
      </c>
    </row>
    <row r="539" spans="1:6" x14ac:dyDescent="0.2">
      <c r="A539" s="84">
        <v>528</v>
      </c>
      <c r="B539" s="80" t="e">
        <f t="shared" si="40"/>
        <v>#NUM!</v>
      </c>
      <c r="C539" s="80" t="e">
        <f t="shared" si="41"/>
        <v>#NUM!</v>
      </c>
      <c r="D539" s="80" t="e">
        <f t="shared" si="42"/>
        <v>#NUM!</v>
      </c>
      <c r="E539" s="80" t="e">
        <f t="shared" si="43"/>
        <v>#NUM!</v>
      </c>
      <c r="F539" s="80" t="e">
        <f t="shared" si="39"/>
        <v>#NUM!</v>
      </c>
    </row>
    <row r="540" spans="1:6" x14ac:dyDescent="0.2">
      <c r="A540" s="84">
        <v>529</v>
      </c>
      <c r="B540" s="80" t="e">
        <f t="shared" si="40"/>
        <v>#NUM!</v>
      </c>
      <c r="C540" s="80" t="e">
        <f t="shared" si="41"/>
        <v>#NUM!</v>
      </c>
      <c r="D540" s="80" t="e">
        <f t="shared" si="42"/>
        <v>#NUM!</v>
      </c>
      <c r="E540" s="80" t="e">
        <f t="shared" si="43"/>
        <v>#NUM!</v>
      </c>
      <c r="F540" s="80" t="e">
        <f t="shared" si="39"/>
        <v>#NUM!</v>
      </c>
    </row>
    <row r="541" spans="1:6" x14ac:dyDescent="0.2">
      <c r="A541" s="84">
        <v>530</v>
      </c>
      <c r="B541" s="80" t="e">
        <f t="shared" si="40"/>
        <v>#NUM!</v>
      </c>
      <c r="C541" s="80" t="e">
        <f t="shared" si="41"/>
        <v>#NUM!</v>
      </c>
      <c r="D541" s="80" t="e">
        <f t="shared" si="42"/>
        <v>#NUM!</v>
      </c>
      <c r="E541" s="80" t="e">
        <f t="shared" si="43"/>
        <v>#NUM!</v>
      </c>
      <c r="F541" s="80" t="e">
        <f t="shared" si="39"/>
        <v>#NUM!</v>
      </c>
    </row>
    <row r="542" spans="1:6" x14ac:dyDescent="0.2">
      <c r="A542" s="84">
        <v>531</v>
      </c>
      <c r="B542" s="80" t="e">
        <f t="shared" si="40"/>
        <v>#NUM!</v>
      </c>
      <c r="C542" s="80" t="e">
        <f t="shared" si="41"/>
        <v>#NUM!</v>
      </c>
      <c r="D542" s="80" t="e">
        <f t="shared" si="42"/>
        <v>#NUM!</v>
      </c>
      <c r="E542" s="80" t="e">
        <f t="shared" si="43"/>
        <v>#NUM!</v>
      </c>
      <c r="F542" s="80" t="e">
        <f t="shared" si="39"/>
        <v>#NUM!</v>
      </c>
    </row>
    <row r="543" spans="1:6" x14ac:dyDescent="0.2">
      <c r="A543" s="84">
        <v>532</v>
      </c>
      <c r="B543" s="80" t="e">
        <f t="shared" si="40"/>
        <v>#NUM!</v>
      </c>
      <c r="C543" s="80" t="e">
        <f t="shared" si="41"/>
        <v>#NUM!</v>
      </c>
      <c r="D543" s="80" t="e">
        <f t="shared" si="42"/>
        <v>#NUM!</v>
      </c>
      <c r="E543" s="80" t="e">
        <f t="shared" si="43"/>
        <v>#NUM!</v>
      </c>
      <c r="F543" s="80" t="e">
        <f t="shared" si="39"/>
        <v>#NUM!</v>
      </c>
    </row>
    <row r="544" spans="1:6" x14ac:dyDescent="0.2">
      <c r="A544" s="84">
        <v>533</v>
      </c>
      <c r="B544" s="80" t="e">
        <f t="shared" si="40"/>
        <v>#NUM!</v>
      </c>
      <c r="C544" s="80" t="e">
        <f t="shared" si="41"/>
        <v>#NUM!</v>
      </c>
      <c r="D544" s="80" t="e">
        <f t="shared" si="42"/>
        <v>#NUM!</v>
      </c>
      <c r="E544" s="80" t="e">
        <f t="shared" si="43"/>
        <v>#NUM!</v>
      </c>
      <c r="F544" s="80" t="e">
        <f t="shared" si="39"/>
        <v>#NUM!</v>
      </c>
    </row>
    <row r="545" spans="1:6" x14ac:dyDescent="0.2">
      <c r="A545" s="84">
        <v>534</v>
      </c>
      <c r="B545" s="80" t="e">
        <f t="shared" si="40"/>
        <v>#NUM!</v>
      </c>
      <c r="C545" s="80" t="e">
        <f t="shared" si="41"/>
        <v>#NUM!</v>
      </c>
      <c r="D545" s="80" t="e">
        <f t="shared" si="42"/>
        <v>#NUM!</v>
      </c>
      <c r="E545" s="80" t="e">
        <f t="shared" si="43"/>
        <v>#NUM!</v>
      </c>
      <c r="F545" s="80" t="e">
        <f t="shared" si="39"/>
        <v>#NUM!</v>
      </c>
    </row>
    <row r="546" spans="1:6" x14ac:dyDescent="0.2">
      <c r="A546" s="84">
        <v>535</v>
      </c>
      <c r="B546" s="80" t="e">
        <f t="shared" si="40"/>
        <v>#NUM!</v>
      </c>
      <c r="C546" s="80" t="e">
        <f t="shared" si="41"/>
        <v>#NUM!</v>
      </c>
      <c r="D546" s="80" t="e">
        <f t="shared" si="42"/>
        <v>#NUM!</v>
      </c>
      <c r="E546" s="80" t="e">
        <f t="shared" si="43"/>
        <v>#NUM!</v>
      </c>
      <c r="F546" s="80" t="e">
        <f t="shared" si="39"/>
        <v>#NUM!</v>
      </c>
    </row>
    <row r="547" spans="1:6" x14ac:dyDescent="0.2">
      <c r="A547" s="84">
        <v>536</v>
      </c>
      <c r="B547" s="80" t="e">
        <f t="shared" si="40"/>
        <v>#NUM!</v>
      </c>
      <c r="C547" s="80" t="e">
        <f t="shared" si="41"/>
        <v>#NUM!</v>
      </c>
      <c r="D547" s="80" t="e">
        <f t="shared" si="42"/>
        <v>#NUM!</v>
      </c>
      <c r="E547" s="80" t="e">
        <f t="shared" si="43"/>
        <v>#NUM!</v>
      </c>
      <c r="F547" s="80" t="e">
        <f t="shared" si="39"/>
        <v>#NUM!</v>
      </c>
    </row>
    <row r="548" spans="1:6" x14ac:dyDescent="0.2">
      <c r="A548" s="84">
        <v>537</v>
      </c>
      <c r="B548" s="80" t="e">
        <f t="shared" si="40"/>
        <v>#NUM!</v>
      </c>
      <c r="C548" s="80" t="e">
        <f t="shared" si="41"/>
        <v>#NUM!</v>
      </c>
      <c r="D548" s="80" t="e">
        <f t="shared" si="42"/>
        <v>#NUM!</v>
      </c>
      <c r="E548" s="80" t="e">
        <f t="shared" si="43"/>
        <v>#NUM!</v>
      </c>
      <c r="F548" s="80" t="e">
        <f t="shared" si="39"/>
        <v>#NUM!</v>
      </c>
    </row>
    <row r="549" spans="1:6" x14ac:dyDescent="0.2">
      <c r="A549" s="84">
        <v>538</v>
      </c>
      <c r="B549" s="80" t="e">
        <f t="shared" si="40"/>
        <v>#NUM!</v>
      </c>
      <c r="C549" s="80" t="e">
        <f t="shared" si="41"/>
        <v>#NUM!</v>
      </c>
      <c r="D549" s="80" t="e">
        <f t="shared" si="42"/>
        <v>#NUM!</v>
      </c>
      <c r="E549" s="80" t="e">
        <f t="shared" si="43"/>
        <v>#NUM!</v>
      </c>
      <c r="F549" s="80" t="e">
        <f t="shared" ref="F549:F551" si="44">E549*0.00025</f>
        <v>#NUM!</v>
      </c>
    </row>
    <row r="550" spans="1:6" x14ac:dyDescent="0.2">
      <c r="A550" s="85">
        <v>539</v>
      </c>
      <c r="B550" s="86" t="e">
        <f t="shared" si="40"/>
        <v>#NUM!</v>
      </c>
      <c r="C550" s="80" t="e">
        <f t="shared" si="41"/>
        <v>#NUM!</v>
      </c>
      <c r="D550" s="80" t="e">
        <f t="shared" si="42"/>
        <v>#NUM!</v>
      </c>
      <c r="E550" s="80" t="e">
        <f t="shared" si="43"/>
        <v>#NUM!</v>
      </c>
      <c r="F550" s="80" t="e">
        <f t="shared" si="44"/>
        <v>#NUM!</v>
      </c>
    </row>
    <row r="551" spans="1:6" x14ac:dyDescent="0.2">
      <c r="A551" s="84">
        <v>540</v>
      </c>
      <c r="B551" s="80" t="e">
        <f t="shared" si="40"/>
        <v>#NUM!</v>
      </c>
      <c r="C551" s="80" t="e">
        <f t="shared" si="41"/>
        <v>#NUM!</v>
      </c>
      <c r="D551" s="80" t="e">
        <f t="shared" si="42"/>
        <v>#NUM!</v>
      </c>
      <c r="E551" s="80" t="e">
        <f t="shared" si="43"/>
        <v>#NUM!</v>
      </c>
      <c r="F551" s="80" t="e">
        <f t="shared" si="44"/>
        <v>#NUM!</v>
      </c>
    </row>
    <row r="552" spans="1:6" x14ac:dyDescent="0.2">
      <c r="A552" s="130"/>
      <c r="B552" s="131"/>
    </row>
    <row r="553" spans="1:6" x14ac:dyDescent="0.2">
      <c r="A553" s="130"/>
      <c r="B553" s="131"/>
    </row>
    <row r="554" spans="1:6" x14ac:dyDescent="0.2">
      <c r="A554" s="132"/>
      <c r="B554" s="131"/>
    </row>
    <row r="555" spans="1:6" x14ac:dyDescent="0.2">
      <c r="B555" s="134"/>
    </row>
    <row r="556" spans="1:6" x14ac:dyDescent="0.2">
      <c r="B556" s="134"/>
    </row>
    <row r="557" spans="1:6" x14ac:dyDescent="0.2">
      <c r="B557" s="134"/>
    </row>
    <row r="558" spans="1:6" x14ac:dyDescent="0.2">
      <c r="B558" s="134"/>
    </row>
    <row r="559" spans="1:6" x14ac:dyDescent="0.2">
      <c r="B559" s="134"/>
    </row>
    <row r="560" spans="1:6" x14ac:dyDescent="0.2">
      <c r="B560" s="134"/>
    </row>
    <row r="561" spans="2:2" x14ac:dyDescent="0.2">
      <c r="B561" s="134"/>
    </row>
    <row r="562" spans="2:2" x14ac:dyDescent="0.2">
      <c r="B562" s="134"/>
    </row>
    <row r="563" spans="2:2" x14ac:dyDescent="0.2">
      <c r="B563" s="134"/>
    </row>
    <row r="564" spans="2:2" x14ac:dyDescent="0.2">
      <c r="B564" s="134"/>
    </row>
    <row r="565" spans="2:2" x14ac:dyDescent="0.2">
      <c r="B565" s="134"/>
    </row>
    <row r="566" spans="2:2" x14ac:dyDescent="0.2">
      <c r="B566" s="134"/>
    </row>
    <row r="567" spans="2:2" x14ac:dyDescent="0.2">
      <c r="B567" s="134"/>
    </row>
    <row r="568" spans="2:2" x14ac:dyDescent="0.2">
      <c r="B568" s="134"/>
    </row>
    <row r="569" spans="2:2" x14ac:dyDescent="0.2">
      <c r="B569" s="134"/>
    </row>
    <row r="570" spans="2:2" x14ac:dyDescent="0.2">
      <c r="B570" s="134"/>
    </row>
    <row r="571" spans="2:2" x14ac:dyDescent="0.2">
      <c r="B571" s="134"/>
    </row>
    <row r="572" spans="2:2" x14ac:dyDescent="0.2">
      <c r="B572" s="134"/>
    </row>
  </sheetData>
  <sheetProtection algorithmName="SHA-512" hashValue="sBR3hI72+l3GZ376eQA5oBsnEsihROo3e21cWAd5Hy9M3+qQKu+9235bGULPkYplgWkS7v6ws2Cq7HlT+7FzFA==" saltValue="yaPxAyV3L3pIFqmx4NTWTw==" spinCount="100000" sheet="1" objects="1" scenarios="1"/>
  <protectedRanges>
    <protectedRange sqref="B3:B5" name="Oblast1"/>
  </protectedRanges>
  <mergeCells count="1">
    <mergeCell ref="A7:F7"/>
  </mergeCells>
  <pageMargins left="0.7" right="0.7" top="0.78740157499999996" bottom="0.78740157499999996" header="0.3" footer="0.3"/>
  <pageSetup paperSize="9" orientation="portrait" horizontalDpi="300" verticalDpi="300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5"/>
  <dimension ref="A1:F551"/>
  <sheetViews>
    <sheetView workbookViewId="0">
      <selection activeCell="F16" sqref="F16"/>
    </sheetView>
  </sheetViews>
  <sheetFormatPr defaultColWidth="9.140625" defaultRowHeight="12.75" x14ac:dyDescent="0.2"/>
  <cols>
    <col min="1" max="1" width="14.7109375" style="89" customWidth="1"/>
    <col min="2" max="6" width="13.7109375" style="89" customWidth="1"/>
    <col min="7" max="16384" width="9.140625" style="89"/>
  </cols>
  <sheetData>
    <row r="1" spans="1:6" ht="15.75" thickTop="1" x14ac:dyDescent="0.25">
      <c r="A1" s="87" t="s">
        <v>59</v>
      </c>
      <c r="B1" s="88"/>
      <c r="C1" s="88"/>
      <c r="D1" s="88"/>
      <c r="E1" s="88"/>
      <c r="F1" s="91"/>
    </row>
    <row r="2" spans="1:6" ht="7.5" customHeight="1" x14ac:dyDescent="0.2">
      <c r="A2" s="90"/>
      <c r="B2" s="91"/>
      <c r="C2" s="91"/>
      <c r="D2" s="91"/>
      <c r="E2" s="91"/>
      <c r="F2" s="91"/>
    </row>
    <row r="3" spans="1:6" x14ac:dyDescent="0.2">
      <c r="A3" s="289" t="s">
        <v>49</v>
      </c>
      <c r="B3" s="92">
        <f>IF('prijem - EUR'!F49&gt;0,'prijem - EUR'!F49,vyska_uveru_z)</f>
        <v>0</v>
      </c>
      <c r="C3" s="93"/>
      <c r="D3" s="94" t="e">
        <f>SUM(D12:D551)</f>
        <v>#DIV/0!</v>
      </c>
      <c r="E3" s="91"/>
      <c r="F3" s="91"/>
    </row>
    <row r="4" spans="1:6" x14ac:dyDescent="0.2">
      <c r="A4" s="289" t="s">
        <v>50</v>
      </c>
      <c r="B4" s="95">
        <f>IF(urokova_sadzba&gt;0,urokova_sadzba,urokova_sadzba_z)</f>
        <v>0</v>
      </c>
      <c r="C4" s="91"/>
      <c r="D4" s="91"/>
      <c r="E4" s="91"/>
      <c r="F4" s="91"/>
    </row>
    <row r="5" spans="1:6" x14ac:dyDescent="0.2">
      <c r="A5" s="289" t="s">
        <v>51</v>
      </c>
      <c r="B5" s="96">
        <f>IF(doba_m&gt;0,doba_m,doba_m_z)</f>
        <v>0</v>
      </c>
      <c r="C5" s="91"/>
      <c r="D5" s="91"/>
      <c r="E5" s="91"/>
      <c r="F5" s="91"/>
    </row>
    <row r="6" spans="1:6" x14ac:dyDescent="0.2">
      <c r="A6" s="97"/>
      <c r="B6" s="98"/>
      <c r="C6" s="91"/>
      <c r="D6" s="91"/>
      <c r="E6" s="91"/>
      <c r="F6" s="91"/>
    </row>
    <row r="7" spans="1:6" ht="23.25" customHeight="1" x14ac:dyDescent="0.2">
      <c r="A7" s="490" t="s">
        <v>52</v>
      </c>
      <c r="B7" s="491"/>
      <c r="C7" s="491"/>
      <c r="D7" s="491"/>
      <c r="E7" s="491"/>
      <c r="F7" s="491"/>
    </row>
    <row r="8" spans="1:6" ht="7.5" customHeight="1" thickBot="1" x14ac:dyDescent="0.25">
      <c r="A8" s="99"/>
      <c r="B8" s="101"/>
      <c r="C8" s="100"/>
      <c r="D8" s="100"/>
      <c r="E8" s="100"/>
      <c r="F8" s="91"/>
    </row>
    <row r="9" spans="1:6" ht="13.5" thickTop="1" x14ac:dyDescent="0.2">
      <c r="A9" s="102" t="s">
        <v>53</v>
      </c>
      <c r="B9" s="103" t="s">
        <v>54</v>
      </c>
      <c r="C9" s="103" t="s">
        <v>55</v>
      </c>
      <c r="D9" s="103" t="s">
        <v>56</v>
      </c>
      <c r="E9" s="103" t="s">
        <v>57</v>
      </c>
      <c r="F9" s="103" t="s">
        <v>173</v>
      </c>
    </row>
    <row r="10" spans="1:6" x14ac:dyDescent="0.2">
      <c r="A10" s="104"/>
      <c r="B10" s="105" t="s">
        <v>58</v>
      </c>
      <c r="C10" s="105" t="s">
        <v>58</v>
      </c>
      <c r="D10" s="105" t="s">
        <v>58</v>
      </c>
      <c r="E10" s="105" t="s">
        <v>58</v>
      </c>
      <c r="F10" s="105" t="s">
        <v>58</v>
      </c>
    </row>
    <row r="11" spans="1:6" x14ac:dyDescent="0.2">
      <c r="A11" s="106"/>
      <c r="B11" s="107"/>
      <c r="C11" s="107"/>
      <c r="D11" s="107"/>
      <c r="E11" s="108">
        <f>SUM(B3)</f>
        <v>0</v>
      </c>
      <c r="F11" s="108"/>
    </row>
    <row r="12" spans="1:6" x14ac:dyDescent="0.2">
      <c r="A12" s="109">
        <v>1</v>
      </c>
      <c r="B12" s="108" t="e">
        <f>SUM($B$3/$B$5)</f>
        <v>#DIV/0!</v>
      </c>
      <c r="C12" s="108">
        <f>SUM(E11*($B$4*(1/12)))</f>
        <v>0</v>
      </c>
      <c r="D12" s="108" t="e">
        <f t="shared" ref="D12:D75" si="0">SUM(B12+C12)</f>
        <v>#DIV/0!</v>
      </c>
      <c r="E12" s="108" t="e">
        <f t="shared" ref="E12:E75" si="1">SUM(E11-B12)</f>
        <v>#DIV/0!</v>
      </c>
      <c r="F12" s="108"/>
    </row>
    <row r="13" spans="1:6" x14ac:dyDescent="0.2">
      <c r="A13" s="109">
        <v>2</v>
      </c>
      <c r="B13" s="108" t="e">
        <f t="shared" ref="B13:B76" si="2">SUM($B$3/$B$5)</f>
        <v>#DIV/0!</v>
      </c>
      <c r="C13" s="108" t="e">
        <f t="shared" ref="C13:C76" si="3">SUM(E12*($B$4*(1/12)))</f>
        <v>#DIV/0!</v>
      </c>
      <c r="D13" s="108" t="e">
        <f t="shared" si="0"/>
        <v>#DIV/0!</v>
      </c>
      <c r="E13" s="108" t="e">
        <f t="shared" si="1"/>
        <v>#DIV/0!</v>
      </c>
      <c r="F13" s="108"/>
    </row>
    <row r="14" spans="1:6" x14ac:dyDescent="0.2">
      <c r="A14" s="109">
        <v>3</v>
      </c>
      <c r="B14" s="108" t="e">
        <f t="shared" si="2"/>
        <v>#DIV/0!</v>
      </c>
      <c r="C14" s="108" t="e">
        <f t="shared" si="3"/>
        <v>#DIV/0!</v>
      </c>
      <c r="D14" s="108" t="e">
        <f t="shared" si="0"/>
        <v>#DIV/0!</v>
      </c>
      <c r="E14" s="108" t="e">
        <f t="shared" si="1"/>
        <v>#DIV/0!</v>
      </c>
      <c r="F14" s="108"/>
    </row>
    <row r="15" spans="1:6" x14ac:dyDescent="0.2">
      <c r="A15" s="109">
        <v>4</v>
      </c>
      <c r="B15" s="108" t="e">
        <f t="shared" si="2"/>
        <v>#DIV/0!</v>
      </c>
      <c r="C15" s="108" t="e">
        <f t="shared" si="3"/>
        <v>#DIV/0!</v>
      </c>
      <c r="D15" s="108" t="e">
        <f t="shared" si="0"/>
        <v>#DIV/0!</v>
      </c>
      <c r="E15" s="108" t="e">
        <f t="shared" si="1"/>
        <v>#DIV/0!</v>
      </c>
      <c r="F15" s="108"/>
    </row>
    <row r="16" spans="1:6" x14ac:dyDescent="0.2">
      <c r="A16" s="109">
        <v>5</v>
      </c>
      <c r="B16" s="108" t="e">
        <f t="shared" si="2"/>
        <v>#DIV/0!</v>
      </c>
      <c r="C16" s="108" t="e">
        <f t="shared" si="3"/>
        <v>#DIV/0!</v>
      </c>
      <c r="D16" s="108" t="e">
        <f t="shared" si="0"/>
        <v>#DIV/0!</v>
      </c>
      <c r="E16" s="108" t="e">
        <f t="shared" si="1"/>
        <v>#DIV/0!</v>
      </c>
      <c r="F16" s="108"/>
    </row>
    <row r="17" spans="1:6" x14ac:dyDescent="0.2">
      <c r="A17" s="109">
        <v>6</v>
      </c>
      <c r="B17" s="108" t="e">
        <f t="shared" si="2"/>
        <v>#DIV/0!</v>
      </c>
      <c r="C17" s="108" t="e">
        <f t="shared" si="3"/>
        <v>#DIV/0!</v>
      </c>
      <c r="D17" s="108" t="e">
        <f t="shared" si="0"/>
        <v>#DIV/0!</v>
      </c>
      <c r="E17" s="108" t="e">
        <f t="shared" si="1"/>
        <v>#DIV/0!</v>
      </c>
      <c r="F17" s="108"/>
    </row>
    <row r="18" spans="1:6" x14ac:dyDescent="0.2">
      <c r="A18" s="109">
        <v>7</v>
      </c>
      <c r="B18" s="108" t="e">
        <f t="shared" si="2"/>
        <v>#DIV/0!</v>
      </c>
      <c r="C18" s="108" t="e">
        <f t="shared" si="3"/>
        <v>#DIV/0!</v>
      </c>
      <c r="D18" s="108" t="e">
        <f t="shared" si="0"/>
        <v>#DIV/0!</v>
      </c>
      <c r="E18" s="108" t="e">
        <f t="shared" si="1"/>
        <v>#DIV/0!</v>
      </c>
      <c r="F18" s="108"/>
    </row>
    <row r="19" spans="1:6" x14ac:dyDescent="0.2">
      <c r="A19" s="109">
        <v>8</v>
      </c>
      <c r="B19" s="108" t="e">
        <f t="shared" si="2"/>
        <v>#DIV/0!</v>
      </c>
      <c r="C19" s="108" t="e">
        <f t="shared" si="3"/>
        <v>#DIV/0!</v>
      </c>
      <c r="D19" s="108" t="e">
        <f t="shared" si="0"/>
        <v>#DIV/0!</v>
      </c>
      <c r="E19" s="108" t="e">
        <f t="shared" si="1"/>
        <v>#DIV/0!</v>
      </c>
      <c r="F19" s="108"/>
    </row>
    <row r="20" spans="1:6" x14ac:dyDescent="0.2">
      <c r="A20" s="109">
        <v>9</v>
      </c>
      <c r="B20" s="108" t="e">
        <f t="shared" si="2"/>
        <v>#DIV/0!</v>
      </c>
      <c r="C20" s="108" t="e">
        <f t="shared" si="3"/>
        <v>#DIV/0!</v>
      </c>
      <c r="D20" s="108" t="e">
        <f t="shared" si="0"/>
        <v>#DIV/0!</v>
      </c>
      <c r="E20" s="108" t="e">
        <f t="shared" si="1"/>
        <v>#DIV/0!</v>
      </c>
      <c r="F20" s="108"/>
    </row>
    <row r="21" spans="1:6" x14ac:dyDescent="0.2">
      <c r="A21" s="109">
        <v>10</v>
      </c>
      <c r="B21" s="108" t="e">
        <f t="shared" si="2"/>
        <v>#DIV/0!</v>
      </c>
      <c r="C21" s="108" t="e">
        <f t="shared" si="3"/>
        <v>#DIV/0!</v>
      </c>
      <c r="D21" s="108" t="e">
        <f t="shared" si="0"/>
        <v>#DIV/0!</v>
      </c>
      <c r="E21" s="108" t="e">
        <f t="shared" si="1"/>
        <v>#DIV/0!</v>
      </c>
      <c r="F21" s="108"/>
    </row>
    <row r="22" spans="1:6" x14ac:dyDescent="0.2">
      <c r="A22" s="109">
        <v>11</v>
      </c>
      <c r="B22" s="108" t="e">
        <f t="shared" si="2"/>
        <v>#DIV/0!</v>
      </c>
      <c r="C22" s="108" t="e">
        <f t="shared" si="3"/>
        <v>#DIV/0!</v>
      </c>
      <c r="D22" s="108" t="e">
        <f t="shared" si="0"/>
        <v>#DIV/0!</v>
      </c>
      <c r="E22" s="108" t="e">
        <f t="shared" si="1"/>
        <v>#DIV/0!</v>
      </c>
      <c r="F22" s="108"/>
    </row>
    <row r="23" spans="1:6" x14ac:dyDescent="0.2">
      <c r="A23" s="109">
        <v>12</v>
      </c>
      <c r="B23" s="108" t="e">
        <f t="shared" si="2"/>
        <v>#DIV/0!</v>
      </c>
      <c r="C23" s="108" t="e">
        <f t="shared" si="3"/>
        <v>#DIV/0!</v>
      </c>
      <c r="D23" s="108" t="e">
        <f t="shared" si="0"/>
        <v>#DIV/0!</v>
      </c>
      <c r="E23" s="108" t="e">
        <f t="shared" si="1"/>
        <v>#DIV/0!</v>
      </c>
      <c r="F23" s="108"/>
    </row>
    <row r="24" spans="1:6" x14ac:dyDescent="0.2">
      <c r="A24" s="109">
        <v>13</v>
      </c>
      <c r="B24" s="108" t="e">
        <f t="shared" si="2"/>
        <v>#DIV/0!</v>
      </c>
      <c r="C24" s="108" t="e">
        <f t="shared" si="3"/>
        <v>#DIV/0!</v>
      </c>
      <c r="D24" s="108" t="e">
        <f t="shared" si="0"/>
        <v>#DIV/0!</v>
      </c>
      <c r="E24" s="108" t="e">
        <f t="shared" si="1"/>
        <v>#DIV/0!</v>
      </c>
      <c r="F24" s="108"/>
    </row>
    <row r="25" spans="1:6" x14ac:dyDescent="0.2">
      <c r="A25" s="109">
        <v>14</v>
      </c>
      <c r="B25" s="108" t="e">
        <f t="shared" si="2"/>
        <v>#DIV/0!</v>
      </c>
      <c r="C25" s="108" t="e">
        <f t="shared" si="3"/>
        <v>#DIV/0!</v>
      </c>
      <c r="D25" s="108" t="e">
        <f t="shared" si="0"/>
        <v>#DIV/0!</v>
      </c>
      <c r="E25" s="108" t="e">
        <f t="shared" si="1"/>
        <v>#DIV/0!</v>
      </c>
      <c r="F25" s="108"/>
    </row>
    <row r="26" spans="1:6" x14ac:dyDescent="0.2">
      <c r="A26" s="109">
        <v>15</v>
      </c>
      <c r="B26" s="108" t="e">
        <f t="shared" si="2"/>
        <v>#DIV/0!</v>
      </c>
      <c r="C26" s="108" t="e">
        <f t="shared" si="3"/>
        <v>#DIV/0!</v>
      </c>
      <c r="D26" s="108" t="e">
        <f t="shared" si="0"/>
        <v>#DIV/0!</v>
      </c>
      <c r="E26" s="108" t="e">
        <f t="shared" si="1"/>
        <v>#DIV/0!</v>
      </c>
      <c r="F26" s="108"/>
    </row>
    <row r="27" spans="1:6" x14ac:dyDescent="0.2">
      <c r="A27" s="109">
        <v>16</v>
      </c>
      <c r="B27" s="108" t="e">
        <f t="shared" si="2"/>
        <v>#DIV/0!</v>
      </c>
      <c r="C27" s="108" t="e">
        <f t="shared" si="3"/>
        <v>#DIV/0!</v>
      </c>
      <c r="D27" s="108" t="e">
        <f t="shared" si="0"/>
        <v>#DIV/0!</v>
      </c>
      <c r="E27" s="108" t="e">
        <f t="shared" si="1"/>
        <v>#DIV/0!</v>
      </c>
      <c r="F27" s="108"/>
    </row>
    <row r="28" spans="1:6" x14ac:dyDescent="0.2">
      <c r="A28" s="109">
        <v>17</v>
      </c>
      <c r="B28" s="108" t="e">
        <f t="shared" si="2"/>
        <v>#DIV/0!</v>
      </c>
      <c r="C28" s="108" t="e">
        <f t="shared" si="3"/>
        <v>#DIV/0!</v>
      </c>
      <c r="D28" s="108" t="e">
        <f t="shared" si="0"/>
        <v>#DIV/0!</v>
      </c>
      <c r="E28" s="108" t="e">
        <f t="shared" si="1"/>
        <v>#DIV/0!</v>
      </c>
      <c r="F28" s="108"/>
    </row>
    <row r="29" spans="1:6" x14ac:dyDescent="0.2">
      <c r="A29" s="109">
        <v>18</v>
      </c>
      <c r="B29" s="108" t="e">
        <f t="shared" si="2"/>
        <v>#DIV/0!</v>
      </c>
      <c r="C29" s="108" t="e">
        <f t="shared" si="3"/>
        <v>#DIV/0!</v>
      </c>
      <c r="D29" s="108" t="e">
        <f t="shared" si="0"/>
        <v>#DIV/0!</v>
      </c>
      <c r="E29" s="108" t="e">
        <f t="shared" si="1"/>
        <v>#DIV/0!</v>
      </c>
      <c r="F29" s="108"/>
    </row>
    <row r="30" spans="1:6" x14ac:dyDescent="0.2">
      <c r="A30" s="109">
        <v>19</v>
      </c>
      <c r="B30" s="108" t="e">
        <f t="shared" si="2"/>
        <v>#DIV/0!</v>
      </c>
      <c r="C30" s="108" t="e">
        <f t="shared" si="3"/>
        <v>#DIV/0!</v>
      </c>
      <c r="D30" s="108" t="e">
        <f t="shared" si="0"/>
        <v>#DIV/0!</v>
      </c>
      <c r="E30" s="108" t="e">
        <f t="shared" si="1"/>
        <v>#DIV/0!</v>
      </c>
      <c r="F30" s="108"/>
    </row>
    <row r="31" spans="1:6" x14ac:dyDescent="0.2">
      <c r="A31" s="109">
        <v>20</v>
      </c>
      <c r="B31" s="108" t="e">
        <f t="shared" si="2"/>
        <v>#DIV/0!</v>
      </c>
      <c r="C31" s="108" t="e">
        <f t="shared" si="3"/>
        <v>#DIV/0!</v>
      </c>
      <c r="D31" s="108" t="e">
        <f t="shared" si="0"/>
        <v>#DIV/0!</v>
      </c>
      <c r="E31" s="108" t="e">
        <f t="shared" si="1"/>
        <v>#DIV/0!</v>
      </c>
      <c r="F31" s="108"/>
    </row>
    <row r="32" spans="1:6" x14ac:dyDescent="0.2">
      <c r="A32" s="109">
        <v>21</v>
      </c>
      <c r="B32" s="108" t="e">
        <f t="shared" si="2"/>
        <v>#DIV/0!</v>
      </c>
      <c r="C32" s="108" t="e">
        <f t="shared" si="3"/>
        <v>#DIV/0!</v>
      </c>
      <c r="D32" s="108" t="e">
        <f t="shared" si="0"/>
        <v>#DIV/0!</v>
      </c>
      <c r="E32" s="108" t="e">
        <f t="shared" si="1"/>
        <v>#DIV/0!</v>
      </c>
      <c r="F32" s="108"/>
    </row>
    <row r="33" spans="1:6" x14ac:dyDescent="0.2">
      <c r="A33" s="109">
        <v>22</v>
      </c>
      <c r="B33" s="108" t="e">
        <f t="shared" si="2"/>
        <v>#DIV/0!</v>
      </c>
      <c r="C33" s="108" t="e">
        <f t="shared" si="3"/>
        <v>#DIV/0!</v>
      </c>
      <c r="D33" s="108" t="e">
        <f t="shared" si="0"/>
        <v>#DIV/0!</v>
      </c>
      <c r="E33" s="108" t="e">
        <f t="shared" si="1"/>
        <v>#DIV/0!</v>
      </c>
      <c r="F33" s="108"/>
    </row>
    <row r="34" spans="1:6" x14ac:dyDescent="0.2">
      <c r="A34" s="109">
        <v>23</v>
      </c>
      <c r="B34" s="108" t="e">
        <f t="shared" si="2"/>
        <v>#DIV/0!</v>
      </c>
      <c r="C34" s="108" t="e">
        <f t="shared" si="3"/>
        <v>#DIV/0!</v>
      </c>
      <c r="D34" s="108" t="e">
        <f t="shared" si="0"/>
        <v>#DIV/0!</v>
      </c>
      <c r="E34" s="108" t="e">
        <f t="shared" si="1"/>
        <v>#DIV/0!</v>
      </c>
      <c r="F34" s="108"/>
    </row>
    <row r="35" spans="1:6" x14ac:dyDescent="0.2">
      <c r="A35" s="109">
        <v>24</v>
      </c>
      <c r="B35" s="108" t="e">
        <f t="shared" si="2"/>
        <v>#DIV/0!</v>
      </c>
      <c r="C35" s="108" t="e">
        <f t="shared" si="3"/>
        <v>#DIV/0!</v>
      </c>
      <c r="D35" s="108" t="e">
        <f t="shared" si="0"/>
        <v>#DIV/0!</v>
      </c>
      <c r="E35" s="108" t="e">
        <f t="shared" si="1"/>
        <v>#DIV/0!</v>
      </c>
      <c r="F35" s="108"/>
    </row>
    <row r="36" spans="1:6" x14ac:dyDescent="0.2">
      <c r="A36" s="109">
        <v>25</v>
      </c>
      <c r="B36" s="108" t="e">
        <f t="shared" si="2"/>
        <v>#DIV/0!</v>
      </c>
      <c r="C36" s="108" t="e">
        <f t="shared" si="3"/>
        <v>#DIV/0!</v>
      </c>
      <c r="D36" s="108" t="e">
        <f t="shared" si="0"/>
        <v>#DIV/0!</v>
      </c>
      <c r="E36" s="108" t="e">
        <f t="shared" si="1"/>
        <v>#DIV/0!</v>
      </c>
      <c r="F36" s="108" t="e">
        <f>E36*0.00025</f>
        <v>#DIV/0!</v>
      </c>
    </row>
    <row r="37" spans="1:6" x14ac:dyDescent="0.2">
      <c r="A37" s="109">
        <v>26</v>
      </c>
      <c r="B37" s="108" t="e">
        <f t="shared" si="2"/>
        <v>#DIV/0!</v>
      </c>
      <c r="C37" s="108" t="e">
        <f t="shared" si="3"/>
        <v>#DIV/0!</v>
      </c>
      <c r="D37" s="108" t="e">
        <f t="shared" si="0"/>
        <v>#DIV/0!</v>
      </c>
      <c r="E37" s="108" t="e">
        <f t="shared" si="1"/>
        <v>#DIV/0!</v>
      </c>
      <c r="F37" s="108" t="e">
        <f t="shared" ref="F37:F100" si="4">E37*0.00025</f>
        <v>#DIV/0!</v>
      </c>
    </row>
    <row r="38" spans="1:6" x14ac:dyDescent="0.2">
      <c r="A38" s="109">
        <v>27</v>
      </c>
      <c r="B38" s="108" t="e">
        <f t="shared" si="2"/>
        <v>#DIV/0!</v>
      </c>
      <c r="C38" s="108" t="e">
        <f t="shared" si="3"/>
        <v>#DIV/0!</v>
      </c>
      <c r="D38" s="108" t="e">
        <f t="shared" si="0"/>
        <v>#DIV/0!</v>
      </c>
      <c r="E38" s="108" t="e">
        <f t="shared" si="1"/>
        <v>#DIV/0!</v>
      </c>
      <c r="F38" s="108" t="e">
        <f t="shared" si="4"/>
        <v>#DIV/0!</v>
      </c>
    </row>
    <row r="39" spans="1:6" x14ac:dyDescent="0.2">
      <c r="A39" s="109">
        <v>28</v>
      </c>
      <c r="B39" s="108" t="e">
        <f t="shared" si="2"/>
        <v>#DIV/0!</v>
      </c>
      <c r="C39" s="108" t="e">
        <f t="shared" si="3"/>
        <v>#DIV/0!</v>
      </c>
      <c r="D39" s="108" t="e">
        <f t="shared" si="0"/>
        <v>#DIV/0!</v>
      </c>
      <c r="E39" s="108" t="e">
        <f t="shared" si="1"/>
        <v>#DIV/0!</v>
      </c>
      <c r="F39" s="108" t="e">
        <f t="shared" si="4"/>
        <v>#DIV/0!</v>
      </c>
    </row>
    <row r="40" spans="1:6" x14ac:dyDescent="0.2">
      <c r="A40" s="109">
        <v>29</v>
      </c>
      <c r="B40" s="108" t="e">
        <f t="shared" si="2"/>
        <v>#DIV/0!</v>
      </c>
      <c r="C40" s="108" t="e">
        <f t="shared" si="3"/>
        <v>#DIV/0!</v>
      </c>
      <c r="D40" s="108" t="e">
        <f t="shared" si="0"/>
        <v>#DIV/0!</v>
      </c>
      <c r="E40" s="108" t="e">
        <f t="shared" si="1"/>
        <v>#DIV/0!</v>
      </c>
      <c r="F40" s="108" t="e">
        <f t="shared" si="4"/>
        <v>#DIV/0!</v>
      </c>
    </row>
    <row r="41" spans="1:6" x14ac:dyDescent="0.2">
      <c r="A41" s="109">
        <v>30</v>
      </c>
      <c r="B41" s="108" t="e">
        <f t="shared" si="2"/>
        <v>#DIV/0!</v>
      </c>
      <c r="C41" s="108" t="e">
        <f t="shared" si="3"/>
        <v>#DIV/0!</v>
      </c>
      <c r="D41" s="108" t="e">
        <f t="shared" si="0"/>
        <v>#DIV/0!</v>
      </c>
      <c r="E41" s="108" t="e">
        <f t="shared" si="1"/>
        <v>#DIV/0!</v>
      </c>
      <c r="F41" s="108" t="e">
        <f t="shared" si="4"/>
        <v>#DIV/0!</v>
      </c>
    </row>
    <row r="42" spans="1:6" x14ac:dyDescent="0.2">
      <c r="A42" s="109">
        <v>31</v>
      </c>
      <c r="B42" s="108" t="e">
        <f t="shared" si="2"/>
        <v>#DIV/0!</v>
      </c>
      <c r="C42" s="108" t="e">
        <f t="shared" si="3"/>
        <v>#DIV/0!</v>
      </c>
      <c r="D42" s="108" t="e">
        <f t="shared" si="0"/>
        <v>#DIV/0!</v>
      </c>
      <c r="E42" s="108" t="e">
        <f t="shared" si="1"/>
        <v>#DIV/0!</v>
      </c>
      <c r="F42" s="108" t="e">
        <f t="shared" si="4"/>
        <v>#DIV/0!</v>
      </c>
    </row>
    <row r="43" spans="1:6" x14ac:dyDescent="0.2">
      <c r="A43" s="109">
        <v>32</v>
      </c>
      <c r="B43" s="108" t="e">
        <f t="shared" si="2"/>
        <v>#DIV/0!</v>
      </c>
      <c r="C43" s="108" t="e">
        <f t="shared" si="3"/>
        <v>#DIV/0!</v>
      </c>
      <c r="D43" s="108" t="e">
        <f t="shared" si="0"/>
        <v>#DIV/0!</v>
      </c>
      <c r="E43" s="108" t="e">
        <f t="shared" si="1"/>
        <v>#DIV/0!</v>
      </c>
      <c r="F43" s="108" t="e">
        <f t="shared" si="4"/>
        <v>#DIV/0!</v>
      </c>
    </row>
    <row r="44" spans="1:6" x14ac:dyDescent="0.2">
      <c r="A44" s="109">
        <v>33</v>
      </c>
      <c r="B44" s="108" t="e">
        <f t="shared" si="2"/>
        <v>#DIV/0!</v>
      </c>
      <c r="C44" s="108" t="e">
        <f t="shared" si="3"/>
        <v>#DIV/0!</v>
      </c>
      <c r="D44" s="108" t="e">
        <f t="shared" si="0"/>
        <v>#DIV/0!</v>
      </c>
      <c r="E44" s="108" t="e">
        <f t="shared" si="1"/>
        <v>#DIV/0!</v>
      </c>
      <c r="F44" s="108" t="e">
        <f t="shared" si="4"/>
        <v>#DIV/0!</v>
      </c>
    </row>
    <row r="45" spans="1:6" x14ac:dyDescent="0.2">
      <c r="A45" s="109">
        <v>34</v>
      </c>
      <c r="B45" s="108" t="e">
        <f t="shared" si="2"/>
        <v>#DIV/0!</v>
      </c>
      <c r="C45" s="108" t="e">
        <f t="shared" si="3"/>
        <v>#DIV/0!</v>
      </c>
      <c r="D45" s="108" t="e">
        <f t="shared" si="0"/>
        <v>#DIV/0!</v>
      </c>
      <c r="E45" s="108" t="e">
        <f t="shared" si="1"/>
        <v>#DIV/0!</v>
      </c>
      <c r="F45" s="108" t="e">
        <f t="shared" si="4"/>
        <v>#DIV/0!</v>
      </c>
    </row>
    <row r="46" spans="1:6" x14ac:dyDescent="0.2">
      <c r="A46" s="109">
        <v>35</v>
      </c>
      <c r="B46" s="108" t="e">
        <f t="shared" si="2"/>
        <v>#DIV/0!</v>
      </c>
      <c r="C46" s="108" t="e">
        <f t="shared" si="3"/>
        <v>#DIV/0!</v>
      </c>
      <c r="D46" s="108" t="e">
        <f t="shared" si="0"/>
        <v>#DIV/0!</v>
      </c>
      <c r="E46" s="108" t="e">
        <f t="shared" si="1"/>
        <v>#DIV/0!</v>
      </c>
      <c r="F46" s="108" t="e">
        <f t="shared" si="4"/>
        <v>#DIV/0!</v>
      </c>
    </row>
    <row r="47" spans="1:6" x14ac:dyDescent="0.2">
      <c r="A47" s="109">
        <v>36</v>
      </c>
      <c r="B47" s="108" t="e">
        <f t="shared" si="2"/>
        <v>#DIV/0!</v>
      </c>
      <c r="C47" s="108" t="e">
        <f t="shared" si="3"/>
        <v>#DIV/0!</v>
      </c>
      <c r="D47" s="108" t="e">
        <f t="shared" si="0"/>
        <v>#DIV/0!</v>
      </c>
      <c r="E47" s="108" t="e">
        <f t="shared" si="1"/>
        <v>#DIV/0!</v>
      </c>
      <c r="F47" s="108" t="e">
        <f t="shared" si="4"/>
        <v>#DIV/0!</v>
      </c>
    </row>
    <row r="48" spans="1:6" x14ac:dyDescent="0.2">
      <c r="A48" s="109">
        <v>37</v>
      </c>
      <c r="B48" s="108" t="e">
        <f t="shared" si="2"/>
        <v>#DIV/0!</v>
      </c>
      <c r="C48" s="108" t="e">
        <f t="shared" si="3"/>
        <v>#DIV/0!</v>
      </c>
      <c r="D48" s="108" t="e">
        <f t="shared" si="0"/>
        <v>#DIV/0!</v>
      </c>
      <c r="E48" s="108" t="e">
        <f t="shared" si="1"/>
        <v>#DIV/0!</v>
      </c>
      <c r="F48" s="108" t="e">
        <f t="shared" si="4"/>
        <v>#DIV/0!</v>
      </c>
    </row>
    <row r="49" spans="1:6" x14ac:dyDescent="0.2">
      <c r="A49" s="109">
        <v>38</v>
      </c>
      <c r="B49" s="108" t="e">
        <f t="shared" si="2"/>
        <v>#DIV/0!</v>
      </c>
      <c r="C49" s="108" t="e">
        <f t="shared" si="3"/>
        <v>#DIV/0!</v>
      </c>
      <c r="D49" s="108" t="e">
        <f t="shared" si="0"/>
        <v>#DIV/0!</v>
      </c>
      <c r="E49" s="108" t="e">
        <f t="shared" si="1"/>
        <v>#DIV/0!</v>
      </c>
      <c r="F49" s="108" t="e">
        <f t="shared" si="4"/>
        <v>#DIV/0!</v>
      </c>
    </row>
    <row r="50" spans="1:6" x14ac:dyDescent="0.2">
      <c r="A50" s="109">
        <v>39</v>
      </c>
      <c r="B50" s="108" t="e">
        <f t="shared" si="2"/>
        <v>#DIV/0!</v>
      </c>
      <c r="C50" s="108" t="e">
        <f t="shared" si="3"/>
        <v>#DIV/0!</v>
      </c>
      <c r="D50" s="108" t="e">
        <f t="shared" si="0"/>
        <v>#DIV/0!</v>
      </c>
      <c r="E50" s="108" t="e">
        <f t="shared" si="1"/>
        <v>#DIV/0!</v>
      </c>
      <c r="F50" s="108" t="e">
        <f t="shared" si="4"/>
        <v>#DIV/0!</v>
      </c>
    </row>
    <row r="51" spans="1:6" x14ac:dyDescent="0.2">
      <c r="A51" s="109">
        <v>40</v>
      </c>
      <c r="B51" s="108" t="e">
        <f t="shared" si="2"/>
        <v>#DIV/0!</v>
      </c>
      <c r="C51" s="108" t="e">
        <f t="shared" si="3"/>
        <v>#DIV/0!</v>
      </c>
      <c r="D51" s="108" t="e">
        <f t="shared" si="0"/>
        <v>#DIV/0!</v>
      </c>
      <c r="E51" s="108" t="e">
        <f t="shared" si="1"/>
        <v>#DIV/0!</v>
      </c>
      <c r="F51" s="108" t="e">
        <f t="shared" si="4"/>
        <v>#DIV/0!</v>
      </c>
    </row>
    <row r="52" spans="1:6" x14ac:dyDescent="0.2">
      <c r="A52" s="109">
        <v>41</v>
      </c>
      <c r="B52" s="108" t="e">
        <f t="shared" si="2"/>
        <v>#DIV/0!</v>
      </c>
      <c r="C52" s="108" t="e">
        <f t="shared" si="3"/>
        <v>#DIV/0!</v>
      </c>
      <c r="D52" s="108" t="e">
        <f t="shared" si="0"/>
        <v>#DIV/0!</v>
      </c>
      <c r="E52" s="108" t="e">
        <f t="shared" si="1"/>
        <v>#DIV/0!</v>
      </c>
      <c r="F52" s="108" t="e">
        <f t="shared" si="4"/>
        <v>#DIV/0!</v>
      </c>
    </row>
    <row r="53" spans="1:6" x14ac:dyDescent="0.2">
      <c r="A53" s="109">
        <v>42</v>
      </c>
      <c r="B53" s="108" t="e">
        <f t="shared" si="2"/>
        <v>#DIV/0!</v>
      </c>
      <c r="C53" s="108" t="e">
        <f t="shared" si="3"/>
        <v>#DIV/0!</v>
      </c>
      <c r="D53" s="108" t="e">
        <f t="shared" si="0"/>
        <v>#DIV/0!</v>
      </c>
      <c r="E53" s="108" t="e">
        <f t="shared" si="1"/>
        <v>#DIV/0!</v>
      </c>
      <c r="F53" s="108" t="e">
        <f t="shared" si="4"/>
        <v>#DIV/0!</v>
      </c>
    </row>
    <row r="54" spans="1:6" x14ac:dyDescent="0.2">
      <c r="A54" s="109">
        <v>43</v>
      </c>
      <c r="B54" s="108" t="e">
        <f t="shared" si="2"/>
        <v>#DIV/0!</v>
      </c>
      <c r="C54" s="108" t="e">
        <f t="shared" si="3"/>
        <v>#DIV/0!</v>
      </c>
      <c r="D54" s="108" t="e">
        <f t="shared" si="0"/>
        <v>#DIV/0!</v>
      </c>
      <c r="E54" s="108" t="e">
        <f t="shared" si="1"/>
        <v>#DIV/0!</v>
      </c>
      <c r="F54" s="108" t="e">
        <f t="shared" si="4"/>
        <v>#DIV/0!</v>
      </c>
    </row>
    <row r="55" spans="1:6" x14ac:dyDescent="0.2">
      <c r="A55" s="109">
        <v>44</v>
      </c>
      <c r="B55" s="108" t="e">
        <f t="shared" si="2"/>
        <v>#DIV/0!</v>
      </c>
      <c r="C55" s="108" t="e">
        <f t="shared" si="3"/>
        <v>#DIV/0!</v>
      </c>
      <c r="D55" s="108" t="e">
        <f t="shared" si="0"/>
        <v>#DIV/0!</v>
      </c>
      <c r="E55" s="108" t="e">
        <f t="shared" si="1"/>
        <v>#DIV/0!</v>
      </c>
      <c r="F55" s="108" t="e">
        <f t="shared" si="4"/>
        <v>#DIV/0!</v>
      </c>
    </row>
    <row r="56" spans="1:6" x14ac:dyDescent="0.2">
      <c r="A56" s="109">
        <v>45</v>
      </c>
      <c r="B56" s="108" t="e">
        <f t="shared" si="2"/>
        <v>#DIV/0!</v>
      </c>
      <c r="C56" s="108" t="e">
        <f t="shared" si="3"/>
        <v>#DIV/0!</v>
      </c>
      <c r="D56" s="108" t="e">
        <f t="shared" si="0"/>
        <v>#DIV/0!</v>
      </c>
      <c r="E56" s="108" t="e">
        <f t="shared" si="1"/>
        <v>#DIV/0!</v>
      </c>
      <c r="F56" s="108" t="e">
        <f t="shared" si="4"/>
        <v>#DIV/0!</v>
      </c>
    </row>
    <row r="57" spans="1:6" x14ac:dyDescent="0.2">
      <c r="A57" s="109">
        <v>46</v>
      </c>
      <c r="B57" s="108" t="e">
        <f t="shared" si="2"/>
        <v>#DIV/0!</v>
      </c>
      <c r="C57" s="108" t="e">
        <f t="shared" si="3"/>
        <v>#DIV/0!</v>
      </c>
      <c r="D57" s="108" t="e">
        <f t="shared" si="0"/>
        <v>#DIV/0!</v>
      </c>
      <c r="E57" s="108" t="e">
        <f t="shared" si="1"/>
        <v>#DIV/0!</v>
      </c>
      <c r="F57" s="108" t="e">
        <f t="shared" si="4"/>
        <v>#DIV/0!</v>
      </c>
    </row>
    <row r="58" spans="1:6" x14ac:dyDescent="0.2">
      <c r="A58" s="109">
        <v>47</v>
      </c>
      <c r="B58" s="108" t="e">
        <f t="shared" si="2"/>
        <v>#DIV/0!</v>
      </c>
      <c r="C58" s="108" t="e">
        <f t="shared" si="3"/>
        <v>#DIV/0!</v>
      </c>
      <c r="D58" s="108" t="e">
        <f t="shared" si="0"/>
        <v>#DIV/0!</v>
      </c>
      <c r="E58" s="108" t="e">
        <f t="shared" si="1"/>
        <v>#DIV/0!</v>
      </c>
      <c r="F58" s="108" t="e">
        <f t="shared" si="4"/>
        <v>#DIV/0!</v>
      </c>
    </row>
    <row r="59" spans="1:6" x14ac:dyDescent="0.2">
      <c r="A59" s="109">
        <v>48</v>
      </c>
      <c r="B59" s="108" t="e">
        <f t="shared" si="2"/>
        <v>#DIV/0!</v>
      </c>
      <c r="C59" s="108" t="e">
        <f t="shared" si="3"/>
        <v>#DIV/0!</v>
      </c>
      <c r="D59" s="108" t="e">
        <f t="shared" si="0"/>
        <v>#DIV/0!</v>
      </c>
      <c r="E59" s="108" t="e">
        <f t="shared" si="1"/>
        <v>#DIV/0!</v>
      </c>
      <c r="F59" s="108" t="e">
        <f t="shared" si="4"/>
        <v>#DIV/0!</v>
      </c>
    </row>
    <row r="60" spans="1:6" x14ac:dyDescent="0.2">
      <c r="A60" s="109">
        <v>49</v>
      </c>
      <c r="B60" s="108" t="e">
        <f t="shared" si="2"/>
        <v>#DIV/0!</v>
      </c>
      <c r="C60" s="108" t="e">
        <f t="shared" si="3"/>
        <v>#DIV/0!</v>
      </c>
      <c r="D60" s="108" t="e">
        <f t="shared" si="0"/>
        <v>#DIV/0!</v>
      </c>
      <c r="E60" s="108" t="e">
        <f t="shared" si="1"/>
        <v>#DIV/0!</v>
      </c>
      <c r="F60" s="108" t="e">
        <f t="shared" si="4"/>
        <v>#DIV/0!</v>
      </c>
    </row>
    <row r="61" spans="1:6" x14ac:dyDescent="0.2">
      <c r="A61" s="109">
        <v>50</v>
      </c>
      <c r="B61" s="108" t="e">
        <f t="shared" si="2"/>
        <v>#DIV/0!</v>
      </c>
      <c r="C61" s="108" t="e">
        <f t="shared" si="3"/>
        <v>#DIV/0!</v>
      </c>
      <c r="D61" s="108" t="e">
        <f t="shared" si="0"/>
        <v>#DIV/0!</v>
      </c>
      <c r="E61" s="108" t="e">
        <f t="shared" si="1"/>
        <v>#DIV/0!</v>
      </c>
      <c r="F61" s="108" t="e">
        <f t="shared" si="4"/>
        <v>#DIV/0!</v>
      </c>
    </row>
    <row r="62" spans="1:6" x14ac:dyDescent="0.2">
      <c r="A62" s="109">
        <v>51</v>
      </c>
      <c r="B62" s="108" t="e">
        <f t="shared" si="2"/>
        <v>#DIV/0!</v>
      </c>
      <c r="C62" s="108" t="e">
        <f t="shared" si="3"/>
        <v>#DIV/0!</v>
      </c>
      <c r="D62" s="108" t="e">
        <f t="shared" si="0"/>
        <v>#DIV/0!</v>
      </c>
      <c r="E62" s="108" t="e">
        <f t="shared" si="1"/>
        <v>#DIV/0!</v>
      </c>
      <c r="F62" s="108" t="e">
        <f t="shared" si="4"/>
        <v>#DIV/0!</v>
      </c>
    </row>
    <row r="63" spans="1:6" x14ac:dyDescent="0.2">
      <c r="A63" s="109">
        <v>52</v>
      </c>
      <c r="B63" s="108" t="e">
        <f t="shared" si="2"/>
        <v>#DIV/0!</v>
      </c>
      <c r="C63" s="108" t="e">
        <f t="shared" si="3"/>
        <v>#DIV/0!</v>
      </c>
      <c r="D63" s="108" t="e">
        <f t="shared" si="0"/>
        <v>#DIV/0!</v>
      </c>
      <c r="E63" s="108" t="e">
        <f t="shared" si="1"/>
        <v>#DIV/0!</v>
      </c>
      <c r="F63" s="108" t="e">
        <f t="shared" si="4"/>
        <v>#DIV/0!</v>
      </c>
    </row>
    <row r="64" spans="1:6" x14ac:dyDescent="0.2">
      <c r="A64" s="109">
        <v>53</v>
      </c>
      <c r="B64" s="108" t="e">
        <f t="shared" si="2"/>
        <v>#DIV/0!</v>
      </c>
      <c r="C64" s="108" t="e">
        <f t="shared" si="3"/>
        <v>#DIV/0!</v>
      </c>
      <c r="D64" s="108" t="e">
        <f t="shared" si="0"/>
        <v>#DIV/0!</v>
      </c>
      <c r="E64" s="108" t="e">
        <f t="shared" si="1"/>
        <v>#DIV/0!</v>
      </c>
      <c r="F64" s="108" t="e">
        <f t="shared" si="4"/>
        <v>#DIV/0!</v>
      </c>
    </row>
    <row r="65" spans="1:6" x14ac:dyDescent="0.2">
      <c r="A65" s="109">
        <v>54</v>
      </c>
      <c r="B65" s="108" t="e">
        <f t="shared" si="2"/>
        <v>#DIV/0!</v>
      </c>
      <c r="C65" s="108" t="e">
        <f t="shared" si="3"/>
        <v>#DIV/0!</v>
      </c>
      <c r="D65" s="108" t="e">
        <f t="shared" si="0"/>
        <v>#DIV/0!</v>
      </c>
      <c r="E65" s="108" t="e">
        <f t="shared" si="1"/>
        <v>#DIV/0!</v>
      </c>
      <c r="F65" s="108" t="e">
        <f t="shared" si="4"/>
        <v>#DIV/0!</v>
      </c>
    </row>
    <row r="66" spans="1:6" x14ac:dyDescent="0.2">
      <c r="A66" s="109">
        <v>55</v>
      </c>
      <c r="B66" s="108" t="e">
        <f t="shared" si="2"/>
        <v>#DIV/0!</v>
      </c>
      <c r="C66" s="108" t="e">
        <f t="shared" si="3"/>
        <v>#DIV/0!</v>
      </c>
      <c r="D66" s="108" t="e">
        <f t="shared" si="0"/>
        <v>#DIV/0!</v>
      </c>
      <c r="E66" s="108" t="e">
        <f t="shared" si="1"/>
        <v>#DIV/0!</v>
      </c>
      <c r="F66" s="108" t="e">
        <f t="shared" si="4"/>
        <v>#DIV/0!</v>
      </c>
    </row>
    <row r="67" spans="1:6" x14ac:dyDescent="0.2">
      <c r="A67" s="109">
        <v>56</v>
      </c>
      <c r="B67" s="108" t="e">
        <f t="shared" si="2"/>
        <v>#DIV/0!</v>
      </c>
      <c r="C67" s="108" t="e">
        <f t="shared" si="3"/>
        <v>#DIV/0!</v>
      </c>
      <c r="D67" s="108" t="e">
        <f t="shared" si="0"/>
        <v>#DIV/0!</v>
      </c>
      <c r="E67" s="108" t="e">
        <f t="shared" si="1"/>
        <v>#DIV/0!</v>
      </c>
      <c r="F67" s="108" t="e">
        <f t="shared" si="4"/>
        <v>#DIV/0!</v>
      </c>
    </row>
    <row r="68" spans="1:6" x14ac:dyDescent="0.2">
      <c r="A68" s="109">
        <v>57</v>
      </c>
      <c r="B68" s="108" t="e">
        <f t="shared" si="2"/>
        <v>#DIV/0!</v>
      </c>
      <c r="C68" s="108" t="e">
        <f t="shared" si="3"/>
        <v>#DIV/0!</v>
      </c>
      <c r="D68" s="108" t="e">
        <f t="shared" si="0"/>
        <v>#DIV/0!</v>
      </c>
      <c r="E68" s="108" t="e">
        <f t="shared" si="1"/>
        <v>#DIV/0!</v>
      </c>
      <c r="F68" s="108" t="e">
        <f t="shared" si="4"/>
        <v>#DIV/0!</v>
      </c>
    </row>
    <row r="69" spans="1:6" x14ac:dyDescent="0.2">
      <c r="A69" s="109">
        <v>58</v>
      </c>
      <c r="B69" s="108" t="e">
        <f t="shared" si="2"/>
        <v>#DIV/0!</v>
      </c>
      <c r="C69" s="108" t="e">
        <f t="shared" si="3"/>
        <v>#DIV/0!</v>
      </c>
      <c r="D69" s="108" t="e">
        <f t="shared" si="0"/>
        <v>#DIV/0!</v>
      </c>
      <c r="E69" s="108" t="e">
        <f t="shared" si="1"/>
        <v>#DIV/0!</v>
      </c>
      <c r="F69" s="108" t="e">
        <f t="shared" si="4"/>
        <v>#DIV/0!</v>
      </c>
    </row>
    <row r="70" spans="1:6" x14ac:dyDescent="0.2">
      <c r="A70" s="109">
        <v>59</v>
      </c>
      <c r="B70" s="108" t="e">
        <f t="shared" si="2"/>
        <v>#DIV/0!</v>
      </c>
      <c r="C70" s="108" t="e">
        <f t="shared" si="3"/>
        <v>#DIV/0!</v>
      </c>
      <c r="D70" s="108" t="e">
        <f t="shared" si="0"/>
        <v>#DIV/0!</v>
      </c>
      <c r="E70" s="108" t="e">
        <f t="shared" si="1"/>
        <v>#DIV/0!</v>
      </c>
      <c r="F70" s="108" t="e">
        <f t="shared" si="4"/>
        <v>#DIV/0!</v>
      </c>
    </row>
    <row r="71" spans="1:6" x14ac:dyDescent="0.2">
      <c r="A71" s="109">
        <v>60</v>
      </c>
      <c r="B71" s="108" t="e">
        <f t="shared" si="2"/>
        <v>#DIV/0!</v>
      </c>
      <c r="C71" s="108" t="e">
        <f t="shared" si="3"/>
        <v>#DIV/0!</v>
      </c>
      <c r="D71" s="108" t="e">
        <f t="shared" si="0"/>
        <v>#DIV/0!</v>
      </c>
      <c r="E71" s="108" t="e">
        <f t="shared" si="1"/>
        <v>#DIV/0!</v>
      </c>
      <c r="F71" s="108" t="e">
        <f t="shared" si="4"/>
        <v>#DIV/0!</v>
      </c>
    </row>
    <row r="72" spans="1:6" x14ac:dyDescent="0.2">
      <c r="A72" s="109">
        <v>61</v>
      </c>
      <c r="B72" s="108" t="e">
        <f t="shared" si="2"/>
        <v>#DIV/0!</v>
      </c>
      <c r="C72" s="108" t="e">
        <f t="shared" si="3"/>
        <v>#DIV/0!</v>
      </c>
      <c r="D72" s="108" t="e">
        <f t="shared" si="0"/>
        <v>#DIV/0!</v>
      </c>
      <c r="E72" s="108" t="e">
        <f t="shared" si="1"/>
        <v>#DIV/0!</v>
      </c>
      <c r="F72" s="108" t="e">
        <f t="shared" si="4"/>
        <v>#DIV/0!</v>
      </c>
    </row>
    <row r="73" spans="1:6" x14ac:dyDescent="0.2">
      <c r="A73" s="109">
        <v>62</v>
      </c>
      <c r="B73" s="108" t="e">
        <f t="shared" si="2"/>
        <v>#DIV/0!</v>
      </c>
      <c r="C73" s="108" t="e">
        <f t="shared" si="3"/>
        <v>#DIV/0!</v>
      </c>
      <c r="D73" s="108" t="e">
        <f t="shared" si="0"/>
        <v>#DIV/0!</v>
      </c>
      <c r="E73" s="108" t="e">
        <f t="shared" si="1"/>
        <v>#DIV/0!</v>
      </c>
      <c r="F73" s="108" t="e">
        <f t="shared" si="4"/>
        <v>#DIV/0!</v>
      </c>
    </row>
    <row r="74" spans="1:6" x14ac:dyDescent="0.2">
      <c r="A74" s="109">
        <v>63</v>
      </c>
      <c r="B74" s="108" t="e">
        <f t="shared" si="2"/>
        <v>#DIV/0!</v>
      </c>
      <c r="C74" s="108" t="e">
        <f t="shared" si="3"/>
        <v>#DIV/0!</v>
      </c>
      <c r="D74" s="108" t="e">
        <f t="shared" si="0"/>
        <v>#DIV/0!</v>
      </c>
      <c r="E74" s="108" t="e">
        <f t="shared" si="1"/>
        <v>#DIV/0!</v>
      </c>
      <c r="F74" s="108" t="e">
        <f t="shared" si="4"/>
        <v>#DIV/0!</v>
      </c>
    </row>
    <row r="75" spans="1:6" x14ac:dyDescent="0.2">
      <c r="A75" s="109">
        <v>64</v>
      </c>
      <c r="B75" s="108" t="e">
        <f t="shared" si="2"/>
        <v>#DIV/0!</v>
      </c>
      <c r="C75" s="108" t="e">
        <f t="shared" si="3"/>
        <v>#DIV/0!</v>
      </c>
      <c r="D75" s="108" t="e">
        <f t="shared" si="0"/>
        <v>#DIV/0!</v>
      </c>
      <c r="E75" s="108" t="e">
        <f t="shared" si="1"/>
        <v>#DIV/0!</v>
      </c>
      <c r="F75" s="108" t="e">
        <f t="shared" si="4"/>
        <v>#DIV/0!</v>
      </c>
    </row>
    <row r="76" spans="1:6" x14ac:dyDescent="0.2">
      <c r="A76" s="109">
        <v>65</v>
      </c>
      <c r="B76" s="108" t="e">
        <f t="shared" si="2"/>
        <v>#DIV/0!</v>
      </c>
      <c r="C76" s="108" t="e">
        <f t="shared" si="3"/>
        <v>#DIV/0!</v>
      </c>
      <c r="D76" s="108" t="e">
        <f t="shared" ref="D76:D139" si="5">SUM(B76+C76)</f>
        <v>#DIV/0!</v>
      </c>
      <c r="E76" s="108" t="e">
        <f t="shared" ref="E76:E139" si="6">SUM(E75-B76)</f>
        <v>#DIV/0!</v>
      </c>
      <c r="F76" s="108" t="e">
        <f t="shared" si="4"/>
        <v>#DIV/0!</v>
      </c>
    </row>
    <row r="77" spans="1:6" x14ac:dyDescent="0.2">
      <c r="A77" s="109">
        <v>66</v>
      </c>
      <c r="B77" s="108" t="e">
        <f t="shared" ref="B77:B140" si="7">SUM($B$3/$B$5)</f>
        <v>#DIV/0!</v>
      </c>
      <c r="C77" s="108" t="e">
        <f t="shared" ref="C77:C140" si="8">SUM(E76*($B$4*(1/12)))</f>
        <v>#DIV/0!</v>
      </c>
      <c r="D77" s="108" t="e">
        <f t="shared" si="5"/>
        <v>#DIV/0!</v>
      </c>
      <c r="E77" s="108" t="e">
        <f t="shared" si="6"/>
        <v>#DIV/0!</v>
      </c>
      <c r="F77" s="108" t="e">
        <f t="shared" si="4"/>
        <v>#DIV/0!</v>
      </c>
    </row>
    <row r="78" spans="1:6" x14ac:dyDescent="0.2">
      <c r="A78" s="109">
        <v>67</v>
      </c>
      <c r="B78" s="108" t="e">
        <f t="shared" si="7"/>
        <v>#DIV/0!</v>
      </c>
      <c r="C78" s="108" t="e">
        <f t="shared" si="8"/>
        <v>#DIV/0!</v>
      </c>
      <c r="D78" s="108" t="e">
        <f t="shared" si="5"/>
        <v>#DIV/0!</v>
      </c>
      <c r="E78" s="108" t="e">
        <f t="shared" si="6"/>
        <v>#DIV/0!</v>
      </c>
      <c r="F78" s="108" t="e">
        <f t="shared" si="4"/>
        <v>#DIV/0!</v>
      </c>
    </row>
    <row r="79" spans="1:6" x14ac:dyDescent="0.2">
      <c r="A79" s="109">
        <v>68</v>
      </c>
      <c r="B79" s="108" t="e">
        <f t="shared" si="7"/>
        <v>#DIV/0!</v>
      </c>
      <c r="C79" s="108" t="e">
        <f t="shared" si="8"/>
        <v>#DIV/0!</v>
      </c>
      <c r="D79" s="108" t="e">
        <f t="shared" si="5"/>
        <v>#DIV/0!</v>
      </c>
      <c r="E79" s="108" t="e">
        <f t="shared" si="6"/>
        <v>#DIV/0!</v>
      </c>
      <c r="F79" s="108" t="e">
        <f t="shared" si="4"/>
        <v>#DIV/0!</v>
      </c>
    </row>
    <row r="80" spans="1:6" x14ac:dyDescent="0.2">
      <c r="A80" s="109">
        <v>69</v>
      </c>
      <c r="B80" s="108" t="e">
        <f t="shared" si="7"/>
        <v>#DIV/0!</v>
      </c>
      <c r="C80" s="108" t="e">
        <f t="shared" si="8"/>
        <v>#DIV/0!</v>
      </c>
      <c r="D80" s="108" t="e">
        <f t="shared" si="5"/>
        <v>#DIV/0!</v>
      </c>
      <c r="E80" s="108" t="e">
        <f t="shared" si="6"/>
        <v>#DIV/0!</v>
      </c>
      <c r="F80" s="108" t="e">
        <f t="shared" si="4"/>
        <v>#DIV/0!</v>
      </c>
    </row>
    <row r="81" spans="1:6" x14ac:dyDescent="0.2">
      <c r="A81" s="109">
        <v>70</v>
      </c>
      <c r="B81" s="108" t="e">
        <f t="shared" si="7"/>
        <v>#DIV/0!</v>
      </c>
      <c r="C81" s="108" t="e">
        <f t="shared" si="8"/>
        <v>#DIV/0!</v>
      </c>
      <c r="D81" s="108" t="e">
        <f t="shared" si="5"/>
        <v>#DIV/0!</v>
      </c>
      <c r="E81" s="108" t="e">
        <f t="shared" si="6"/>
        <v>#DIV/0!</v>
      </c>
      <c r="F81" s="108" t="e">
        <f t="shared" si="4"/>
        <v>#DIV/0!</v>
      </c>
    </row>
    <row r="82" spans="1:6" x14ac:dyDescent="0.2">
      <c r="A82" s="109">
        <v>71</v>
      </c>
      <c r="B82" s="108" t="e">
        <f t="shared" si="7"/>
        <v>#DIV/0!</v>
      </c>
      <c r="C82" s="108" t="e">
        <f t="shared" si="8"/>
        <v>#DIV/0!</v>
      </c>
      <c r="D82" s="108" t="e">
        <f t="shared" si="5"/>
        <v>#DIV/0!</v>
      </c>
      <c r="E82" s="108" t="e">
        <f t="shared" si="6"/>
        <v>#DIV/0!</v>
      </c>
      <c r="F82" s="108" t="e">
        <f t="shared" si="4"/>
        <v>#DIV/0!</v>
      </c>
    </row>
    <row r="83" spans="1:6" x14ac:dyDescent="0.2">
      <c r="A83" s="109">
        <v>72</v>
      </c>
      <c r="B83" s="108" t="e">
        <f t="shared" si="7"/>
        <v>#DIV/0!</v>
      </c>
      <c r="C83" s="108" t="e">
        <f t="shared" si="8"/>
        <v>#DIV/0!</v>
      </c>
      <c r="D83" s="108" t="e">
        <f t="shared" si="5"/>
        <v>#DIV/0!</v>
      </c>
      <c r="E83" s="108" t="e">
        <f t="shared" si="6"/>
        <v>#DIV/0!</v>
      </c>
      <c r="F83" s="108" t="e">
        <f t="shared" si="4"/>
        <v>#DIV/0!</v>
      </c>
    </row>
    <row r="84" spans="1:6" x14ac:dyDescent="0.2">
      <c r="A84" s="109">
        <v>73</v>
      </c>
      <c r="B84" s="108" t="e">
        <f t="shared" si="7"/>
        <v>#DIV/0!</v>
      </c>
      <c r="C84" s="108" t="e">
        <f t="shared" si="8"/>
        <v>#DIV/0!</v>
      </c>
      <c r="D84" s="108" t="e">
        <f t="shared" si="5"/>
        <v>#DIV/0!</v>
      </c>
      <c r="E84" s="108" t="e">
        <f t="shared" si="6"/>
        <v>#DIV/0!</v>
      </c>
      <c r="F84" s="108" t="e">
        <f t="shared" si="4"/>
        <v>#DIV/0!</v>
      </c>
    </row>
    <row r="85" spans="1:6" x14ac:dyDescent="0.2">
      <c r="A85" s="109">
        <v>74</v>
      </c>
      <c r="B85" s="108" t="e">
        <f t="shared" si="7"/>
        <v>#DIV/0!</v>
      </c>
      <c r="C85" s="108" t="e">
        <f t="shared" si="8"/>
        <v>#DIV/0!</v>
      </c>
      <c r="D85" s="108" t="e">
        <f t="shared" si="5"/>
        <v>#DIV/0!</v>
      </c>
      <c r="E85" s="108" t="e">
        <f t="shared" si="6"/>
        <v>#DIV/0!</v>
      </c>
      <c r="F85" s="108" t="e">
        <f t="shared" si="4"/>
        <v>#DIV/0!</v>
      </c>
    </row>
    <row r="86" spans="1:6" x14ac:dyDescent="0.2">
      <c r="A86" s="109">
        <v>75</v>
      </c>
      <c r="B86" s="108" t="e">
        <f t="shared" si="7"/>
        <v>#DIV/0!</v>
      </c>
      <c r="C86" s="108" t="e">
        <f t="shared" si="8"/>
        <v>#DIV/0!</v>
      </c>
      <c r="D86" s="108" t="e">
        <f t="shared" si="5"/>
        <v>#DIV/0!</v>
      </c>
      <c r="E86" s="108" t="e">
        <f t="shared" si="6"/>
        <v>#DIV/0!</v>
      </c>
      <c r="F86" s="108" t="e">
        <f t="shared" si="4"/>
        <v>#DIV/0!</v>
      </c>
    </row>
    <row r="87" spans="1:6" x14ac:dyDescent="0.2">
      <c r="A87" s="109">
        <v>76</v>
      </c>
      <c r="B87" s="108" t="e">
        <f t="shared" si="7"/>
        <v>#DIV/0!</v>
      </c>
      <c r="C87" s="108" t="e">
        <f t="shared" si="8"/>
        <v>#DIV/0!</v>
      </c>
      <c r="D87" s="108" t="e">
        <f t="shared" si="5"/>
        <v>#DIV/0!</v>
      </c>
      <c r="E87" s="108" t="e">
        <f t="shared" si="6"/>
        <v>#DIV/0!</v>
      </c>
      <c r="F87" s="108" t="e">
        <f t="shared" si="4"/>
        <v>#DIV/0!</v>
      </c>
    </row>
    <row r="88" spans="1:6" x14ac:dyDescent="0.2">
      <c r="A88" s="109">
        <v>77</v>
      </c>
      <c r="B88" s="108" t="e">
        <f t="shared" si="7"/>
        <v>#DIV/0!</v>
      </c>
      <c r="C88" s="108" t="e">
        <f t="shared" si="8"/>
        <v>#DIV/0!</v>
      </c>
      <c r="D88" s="108" t="e">
        <f t="shared" si="5"/>
        <v>#DIV/0!</v>
      </c>
      <c r="E88" s="108" t="e">
        <f t="shared" si="6"/>
        <v>#DIV/0!</v>
      </c>
      <c r="F88" s="108" t="e">
        <f t="shared" si="4"/>
        <v>#DIV/0!</v>
      </c>
    </row>
    <row r="89" spans="1:6" x14ac:dyDescent="0.2">
      <c r="A89" s="109">
        <v>78</v>
      </c>
      <c r="B89" s="108" t="e">
        <f t="shared" si="7"/>
        <v>#DIV/0!</v>
      </c>
      <c r="C89" s="108" t="e">
        <f t="shared" si="8"/>
        <v>#DIV/0!</v>
      </c>
      <c r="D89" s="108" t="e">
        <f t="shared" si="5"/>
        <v>#DIV/0!</v>
      </c>
      <c r="E89" s="108" t="e">
        <f t="shared" si="6"/>
        <v>#DIV/0!</v>
      </c>
      <c r="F89" s="108" t="e">
        <f t="shared" si="4"/>
        <v>#DIV/0!</v>
      </c>
    </row>
    <row r="90" spans="1:6" x14ac:dyDescent="0.2">
      <c r="A90" s="109">
        <v>79</v>
      </c>
      <c r="B90" s="108" t="e">
        <f t="shared" si="7"/>
        <v>#DIV/0!</v>
      </c>
      <c r="C90" s="108" t="e">
        <f t="shared" si="8"/>
        <v>#DIV/0!</v>
      </c>
      <c r="D90" s="108" t="e">
        <f t="shared" si="5"/>
        <v>#DIV/0!</v>
      </c>
      <c r="E90" s="108" t="e">
        <f t="shared" si="6"/>
        <v>#DIV/0!</v>
      </c>
      <c r="F90" s="108" t="e">
        <f t="shared" si="4"/>
        <v>#DIV/0!</v>
      </c>
    </row>
    <row r="91" spans="1:6" x14ac:dyDescent="0.2">
      <c r="A91" s="109">
        <v>80</v>
      </c>
      <c r="B91" s="108" t="e">
        <f t="shared" si="7"/>
        <v>#DIV/0!</v>
      </c>
      <c r="C91" s="108" t="e">
        <f t="shared" si="8"/>
        <v>#DIV/0!</v>
      </c>
      <c r="D91" s="108" t="e">
        <f t="shared" si="5"/>
        <v>#DIV/0!</v>
      </c>
      <c r="E91" s="108" t="e">
        <f t="shared" si="6"/>
        <v>#DIV/0!</v>
      </c>
      <c r="F91" s="108" t="e">
        <f t="shared" si="4"/>
        <v>#DIV/0!</v>
      </c>
    </row>
    <row r="92" spans="1:6" x14ac:dyDescent="0.2">
      <c r="A92" s="109">
        <v>81</v>
      </c>
      <c r="B92" s="108" t="e">
        <f t="shared" si="7"/>
        <v>#DIV/0!</v>
      </c>
      <c r="C92" s="108" t="e">
        <f t="shared" si="8"/>
        <v>#DIV/0!</v>
      </c>
      <c r="D92" s="108" t="e">
        <f t="shared" si="5"/>
        <v>#DIV/0!</v>
      </c>
      <c r="E92" s="108" t="e">
        <f t="shared" si="6"/>
        <v>#DIV/0!</v>
      </c>
      <c r="F92" s="108" t="e">
        <f t="shared" si="4"/>
        <v>#DIV/0!</v>
      </c>
    </row>
    <row r="93" spans="1:6" x14ac:dyDescent="0.2">
      <c r="A93" s="109">
        <v>82</v>
      </c>
      <c r="B93" s="108" t="e">
        <f t="shared" si="7"/>
        <v>#DIV/0!</v>
      </c>
      <c r="C93" s="108" t="e">
        <f t="shared" si="8"/>
        <v>#DIV/0!</v>
      </c>
      <c r="D93" s="108" t="e">
        <f t="shared" si="5"/>
        <v>#DIV/0!</v>
      </c>
      <c r="E93" s="108" t="e">
        <f t="shared" si="6"/>
        <v>#DIV/0!</v>
      </c>
      <c r="F93" s="108" t="e">
        <f t="shared" si="4"/>
        <v>#DIV/0!</v>
      </c>
    </row>
    <row r="94" spans="1:6" x14ac:dyDescent="0.2">
      <c r="A94" s="109">
        <v>83</v>
      </c>
      <c r="B94" s="108" t="e">
        <f t="shared" si="7"/>
        <v>#DIV/0!</v>
      </c>
      <c r="C94" s="108" t="e">
        <f t="shared" si="8"/>
        <v>#DIV/0!</v>
      </c>
      <c r="D94" s="108" t="e">
        <f t="shared" si="5"/>
        <v>#DIV/0!</v>
      </c>
      <c r="E94" s="108" t="e">
        <f t="shared" si="6"/>
        <v>#DIV/0!</v>
      </c>
      <c r="F94" s="108" t="e">
        <f t="shared" si="4"/>
        <v>#DIV/0!</v>
      </c>
    </row>
    <row r="95" spans="1:6" x14ac:dyDescent="0.2">
      <c r="A95" s="109">
        <v>84</v>
      </c>
      <c r="B95" s="108" t="e">
        <f t="shared" si="7"/>
        <v>#DIV/0!</v>
      </c>
      <c r="C95" s="108" t="e">
        <f t="shared" si="8"/>
        <v>#DIV/0!</v>
      </c>
      <c r="D95" s="108" t="e">
        <f t="shared" si="5"/>
        <v>#DIV/0!</v>
      </c>
      <c r="E95" s="108" t="e">
        <f t="shared" si="6"/>
        <v>#DIV/0!</v>
      </c>
      <c r="F95" s="108" t="e">
        <f t="shared" si="4"/>
        <v>#DIV/0!</v>
      </c>
    </row>
    <row r="96" spans="1:6" x14ac:dyDescent="0.2">
      <c r="A96" s="109">
        <v>85</v>
      </c>
      <c r="B96" s="108" t="e">
        <f t="shared" si="7"/>
        <v>#DIV/0!</v>
      </c>
      <c r="C96" s="108" t="e">
        <f t="shared" si="8"/>
        <v>#DIV/0!</v>
      </c>
      <c r="D96" s="108" t="e">
        <f t="shared" si="5"/>
        <v>#DIV/0!</v>
      </c>
      <c r="E96" s="108" t="e">
        <f t="shared" si="6"/>
        <v>#DIV/0!</v>
      </c>
      <c r="F96" s="108" t="e">
        <f t="shared" si="4"/>
        <v>#DIV/0!</v>
      </c>
    </row>
    <row r="97" spans="1:6" x14ac:dyDescent="0.2">
      <c r="A97" s="109">
        <v>86</v>
      </c>
      <c r="B97" s="108" t="e">
        <f t="shared" si="7"/>
        <v>#DIV/0!</v>
      </c>
      <c r="C97" s="108" t="e">
        <f t="shared" si="8"/>
        <v>#DIV/0!</v>
      </c>
      <c r="D97" s="108" t="e">
        <f t="shared" si="5"/>
        <v>#DIV/0!</v>
      </c>
      <c r="E97" s="108" t="e">
        <f t="shared" si="6"/>
        <v>#DIV/0!</v>
      </c>
      <c r="F97" s="108" t="e">
        <f t="shared" si="4"/>
        <v>#DIV/0!</v>
      </c>
    </row>
    <row r="98" spans="1:6" x14ac:dyDescent="0.2">
      <c r="A98" s="109">
        <v>87</v>
      </c>
      <c r="B98" s="108" t="e">
        <f t="shared" si="7"/>
        <v>#DIV/0!</v>
      </c>
      <c r="C98" s="108" t="e">
        <f t="shared" si="8"/>
        <v>#DIV/0!</v>
      </c>
      <c r="D98" s="108" t="e">
        <f t="shared" si="5"/>
        <v>#DIV/0!</v>
      </c>
      <c r="E98" s="108" t="e">
        <f t="shared" si="6"/>
        <v>#DIV/0!</v>
      </c>
      <c r="F98" s="108" t="e">
        <f t="shared" si="4"/>
        <v>#DIV/0!</v>
      </c>
    </row>
    <row r="99" spans="1:6" x14ac:dyDescent="0.2">
      <c r="A99" s="109">
        <v>88</v>
      </c>
      <c r="B99" s="108" t="e">
        <f t="shared" si="7"/>
        <v>#DIV/0!</v>
      </c>
      <c r="C99" s="108" t="e">
        <f t="shared" si="8"/>
        <v>#DIV/0!</v>
      </c>
      <c r="D99" s="108" t="e">
        <f t="shared" si="5"/>
        <v>#DIV/0!</v>
      </c>
      <c r="E99" s="108" t="e">
        <f t="shared" si="6"/>
        <v>#DIV/0!</v>
      </c>
      <c r="F99" s="108" t="e">
        <f t="shared" si="4"/>
        <v>#DIV/0!</v>
      </c>
    </row>
    <row r="100" spans="1:6" x14ac:dyDescent="0.2">
      <c r="A100" s="109">
        <v>89</v>
      </c>
      <c r="B100" s="108" t="e">
        <f t="shared" si="7"/>
        <v>#DIV/0!</v>
      </c>
      <c r="C100" s="108" t="e">
        <f t="shared" si="8"/>
        <v>#DIV/0!</v>
      </c>
      <c r="D100" s="108" t="e">
        <f t="shared" si="5"/>
        <v>#DIV/0!</v>
      </c>
      <c r="E100" s="108" t="e">
        <f t="shared" si="6"/>
        <v>#DIV/0!</v>
      </c>
      <c r="F100" s="108" t="e">
        <f t="shared" si="4"/>
        <v>#DIV/0!</v>
      </c>
    </row>
    <row r="101" spans="1:6" x14ac:dyDescent="0.2">
      <c r="A101" s="109">
        <v>90</v>
      </c>
      <c r="B101" s="108" t="e">
        <f t="shared" si="7"/>
        <v>#DIV/0!</v>
      </c>
      <c r="C101" s="108" t="e">
        <f t="shared" si="8"/>
        <v>#DIV/0!</v>
      </c>
      <c r="D101" s="108" t="e">
        <f t="shared" si="5"/>
        <v>#DIV/0!</v>
      </c>
      <c r="E101" s="108" t="e">
        <f t="shared" si="6"/>
        <v>#DIV/0!</v>
      </c>
      <c r="F101" s="108" t="e">
        <f t="shared" ref="F101:F164" si="9">E101*0.00025</f>
        <v>#DIV/0!</v>
      </c>
    </row>
    <row r="102" spans="1:6" x14ac:dyDescent="0.2">
      <c r="A102" s="109">
        <v>91</v>
      </c>
      <c r="B102" s="108" t="e">
        <f t="shared" si="7"/>
        <v>#DIV/0!</v>
      </c>
      <c r="C102" s="108" t="e">
        <f t="shared" si="8"/>
        <v>#DIV/0!</v>
      </c>
      <c r="D102" s="108" t="e">
        <f t="shared" si="5"/>
        <v>#DIV/0!</v>
      </c>
      <c r="E102" s="108" t="e">
        <f t="shared" si="6"/>
        <v>#DIV/0!</v>
      </c>
      <c r="F102" s="108" t="e">
        <f t="shared" si="9"/>
        <v>#DIV/0!</v>
      </c>
    </row>
    <row r="103" spans="1:6" x14ac:dyDescent="0.2">
      <c r="A103" s="109">
        <v>92</v>
      </c>
      <c r="B103" s="108" t="e">
        <f t="shared" si="7"/>
        <v>#DIV/0!</v>
      </c>
      <c r="C103" s="108" t="e">
        <f t="shared" si="8"/>
        <v>#DIV/0!</v>
      </c>
      <c r="D103" s="108" t="e">
        <f t="shared" si="5"/>
        <v>#DIV/0!</v>
      </c>
      <c r="E103" s="108" t="e">
        <f t="shared" si="6"/>
        <v>#DIV/0!</v>
      </c>
      <c r="F103" s="108" t="e">
        <f t="shared" si="9"/>
        <v>#DIV/0!</v>
      </c>
    </row>
    <row r="104" spans="1:6" x14ac:dyDescent="0.2">
      <c r="A104" s="109">
        <v>93</v>
      </c>
      <c r="B104" s="108" t="e">
        <f t="shared" si="7"/>
        <v>#DIV/0!</v>
      </c>
      <c r="C104" s="108" t="e">
        <f t="shared" si="8"/>
        <v>#DIV/0!</v>
      </c>
      <c r="D104" s="108" t="e">
        <f t="shared" si="5"/>
        <v>#DIV/0!</v>
      </c>
      <c r="E104" s="108" t="e">
        <f t="shared" si="6"/>
        <v>#DIV/0!</v>
      </c>
      <c r="F104" s="108" t="e">
        <f t="shared" si="9"/>
        <v>#DIV/0!</v>
      </c>
    </row>
    <row r="105" spans="1:6" x14ac:dyDescent="0.2">
      <c r="A105" s="109">
        <v>94</v>
      </c>
      <c r="B105" s="108" t="e">
        <f t="shared" si="7"/>
        <v>#DIV/0!</v>
      </c>
      <c r="C105" s="108" t="e">
        <f t="shared" si="8"/>
        <v>#DIV/0!</v>
      </c>
      <c r="D105" s="108" t="e">
        <f t="shared" si="5"/>
        <v>#DIV/0!</v>
      </c>
      <c r="E105" s="108" t="e">
        <f t="shared" si="6"/>
        <v>#DIV/0!</v>
      </c>
      <c r="F105" s="108" t="e">
        <f t="shared" si="9"/>
        <v>#DIV/0!</v>
      </c>
    </row>
    <row r="106" spans="1:6" x14ac:dyDescent="0.2">
      <c r="A106" s="109">
        <v>95</v>
      </c>
      <c r="B106" s="108" t="e">
        <f t="shared" si="7"/>
        <v>#DIV/0!</v>
      </c>
      <c r="C106" s="108" t="e">
        <f t="shared" si="8"/>
        <v>#DIV/0!</v>
      </c>
      <c r="D106" s="108" t="e">
        <f t="shared" si="5"/>
        <v>#DIV/0!</v>
      </c>
      <c r="E106" s="108" t="e">
        <f t="shared" si="6"/>
        <v>#DIV/0!</v>
      </c>
      <c r="F106" s="108" t="e">
        <f t="shared" si="9"/>
        <v>#DIV/0!</v>
      </c>
    </row>
    <row r="107" spans="1:6" x14ac:dyDescent="0.2">
      <c r="A107" s="109">
        <v>96</v>
      </c>
      <c r="B107" s="108" t="e">
        <f t="shared" si="7"/>
        <v>#DIV/0!</v>
      </c>
      <c r="C107" s="108" t="e">
        <f t="shared" si="8"/>
        <v>#DIV/0!</v>
      </c>
      <c r="D107" s="108" t="e">
        <f t="shared" si="5"/>
        <v>#DIV/0!</v>
      </c>
      <c r="E107" s="108" t="e">
        <f t="shared" si="6"/>
        <v>#DIV/0!</v>
      </c>
      <c r="F107" s="108" t="e">
        <f t="shared" si="9"/>
        <v>#DIV/0!</v>
      </c>
    </row>
    <row r="108" spans="1:6" x14ac:dyDescent="0.2">
      <c r="A108" s="109">
        <v>97</v>
      </c>
      <c r="B108" s="108" t="e">
        <f t="shared" si="7"/>
        <v>#DIV/0!</v>
      </c>
      <c r="C108" s="108" t="e">
        <f t="shared" si="8"/>
        <v>#DIV/0!</v>
      </c>
      <c r="D108" s="108" t="e">
        <f t="shared" si="5"/>
        <v>#DIV/0!</v>
      </c>
      <c r="E108" s="108" t="e">
        <f t="shared" si="6"/>
        <v>#DIV/0!</v>
      </c>
      <c r="F108" s="108" t="e">
        <f t="shared" si="9"/>
        <v>#DIV/0!</v>
      </c>
    </row>
    <row r="109" spans="1:6" x14ac:dyDescent="0.2">
      <c r="A109" s="109">
        <v>98</v>
      </c>
      <c r="B109" s="108" t="e">
        <f t="shared" si="7"/>
        <v>#DIV/0!</v>
      </c>
      <c r="C109" s="108" t="e">
        <f t="shared" si="8"/>
        <v>#DIV/0!</v>
      </c>
      <c r="D109" s="108" t="e">
        <f t="shared" si="5"/>
        <v>#DIV/0!</v>
      </c>
      <c r="E109" s="108" t="e">
        <f t="shared" si="6"/>
        <v>#DIV/0!</v>
      </c>
      <c r="F109" s="108" t="e">
        <f t="shared" si="9"/>
        <v>#DIV/0!</v>
      </c>
    </row>
    <row r="110" spans="1:6" x14ac:dyDescent="0.2">
      <c r="A110" s="109">
        <v>99</v>
      </c>
      <c r="B110" s="108" t="e">
        <f t="shared" si="7"/>
        <v>#DIV/0!</v>
      </c>
      <c r="C110" s="108" t="e">
        <f t="shared" si="8"/>
        <v>#DIV/0!</v>
      </c>
      <c r="D110" s="108" t="e">
        <f t="shared" si="5"/>
        <v>#DIV/0!</v>
      </c>
      <c r="E110" s="108" t="e">
        <f t="shared" si="6"/>
        <v>#DIV/0!</v>
      </c>
      <c r="F110" s="108" t="e">
        <f t="shared" si="9"/>
        <v>#DIV/0!</v>
      </c>
    </row>
    <row r="111" spans="1:6" x14ac:dyDescent="0.2">
      <c r="A111" s="109">
        <v>100</v>
      </c>
      <c r="B111" s="108" t="e">
        <f t="shared" si="7"/>
        <v>#DIV/0!</v>
      </c>
      <c r="C111" s="108" t="e">
        <f t="shared" si="8"/>
        <v>#DIV/0!</v>
      </c>
      <c r="D111" s="108" t="e">
        <f t="shared" si="5"/>
        <v>#DIV/0!</v>
      </c>
      <c r="E111" s="108" t="e">
        <f t="shared" si="6"/>
        <v>#DIV/0!</v>
      </c>
      <c r="F111" s="108" t="e">
        <f t="shared" si="9"/>
        <v>#DIV/0!</v>
      </c>
    </row>
    <row r="112" spans="1:6" x14ac:dyDescent="0.2">
      <c r="A112" s="109">
        <v>101</v>
      </c>
      <c r="B112" s="108" t="e">
        <f t="shared" si="7"/>
        <v>#DIV/0!</v>
      </c>
      <c r="C112" s="108" t="e">
        <f t="shared" si="8"/>
        <v>#DIV/0!</v>
      </c>
      <c r="D112" s="108" t="e">
        <f t="shared" si="5"/>
        <v>#DIV/0!</v>
      </c>
      <c r="E112" s="108" t="e">
        <f t="shared" si="6"/>
        <v>#DIV/0!</v>
      </c>
      <c r="F112" s="108" t="e">
        <f t="shared" si="9"/>
        <v>#DIV/0!</v>
      </c>
    </row>
    <row r="113" spans="1:6" x14ac:dyDescent="0.2">
      <c r="A113" s="109">
        <v>102</v>
      </c>
      <c r="B113" s="108" t="e">
        <f t="shared" si="7"/>
        <v>#DIV/0!</v>
      </c>
      <c r="C113" s="108" t="e">
        <f t="shared" si="8"/>
        <v>#DIV/0!</v>
      </c>
      <c r="D113" s="108" t="e">
        <f t="shared" si="5"/>
        <v>#DIV/0!</v>
      </c>
      <c r="E113" s="108" t="e">
        <f t="shared" si="6"/>
        <v>#DIV/0!</v>
      </c>
      <c r="F113" s="108" t="e">
        <f t="shared" si="9"/>
        <v>#DIV/0!</v>
      </c>
    </row>
    <row r="114" spans="1:6" x14ac:dyDescent="0.2">
      <c r="A114" s="109">
        <v>103</v>
      </c>
      <c r="B114" s="108" t="e">
        <f t="shared" si="7"/>
        <v>#DIV/0!</v>
      </c>
      <c r="C114" s="108" t="e">
        <f t="shared" si="8"/>
        <v>#DIV/0!</v>
      </c>
      <c r="D114" s="108" t="e">
        <f t="shared" si="5"/>
        <v>#DIV/0!</v>
      </c>
      <c r="E114" s="108" t="e">
        <f t="shared" si="6"/>
        <v>#DIV/0!</v>
      </c>
      <c r="F114" s="108" t="e">
        <f t="shared" si="9"/>
        <v>#DIV/0!</v>
      </c>
    </row>
    <row r="115" spans="1:6" x14ac:dyDescent="0.2">
      <c r="A115" s="109">
        <v>104</v>
      </c>
      <c r="B115" s="108" t="e">
        <f t="shared" si="7"/>
        <v>#DIV/0!</v>
      </c>
      <c r="C115" s="108" t="e">
        <f t="shared" si="8"/>
        <v>#DIV/0!</v>
      </c>
      <c r="D115" s="108" t="e">
        <f t="shared" si="5"/>
        <v>#DIV/0!</v>
      </c>
      <c r="E115" s="108" t="e">
        <f t="shared" si="6"/>
        <v>#DIV/0!</v>
      </c>
      <c r="F115" s="108" t="e">
        <f t="shared" si="9"/>
        <v>#DIV/0!</v>
      </c>
    </row>
    <row r="116" spans="1:6" x14ac:dyDescent="0.2">
      <c r="A116" s="109">
        <v>105</v>
      </c>
      <c r="B116" s="108" t="e">
        <f t="shared" si="7"/>
        <v>#DIV/0!</v>
      </c>
      <c r="C116" s="108" t="e">
        <f t="shared" si="8"/>
        <v>#DIV/0!</v>
      </c>
      <c r="D116" s="108" t="e">
        <f t="shared" si="5"/>
        <v>#DIV/0!</v>
      </c>
      <c r="E116" s="108" t="e">
        <f t="shared" si="6"/>
        <v>#DIV/0!</v>
      </c>
      <c r="F116" s="108" t="e">
        <f t="shared" si="9"/>
        <v>#DIV/0!</v>
      </c>
    </row>
    <row r="117" spans="1:6" x14ac:dyDescent="0.2">
      <c r="A117" s="109">
        <v>106</v>
      </c>
      <c r="B117" s="108" t="e">
        <f t="shared" si="7"/>
        <v>#DIV/0!</v>
      </c>
      <c r="C117" s="108" t="e">
        <f t="shared" si="8"/>
        <v>#DIV/0!</v>
      </c>
      <c r="D117" s="108" t="e">
        <f t="shared" si="5"/>
        <v>#DIV/0!</v>
      </c>
      <c r="E117" s="108" t="e">
        <f t="shared" si="6"/>
        <v>#DIV/0!</v>
      </c>
      <c r="F117" s="108" t="e">
        <f t="shared" si="9"/>
        <v>#DIV/0!</v>
      </c>
    </row>
    <row r="118" spans="1:6" x14ac:dyDescent="0.2">
      <c r="A118" s="109">
        <v>107</v>
      </c>
      <c r="B118" s="108" t="e">
        <f t="shared" si="7"/>
        <v>#DIV/0!</v>
      </c>
      <c r="C118" s="108" t="e">
        <f t="shared" si="8"/>
        <v>#DIV/0!</v>
      </c>
      <c r="D118" s="108" t="e">
        <f t="shared" si="5"/>
        <v>#DIV/0!</v>
      </c>
      <c r="E118" s="108" t="e">
        <f t="shared" si="6"/>
        <v>#DIV/0!</v>
      </c>
      <c r="F118" s="108" t="e">
        <f t="shared" si="9"/>
        <v>#DIV/0!</v>
      </c>
    </row>
    <row r="119" spans="1:6" x14ac:dyDescent="0.2">
      <c r="A119" s="109">
        <v>108</v>
      </c>
      <c r="B119" s="108" t="e">
        <f t="shared" si="7"/>
        <v>#DIV/0!</v>
      </c>
      <c r="C119" s="108" t="e">
        <f t="shared" si="8"/>
        <v>#DIV/0!</v>
      </c>
      <c r="D119" s="108" t="e">
        <f t="shared" si="5"/>
        <v>#DIV/0!</v>
      </c>
      <c r="E119" s="108" t="e">
        <f t="shared" si="6"/>
        <v>#DIV/0!</v>
      </c>
      <c r="F119" s="108" t="e">
        <f t="shared" si="9"/>
        <v>#DIV/0!</v>
      </c>
    </row>
    <row r="120" spans="1:6" x14ac:dyDescent="0.2">
      <c r="A120" s="109">
        <v>109</v>
      </c>
      <c r="B120" s="108" t="e">
        <f t="shared" si="7"/>
        <v>#DIV/0!</v>
      </c>
      <c r="C120" s="108" t="e">
        <f t="shared" si="8"/>
        <v>#DIV/0!</v>
      </c>
      <c r="D120" s="108" t="e">
        <f t="shared" si="5"/>
        <v>#DIV/0!</v>
      </c>
      <c r="E120" s="108" t="e">
        <f t="shared" si="6"/>
        <v>#DIV/0!</v>
      </c>
      <c r="F120" s="108" t="e">
        <f t="shared" si="9"/>
        <v>#DIV/0!</v>
      </c>
    </row>
    <row r="121" spans="1:6" x14ac:dyDescent="0.2">
      <c r="A121" s="109">
        <v>110</v>
      </c>
      <c r="B121" s="108" t="e">
        <f t="shared" si="7"/>
        <v>#DIV/0!</v>
      </c>
      <c r="C121" s="108" t="e">
        <f t="shared" si="8"/>
        <v>#DIV/0!</v>
      </c>
      <c r="D121" s="108" t="e">
        <f t="shared" si="5"/>
        <v>#DIV/0!</v>
      </c>
      <c r="E121" s="108" t="e">
        <f t="shared" si="6"/>
        <v>#DIV/0!</v>
      </c>
      <c r="F121" s="108" t="e">
        <f t="shared" si="9"/>
        <v>#DIV/0!</v>
      </c>
    </row>
    <row r="122" spans="1:6" x14ac:dyDescent="0.2">
      <c r="A122" s="109">
        <v>111</v>
      </c>
      <c r="B122" s="108" t="e">
        <f t="shared" si="7"/>
        <v>#DIV/0!</v>
      </c>
      <c r="C122" s="108" t="e">
        <f t="shared" si="8"/>
        <v>#DIV/0!</v>
      </c>
      <c r="D122" s="108" t="e">
        <f t="shared" si="5"/>
        <v>#DIV/0!</v>
      </c>
      <c r="E122" s="108" t="e">
        <f t="shared" si="6"/>
        <v>#DIV/0!</v>
      </c>
      <c r="F122" s="108" t="e">
        <f t="shared" si="9"/>
        <v>#DIV/0!</v>
      </c>
    </row>
    <row r="123" spans="1:6" x14ac:dyDescent="0.2">
      <c r="A123" s="109">
        <v>112</v>
      </c>
      <c r="B123" s="108" t="e">
        <f t="shared" si="7"/>
        <v>#DIV/0!</v>
      </c>
      <c r="C123" s="108" t="e">
        <f t="shared" si="8"/>
        <v>#DIV/0!</v>
      </c>
      <c r="D123" s="108" t="e">
        <f t="shared" si="5"/>
        <v>#DIV/0!</v>
      </c>
      <c r="E123" s="108" t="e">
        <f t="shared" si="6"/>
        <v>#DIV/0!</v>
      </c>
      <c r="F123" s="108" t="e">
        <f t="shared" si="9"/>
        <v>#DIV/0!</v>
      </c>
    </row>
    <row r="124" spans="1:6" x14ac:dyDescent="0.2">
      <c r="A124" s="109">
        <v>113</v>
      </c>
      <c r="B124" s="108" t="e">
        <f t="shared" si="7"/>
        <v>#DIV/0!</v>
      </c>
      <c r="C124" s="108" t="e">
        <f t="shared" si="8"/>
        <v>#DIV/0!</v>
      </c>
      <c r="D124" s="108" t="e">
        <f t="shared" si="5"/>
        <v>#DIV/0!</v>
      </c>
      <c r="E124" s="108" t="e">
        <f t="shared" si="6"/>
        <v>#DIV/0!</v>
      </c>
      <c r="F124" s="108" t="e">
        <f t="shared" si="9"/>
        <v>#DIV/0!</v>
      </c>
    </row>
    <row r="125" spans="1:6" x14ac:dyDescent="0.2">
      <c r="A125" s="109">
        <v>114</v>
      </c>
      <c r="B125" s="108" t="e">
        <f t="shared" si="7"/>
        <v>#DIV/0!</v>
      </c>
      <c r="C125" s="108" t="e">
        <f t="shared" si="8"/>
        <v>#DIV/0!</v>
      </c>
      <c r="D125" s="108" t="e">
        <f t="shared" si="5"/>
        <v>#DIV/0!</v>
      </c>
      <c r="E125" s="108" t="e">
        <f t="shared" si="6"/>
        <v>#DIV/0!</v>
      </c>
      <c r="F125" s="108" t="e">
        <f t="shared" si="9"/>
        <v>#DIV/0!</v>
      </c>
    </row>
    <row r="126" spans="1:6" x14ac:dyDescent="0.2">
      <c r="A126" s="109">
        <v>115</v>
      </c>
      <c r="B126" s="108" t="e">
        <f t="shared" si="7"/>
        <v>#DIV/0!</v>
      </c>
      <c r="C126" s="108" t="e">
        <f t="shared" si="8"/>
        <v>#DIV/0!</v>
      </c>
      <c r="D126" s="108" t="e">
        <f t="shared" si="5"/>
        <v>#DIV/0!</v>
      </c>
      <c r="E126" s="108" t="e">
        <f t="shared" si="6"/>
        <v>#DIV/0!</v>
      </c>
      <c r="F126" s="108" t="e">
        <f t="shared" si="9"/>
        <v>#DIV/0!</v>
      </c>
    </row>
    <row r="127" spans="1:6" x14ac:dyDescent="0.2">
      <c r="A127" s="109">
        <v>116</v>
      </c>
      <c r="B127" s="108" t="e">
        <f t="shared" si="7"/>
        <v>#DIV/0!</v>
      </c>
      <c r="C127" s="108" t="e">
        <f t="shared" si="8"/>
        <v>#DIV/0!</v>
      </c>
      <c r="D127" s="108" t="e">
        <f t="shared" si="5"/>
        <v>#DIV/0!</v>
      </c>
      <c r="E127" s="108" t="e">
        <f t="shared" si="6"/>
        <v>#DIV/0!</v>
      </c>
      <c r="F127" s="108" t="e">
        <f t="shared" si="9"/>
        <v>#DIV/0!</v>
      </c>
    </row>
    <row r="128" spans="1:6" x14ac:dyDescent="0.2">
      <c r="A128" s="109">
        <v>117</v>
      </c>
      <c r="B128" s="108" t="e">
        <f t="shared" si="7"/>
        <v>#DIV/0!</v>
      </c>
      <c r="C128" s="108" t="e">
        <f t="shared" si="8"/>
        <v>#DIV/0!</v>
      </c>
      <c r="D128" s="108" t="e">
        <f t="shared" si="5"/>
        <v>#DIV/0!</v>
      </c>
      <c r="E128" s="108" t="e">
        <f t="shared" si="6"/>
        <v>#DIV/0!</v>
      </c>
      <c r="F128" s="108" t="e">
        <f t="shared" si="9"/>
        <v>#DIV/0!</v>
      </c>
    </row>
    <row r="129" spans="1:6" x14ac:dyDescent="0.2">
      <c r="A129" s="109">
        <v>118</v>
      </c>
      <c r="B129" s="108" t="e">
        <f t="shared" si="7"/>
        <v>#DIV/0!</v>
      </c>
      <c r="C129" s="108" t="e">
        <f t="shared" si="8"/>
        <v>#DIV/0!</v>
      </c>
      <c r="D129" s="108" t="e">
        <f t="shared" si="5"/>
        <v>#DIV/0!</v>
      </c>
      <c r="E129" s="108" t="e">
        <f t="shared" si="6"/>
        <v>#DIV/0!</v>
      </c>
      <c r="F129" s="108" t="e">
        <f t="shared" si="9"/>
        <v>#DIV/0!</v>
      </c>
    </row>
    <row r="130" spans="1:6" x14ac:dyDescent="0.2">
      <c r="A130" s="109">
        <v>119</v>
      </c>
      <c r="B130" s="108" t="e">
        <f t="shared" si="7"/>
        <v>#DIV/0!</v>
      </c>
      <c r="C130" s="108" t="e">
        <f t="shared" si="8"/>
        <v>#DIV/0!</v>
      </c>
      <c r="D130" s="108" t="e">
        <f t="shared" si="5"/>
        <v>#DIV/0!</v>
      </c>
      <c r="E130" s="108" t="e">
        <f t="shared" si="6"/>
        <v>#DIV/0!</v>
      </c>
      <c r="F130" s="108" t="e">
        <f t="shared" si="9"/>
        <v>#DIV/0!</v>
      </c>
    </row>
    <row r="131" spans="1:6" x14ac:dyDescent="0.2">
      <c r="A131" s="109">
        <v>120</v>
      </c>
      <c r="B131" s="108" t="e">
        <f t="shared" si="7"/>
        <v>#DIV/0!</v>
      </c>
      <c r="C131" s="108" t="e">
        <f t="shared" si="8"/>
        <v>#DIV/0!</v>
      </c>
      <c r="D131" s="108" t="e">
        <f t="shared" si="5"/>
        <v>#DIV/0!</v>
      </c>
      <c r="E131" s="108" t="e">
        <f t="shared" si="6"/>
        <v>#DIV/0!</v>
      </c>
      <c r="F131" s="108" t="e">
        <f t="shared" si="9"/>
        <v>#DIV/0!</v>
      </c>
    </row>
    <row r="132" spans="1:6" x14ac:dyDescent="0.2">
      <c r="A132" s="109">
        <v>121</v>
      </c>
      <c r="B132" s="108" t="e">
        <f t="shared" si="7"/>
        <v>#DIV/0!</v>
      </c>
      <c r="C132" s="108" t="e">
        <f t="shared" si="8"/>
        <v>#DIV/0!</v>
      </c>
      <c r="D132" s="108" t="e">
        <f t="shared" si="5"/>
        <v>#DIV/0!</v>
      </c>
      <c r="E132" s="108" t="e">
        <f t="shared" si="6"/>
        <v>#DIV/0!</v>
      </c>
      <c r="F132" s="108" t="e">
        <f t="shared" si="9"/>
        <v>#DIV/0!</v>
      </c>
    </row>
    <row r="133" spans="1:6" x14ac:dyDescent="0.2">
      <c r="A133" s="109">
        <v>122</v>
      </c>
      <c r="B133" s="108" t="e">
        <f t="shared" si="7"/>
        <v>#DIV/0!</v>
      </c>
      <c r="C133" s="108" t="e">
        <f t="shared" si="8"/>
        <v>#DIV/0!</v>
      </c>
      <c r="D133" s="108" t="e">
        <f t="shared" si="5"/>
        <v>#DIV/0!</v>
      </c>
      <c r="E133" s="108" t="e">
        <f t="shared" si="6"/>
        <v>#DIV/0!</v>
      </c>
      <c r="F133" s="108" t="e">
        <f t="shared" si="9"/>
        <v>#DIV/0!</v>
      </c>
    </row>
    <row r="134" spans="1:6" x14ac:dyDescent="0.2">
      <c r="A134" s="109">
        <v>123</v>
      </c>
      <c r="B134" s="108" t="e">
        <f t="shared" si="7"/>
        <v>#DIV/0!</v>
      </c>
      <c r="C134" s="108" t="e">
        <f t="shared" si="8"/>
        <v>#DIV/0!</v>
      </c>
      <c r="D134" s="108" t="e">
        <f t="shared" si="5"/>
        <v>#DIV/0!</v>
      </c>
      <c r="E134" s="108" t="e">
        <f t="shared" si="6"/>
        <v>#DIV/0!</v>
      </c>
      <c r="F134" s="108" t="e">
        <f t="shared" si="9"/>
        <v>#DIV/0!</v>
      </c>
    </row>
    <row r="135" spans="1:6" x14ac:dyDescent="0.2">
      <c r="A135" s="109">
        <v>124</v>
      </c>
      <c r="B135" s="108" t="e">
        <f t="shared" si="7"/>
        <v>#DIV/0!</v>
      </c>
      <c r="C135" s="108" t="e">
        <f t="shared" si="8"/>
        <v>#DIV/0!</v>
      </c>
      <c r="D135" s="108" t="e">
        <f t="shared" si="5"/>
        <v>#DIV/0!</v>
      </c>
      <c r="E135" s="108" t="e">
        <f t="shared" si="6"/>
        <v>#DIV/0!</v>
      </c>
      <c r="F135" s="108" t="e">
        <f t="shared" si="9"/>
        <v>#DIV/0!</v>
      </c>
    </row>
    <row r="136" spans="1:6" x14ac:dyDescent="0.2">
      <c r="A136" s="109">
        <v>125</v>
      </c>
      <c r="B136" s="108" t="e">
        <f t="shared" si="7"/>
        <v>#DIV/0!</v>
      </c>
      <c r="C136" s="108" t="e">
        <f t="shared" si="8"/>
        <v>#DIV/0!</v>
      </c>
      <c r="D136" s="108" t="e">
        <f t="shared" si="5"/>
        <v>#DIV/0!</v>
      </c>
      <c r="E136" s="108" t="e">
        <f t="shared" si="6"/>
        <v>#DIV/0!</v>
      </c>
      <c r="F136" s="108" t="e">
        <f t="shared" si="9"/>
        <v>#DIV/0!</v>
      </c>
    </row>
    <row r="137" spans="1:6" x14ac:dyDescent="0.2">
      <c r="A137" s="109">
        <v>126</v>
      </c>
      <c r="B137" s="108" t="e">
        <f t="shared" si="7"/>
        <v>#DIV/0!</v>
      </c>
      <c r="C137" s="108" t="e">
        <f t="shared" si="8"/>
        <v>#DIV/0!</v>
      </c>
      <c r="D137" s="108" t="e">
        <f t="shared" si="5"/>
        <v>#DIV/0!</v>
      </c>
      <c r="E137" s="108" t="e">
        <f t="shared" si="6"/>
        <v>#DIV/0!</v>
      </c>
      <c r="F137" s="108" t="e">
        <f t="shared" si="9"/>
        <v>#DIV/0!</v>
      </c>
    </row>
    <row r="138" spans="1:6" x14ac:dyDescent="0.2">
      <c r="A138" s="109">
        <v>127</v>
      </c>
      <c r="B138" s="108" t="e">
        <f t="shared" si="7"/>
        <v>#DIV/0!</v>
      </c>
      <c r="C138" s="108" t="e">
        <f t="shared" si="8"/>
        <v>#DIV/0!</v>
      </c>
      <c r="D138" s="108" t="e">
        <f t="shared" si="5"/>
        <v>#DIV/0!</v>
      </c>
      <c r="E138" s="108" t="e">
        <f t="shared" si="6"/>
        <v>#DIV/0!</v>
      </c>
      <c r="F138" s="108" t="e">
        <f t="shared" si="9"/>
        <v>#DIV/0!</v>
      </c>
    </row>
    <row r="139" spans="1:6" x14ac:dyDescent="0.2">
      <c r="A139" s="109">
        <v>128</v>
      </c>
      <c r="B139" s="108" t="e">
        <f t="shared" si="7"/>
        <v>#DIV/0!</v>
      </c>
      <c r="C139" s="108" t="e">
        <f t="shared" si="8"/>
        <v>#DIV/0!</v>
      </c>
      <c r="D139" s="108" t="e">
        <f t="shared" si="5"/>
        <v>#DIV/0!</v>
      </c>
      <c r="E139" s="108" t="e">
        <f t="shared" si="6"/>
        <v>#DIV/0!</v>
      </c>
      <c r="F139" s="108" t="e">
        <f t="shared" si="9"/>
        <v>#DIV/0!</v>
      </c>
    </row>
    <row r="140" spans="1:6" x14ac:dyDescent="0.2">
      <c r="A140" s="109">
        <v>129</v>
      </c>
      <c r="B140" s="108" t="e">
        <f t="shared" si="7"/>
        <v>#DIV/0!</v>
      </c>
      <c r="C140" s="108" t="e">
        <f t="shared" si="8"/>
        <v>#DIV/0!</v>
      </c>
      <c r="D140" s="108" t="e">
        <f t="shared" ref="D140:D203" si="10">SUM(B140+C140)</f>
        <v>#DIV/0!</v>
      </c>
      <c r="E140" s="108" t="e">
        <f t="shared" ref="E140:E203" si="11">SUM(E139-B140)</f>
        <v>#DIV/0!</v>
      </c>
      <c r="F140" s="108" t="e">
        <f t="shared" si="9"/>
        <v>#DIV/0!</v>
      </c>
    </row>
    <row r="141" spans="1:6" x14ac:dyDescent="0.2">
      <c r="A141" s="109">
        <v>130</v>
      </c>
      <c r="B141" s="108" t="e">
        <f t="shared" ref="B141:B204" si="12">SUM($B$3/$B$5)</f>
        <v>#DIV/0!</v>
      </c>
      <c r="C141" s="108" t="e">
        <f t="shared" ref="C141:C204" si="13">SUM(E140*($B$4*(1/12)))</f>
        <v>#DIV/0!</v>
      </c>
      <c r="D141" s="108" t="e">
        <f t="shared" si="10"/>
        <v>#DIV/0!</v>
      </c>
      <c r="E141" s="108" t="e">
        <f t="shared" si="11"/>
        <v>#DIV/0!</v>
      </c>
      <c r="F141" s="108" t="e">
        <f t="shared" si="9"/>
        <v>#DIV/0!</v>
      </c>
    </row>
    <row r="142" spans="1:6" x14ac:dyDescent="0.2">
      <c r="A142" s="109">
        <v>131</v>
      </c>
      <c r="B142" s="108" t="e">
        <f t="shared" si="12"/>
        <v>#DIV/0!</v>
      </c>
      <c r="C142" s="108" t="e">
        <f t="shared" si="13"/>
        <v>#DIV/0!</v>
      </c>
      <c r="D142" s="108" t="e">
        <f t="shared" si="10"/>
        <v>#DIV/0!</v>
      </c>
      <c r="E142" s="108" t="e">
        <f t="shared" si="11"/>
        <v>#DIV/0!</v>
      </c>
      <c r="F142" s="108" t="e">
        <f t="shared" si="9"/>
        <v>#DIV/0!</v>
      </c>
    </row>
    <row r="143" spans="1:6" x14ac:dyDescent="0.2">
      <c r="A143" s="109">
        <v>132</v>
      </c>
      <c r="B143" s="108" t="e">
        <f t="shared" si="12"/>
        <v>#DIV/0!</v>
      </c>
      <c r="C143" s="108" t="e">
        <f t="shared" si="13"/>
        <v>#DIV/0!</v>
      </c>
      <c r="D143" s="108" t="e">
        <f t="shared" si="10"/>
        <v>#DIV/0!</v>
      </c>
      <c r="E143" s="108" t="e">
        <f t="shared" si="11"/>
        <v>#DIV/0!</v>
      </c>
      <c r="F143" s="108" t="e">
        <f t="shared" si="9"/>
        <v>#DIV/0!</v>
      </c>
    </row>
    <row r="144" spans="1:6" x14ac:dyDescent="0.2">
      <c r="A144" s="109">
        <v>133</v>
      </c>
      <c r="B144" s="108" t="e">
        <f t="shared" si="12"/>
        <v>#DIV/0!</v>
      </c>
      <c r="C144" s="108" t="e">
        <f t="shared" si="13"/>
        <v>#DIV/0!</v>
      </c>
      <c r="D144" s="108" t="e">
        <f t="shared" si="10"/>
        <v>#DIV/0!</v>
      </c>
      <c r="E144" s="108" t="e">
        <f t="shared" si="11"/>
        <v>#DIV/0!</v>
      </c>
      <c r="F144" s="108" t="e">
        <f t="shared" si="9"/>
        <v>#DIV/0!</v>
      </c>
    </row>
    <row r="145" spans="1:6" x14ac:dyDescent="0.2">
      <c r="A145" s="109">
        <v>134</v>
      </c>
      <c r="B145" s="108" t="e">
        <f t="shared" si="12"/>
        <v>#DIV/0!</v>
      </c>
      <c r="C145" s="108" t="e">
        <f t="shared" si="13"/>
        <v>#DIV/0!</v>
      </c>
      <c r="D145" s="108" t="e">
        <f t="shared" si="10"/>
        <v>#DIV/0!</v>
      </c>
      <c r="E145" s="108" t="e">
        <f t="shared" si="11"/>
        <v>#DIV/0!</v>
      </c>
      <c r="F145" s="108" t="e">
        <f t="shared" si="9"/>
        <v>#DIV/0!</v>
      </c>
    </row>
    <row r="146" spans="1:6" x14ac:dyDescent="0.2">
      <c r="A146" s="109">
        <v>135</v>
      </c>
      <c r="B146" s="108" t="e">
        <f t="shared" si="12"/>
        <v>#DIV/0!</v>
      </c>
      <c r="C146" s="108" t="e">
        <f t="shared" si="13"/>
        <v>#DIV/0!</v>
      </c>
      <c r="D146" s="108" t="e">
        <f t="shared" si="10"/>
        <v>#DIV/0!</v>
      </c>
      <c r="E146" s="108" t="e">
        <f t="shared" si="11"/>
        <v>#DIV/0!</v>
      </c>
      <c r="F146" s="108" t="e">
        <f t="shared" si="9"/>
        <v>#DIV/0!</v>
      </c>
    </row>
    <row r="147" spans="1:6" x14ac:dyDescent="0.2">
      <c r="A147" s="109">
        <v>136</v>
      </c>
      <c r="B147" s="108" t="e">
        <f t="shared" si="12"/>
        <v>#DIV/0!</v>
      </c>
      <c r="C147" s="108" t="e">
        <f t="shared" si="13"/>
        <v>#DIV/0!</v>
      </c>
      <c r="D147" s="108" t="e">
        <f t="shared" si="10"/>
        <v>#DIV/0!</v>
      </c>
      <c r="E147" s="108" t="e">
        <f t="shared" si="11"/>
        <v>#DIV/0!</v>
      </c>
      <c r="F147" s="108" t="e">
        <f t="shared" si="9"/>
        <v>#DIV/0!</v>
      </c>
    </row>
    <row r="148" spans="1:6" x14ac:dyDescent="0.2">
      <c r="A148" s="109">
        <v>137</v>
      </c>
      <c r="B148" s="108" t="e">
        <f t="shared" si="12"/>
        <v>#DIV/0!</v>
      </c>
      <c r="C148" s="108" t="e">
        <f t="shared" si="13"/>
        <v>#DIV/0!</v>
      </c>
      <c r="D148" s="108" t="e">
        <f t="shared" si="10"/>
        <v>#DIV/0!</v>
      </c>
      <c r="E148" s="108" t="e">
        <f t="shared" si="11"/>
        <v>#DIV/0!</v>
      </c>
      <c r="F148" s="108" t="e">
        <f t="shared" si="9"/>
        <v>#DIV/0!</v>
      </c>
    </row>
    <row r="149" spans="1:6" x14ac:dyDescent="0.2">
      <c r="A149" s="109">
        <v>138</v>
      </c>
      <c r="B149" s="108" t="e">
        <f t="shared" si="12"/>
        <v>#DIV/0!</v>
      </c>
      <c r="C149" s="108" t="e">
        <f t="shared" si="13"/>
        <v>#DIV/0!</v>
      </c>
      <c r="D149" s="108" t="e">
        <f t="shared" si="10"/>
        <v>#DIV/0!</v>
      </c>
      <c r="E149" s="108" t="e">
        <f t="shared" si="11"/>
        <v>#DIV/0!</v>
      </c>
      <c r="F149" s="108" t="e">
        <f t="shared" si="9"/>
        <v>#DIV/0!</v>
      </c>
    </row>
    <row r="150" spans="1:6" x14ac:dyDescent="0.2">
      <c r="A150" s="109">
        <v>139</v>
      </c>
      <c r="B150" s="108" t="e">
        <f t="shared" si="12"/>
        <v>#DIV/0!</v>
      </c>
      <c r="C150" s="108" t="e">
        <f t="shared" si="13"/>
        <v>#DIV/0!</v>
      </c>
      <c r="D150" s="108" t="e">
        <f t="shared" si="10"/>
        <v>#DIV/0!</v>
      </c>
      <c r="E150" s="108" t="e">
        <f t="shared" si="11"/>
        <v>#DIV/0!</v>
      </c>
      <c r="F150" s="108" t="e">
        <f t="shared" si="9"/>
        <v>#DIV/0!</v>
      </c>
    </row>
    <row r="151" spans="1:6" x14ac:dyDescent="0.2">
      <c r="A151" s="109">
        <v>140</v>
      </c>
      <c r="B151" s="108" t="e">
        <f t="shared" si="12"/>
        <v>#DIV/0!</v>
      </c>
      <c r="C151" s="108" t="e">
        <f t="shared" si="13"/>
        <v>#DIV/0!</v>
      </c>
      <c r="D151" s="108" t="e">
        <f t="shared" si="10"/>
        <v>#DIV/0!</v>
      </c>
      <c r="E151" s="108" t="e">
        <f t="shared" si="11"/>
        <v>#DIV/0!</v>
      </c>
      <c r="F151" s="108" t="e">
        <f t="shared" si="9"/>
        <v>#DIV/0!</v>
      </c>
    </row>
    <row r="152" spans="1:6" x14ac:dyDescent="0.2">
      <c r="A152" s="109">
        <v>141</v>
      </c>
      <c r="B152" s="108" t="e">
        <f t="shared" si="12"/>
        <v>#DIV/0!</v>
      </c>
      <c r="C152" s="108" t="e">
        <f t="shared" si="13"/>
        <v>#DIV/0!</v>
      </c>
      <c r="D152" s="108" t="e">
        <f t="shared" si="10"/>
        <v>#DIV/0!</v>
      </c>
      <c r="E152" s="108" t="e">
        <f t="shared" si="11"/>
        <v>#DIV/0!</v>
      </c>
      <c r="F152" s="108" t="e">
        <f t="shared" si="9"/>
        <v>#DIV/0!</v>
      </c>
    </row>
    <row r="153" spans="1:6" x14ac:dyDescent="0.2">
      <c r="A153" s="109">
        <v>142</v>
      </c>
      <c r="B153" s="108" t="e">
        <f t="shared" si="12"/>
        <v>#DIV/0!</v>
      </c>
      <c r="C153" s="108" t="e">
        <f t="shared" si="13"/>
        <v>#DIV/0!</v>
      </c>
      <c r="D153" s="108" t="e">
        <f t="shared" si="10"/>
        <v>#DIV/0!</v>
      </c>
      <c r="E153" s="108" t="e">
        <f t="shared" si="11"/>
        <v>#DIV/0!</v>
      </c>
      <c r="F153" s="108" t="e">
        <f t="shared" si="9"/>
        <v>#DIV/0!</v>
      </c>
    </row>
    <row r="154" spans="1:6" x14ac:dyDescent="0.2">
      <c r="A154" s="109">
        <v>143</v>
      </c>
      <c r="B154" s="108" t="e">
        <f t="shared" si="12"/>
        <v>#DIV/0!</v>
      </c>
      <c r="C154" s="108" t="e">
        <f t="shared" si="13"/>
        <v>#DIV/0!</v>
      </c>
      <c r="D154" s="108" t="e">
        <f t="shared" si="10"/>
        <v>#DIV/0!</v>
      </c>
      <c r="E154" s="108" t="e">
        <f t="shared" si="11"/>
        <v>#DIV/0!</v>
      </c>
      <c r="F154" s="108" t="e">
        <f t="shared" si="9"/>
        <v>#DIV/0!</v>
      </c>
    </row>
    <row r="155" spans="1:6" x14ac:dyDescent="0.2">
      <c r="A155" s="109">
        <v>144</v>
      </c>
      <c r="B155" s="108" t="e">
        <f t="shared" si="12"/>
        <v>#DIV/0!</v>
      </c>
      <c r="C155" s="108" t="e">
        <f t="shared" si="13"/>
        <v>#DIV/0!</v>
      </c>
      <c r="D155" s="108" t="e">
        <f t="shared" si="10"/>
        <v>#DIV/0!</v>
      </c>
      <c r="E155" s="108" t="e">
        <f t="shared" si="11"/>
        <v>#DIV/0!</v>
      </c>
      <c r="F155" s="108" t="e">
        <f t="shared" si="9"/>
        <v>#DIV/0!</v>
      </c>
    </row>
    <row r="156" spans="1:6" x14ac:dyDescent="0.2">
      <c r="A156" s="109">
        <v>145</v>
      </c>
      <c r="B156" s="108" t="e">
        <f t="shared" si="12"/>
        <v>#DIV/0!</v>
      </c>
      <c r="C156" s="108" t="e">
        <f t="shared" si="13"/>
        <v>#DIV/0!</v>
      </c>
      <c r="D156" s="108" t="e">
        <f t="shared" si="10"/>
        <v>#DIV/0!</v>
      </c>
      <c r="E156" s="108" t="e">
        <f t="shared" si="11"/>
        <v>#DIV/0!</v>
      </c>
      <c r="F156" s="108" t="e">
        <f t="shared" si="9"/>
        <v>#DIV/0!</v>
      </c>
    </row>
    <row r="157" spans="1:6" x14ac:dyDescent="0.2">
      <c r="A157" s="109">
        <v>146</v>
      </c>
      <c r="B157" s="108" t="e">
        <f t="shared" si="12"/>
        <v>#DIV/0!</v>
      </c>
      <c r="C157" s="108" t="e">
        <f t="shared" si="13"/>
        <v>#DIV/0!</v>
      </c>
      <c r="D157" s="108" t="e">
        <f t="shared" si="10"/>
        <v>#DIV/0!</v>
      </c>
      <c r="E157" s="108" t="e">
        <f t="shared" si="11"/>
        <v>#DIV/0!</v>
      </c>
      <c r="F157" s="108" t="e">
        <f t="shared" si="9"/>
        <v>#DIV/0!</v>
      </c>
    </row>
    <row r="158" spans="1:6" x14ac:dyDescent="0.2">
      <c r="A158" s="109">
        <v>147</v>
      </c>
      <c r="B158" s="108" t="e">
        <f t="shared" si="12"/>
        <v>#DIV/0!</v>
      </c>
      <c r="C158" s="108" t="e">
        <f t="shared" si="13"/>
        <v>#DIV/0!</v>
      </c>
      <c r="D158" s="108" t="e">
        <f t="shared" si="10"/>
        <v>#DIV/0!</v>
      </c>
      <c r="E158" s="108" t="e">
        <f t="shared" si="11"/>
        <v>#DIV/0!</v>
      </c>
      <c r="F158" s="108" t="e">
        <f t="shared" si="9"/>
        <v>#DIV/0!</v>
      </c>
    </row>
    <row r="159" spans="1:6" x14ac:dyDescent="0.2">
      <c r="A159" s="109">
        <v>148</v>
      </c>
      <c r="B159" s="108" t="e">
        <f t="shared" si="12"/>
        <v>#DIV/0!</v>
      </c>
      <c r="C159" s="108" t="e">
        <f t="shared" si="13"/>
        <v>#DIV/0!</v>
      </c>
      <c r="D159" s="108" t="e">
        <f t="shared" si="10"/>
        <v>#DIV/0!</v>
      </c>
      <c r="E159" s="108" t="e">
        <f t="shared" si="11"/>
        <v>#DIV/0!</v>
      </c>
      <c r="F159" s="108" t="e">
        <f t="shared" si="9"/>
        <v>#DIV/0!</v>
      </c>
    </row>
    <row r="160" spans="1:6" x14ac:dyDescent="0.2">
      <c r="A160" s="109">
        <v>149</v>
      </c>
      <c r="B160" s="108" t="e">
        <f t="shared" si="12"/>
        <v>#DIV/0!</v>
      </c>
      <c r="C160" s="108" t="e">
        <f t="shared" si="13"/>
        <v>#DIV/0!</v>
      </c>
      <c r="D160" s="108" t="e">
        <f t="shared" si="10"/>
        <v>#DIV/0!</v>
      </c>
      <c r="E160" s="108" t="e">
        <f t="shared" si="11"/>
        <v>#DIV/0!</v>
      </c>
      <c r="F160" s="108" t="e">
        <f t="shared" si="9"/>
        <v>#DIV/0!</v>
      </c>
    </row>
    <row r="161" spans="1:6" x14ac:dyDescent="0.2">
      <c r="A161" s="109">
        <v>150</v>
      </c>
      <c r="B161" s="108" t="e">
        <f t="shared" si="12"/>
        <v>#DIV/0!</v>
      </c>
      <c r="C161" s="108" t="e">
        <f t="shared" si="13"/>
        <v>#DIV/0!</v>
      </c>
      <c r="D161" s="108" t="e">
        <f t="shared" si="10"/>
        <v>#DIV/0!</v>
      </c>
      <c r="E161" s="108" t="e">
        <f t="shared" si="11"/>
        <v>#DIV/0!</v>
      </c>
      <c r="F161" s="108" t="e">
        <f t="shared" si="9"/>
        <v>#DIV/0!</v>
      </c>
    </row>
    <row r="162" spans="1:6" x14ac:dyDescent="0.2">
      <c r="A162" s="109">
        <v>151</v>
      </c>
      <c r="B162" s="108" t="e">
        <f t="shared" si="12"/>
        <v>#DIV/0!</v>
      </c>
      <c r="C162" s="108" t="e">
        <f t="shared" si="13"/>
        <v>#DIV/0!</v>
      </c>
      <c r="D162" s="108" t="e">
        <f t="shared" si="10"/>
        <v>#DIV/0!</v>
      </c>
      <c r="E162" s="108" t="e">
        <f t="shared" si="11"/>
        <v>#DIV/0!</v>
      </c>
      <c r="F162" s="108" t="e">
        <f t="shared" si="9"/>
        <v>#DIV/0!</v>
      </c>
    </row>
    <row r="163" spans="1:6" x14ac:dyDescent="0.2">
      <c r="A163" s="109">
        <v>152</v>
      </c>
      <c r="B163" s="108" t="e">
        <f t="shared" si="12"/>
        <v>#DIV/0!</v>
      </c>
      <c r="C163" s="108" t="e">
        <f t="shared" si="13"/>
        <v>#DIV/0!</v>
      </c>
      <c r="D163" s="108" t="e">
        <f t="shared" si="10"/>
        <v>#DIV/0!</v>
      </c>
      <c r="E163" s="108" t="e">
        <f t="shared" si="11"/>
        <v>#DIV/0!</v>
      </c>
      <c r="F163" s="108" t="e">
        <f t="shared" si="9"/>
        <v>#DIV/0!</v>
      </c>
    </row>
    <row r="164" spans="1:6" x14ac:dyDescent="0.2">
      <c r="A164" s="109">
        <v>153</v>
      </c>
      <c r="B164" s="108" t="e">
        <f t="shared" si="12"/>
        <v>#DIV/0!</v>
      </c>
      <c r="C164" s="108" t="e">
        <f t="shared" si="13"/>
        <v>#DIV/0!</v>
      </c>
      <c r="D164" s="108" t="e">
        <f t="shared" si="10"/>
        <v>#DIV/0!</v>
      </c>
      <c r="E164" s="108" t="e">
        <f t="shared" si="11"/>
        <v>#DIV/0!</v>
      </c>
      <c r="F164" s="108" t="e">
        <f t="shared" si="9"/>
        <v>#DIV/0!</v>
      </c>
    </row>
    <row r="165" spans="1:6" x14ac:dyDescent="0.2">
      <c r="A165" s="109">
        <v>154</v>
      </c>
      <c r="B165" s="108" t="e">
        <f t="shared" si="12"/>
        <v>#DIV/0!</v>
      </c>
      <c r="C165" s="108" t="e">
        <f t="shared" si="13"/>
        <v>#DIV/0!</v>
      </c>
      <c r="D165" s="108" t="e">
        <f t="shared" si="10"/>
        <v>#DIV/0!</v>
      </c>
      <c r="E165" s="108" t="e">
        <f t="shared" si="11"/>
        <v>#DIV/0!</v>
      </c>
      <c r="F165" s="108" t="e">
        <f t="shared" ref="F165:F228" si="14">E165*0.00025</f>
        <v>#DIV/0!</v>
      </c>
    </row>
    <row r="166" spans="1:6" x14ac:dyDescent="0.2">
      <c r="A166" s="109">
        <v>155</v>
      </c>
      <c r="B166" s="108" t="e">
        <f t="shared" si="12"/>
        <v>#DIV/0!</v>
      </c>
      <c r="C166" s="108" t="e">
        <f t="shared" si="13"/>
        <v>#DIV/0!</v>
      </c>
      <c r="D166" s="108" t="e">
        <f t="shared" si="10"/>
        <v>#DIV/0!</v>
      </c>
      <c r="E166" s="108" t="e">
        <f t="shared" si="11"/>
        <v>#DIV/0!</v>
      </c>
      <c r="F166" s="108" t="e">
        <f t="shared" si="14"/>
        <v>#DIV/0!</v>
      </c>
    </row>
    <row r="167" spans="1:6" x14ac:dyDescent="0.2">
      <c r="A167" s="109">
        <v>156</v>
      </c>
      <c r="B167" s="108" t="e">
        <f t="shared" si="12"/>
        <v>#DIV/0!</v>
      </c>
      <c r="C167" s="108" t="e">
        <f t="shared" si="13"/>
        <v>#DIV/0!</v>
      </c>
      <c r="D167" s="108" t="e">
        <f t="shared" si="10"/>
        <v>#DIV/0!</v>
      </c>
      <c r="E167" s="108" t="e">
        <f t="shared" si="11"/>
        <v>#DIV/0!</v>
      </c>
      <c r="F167" s="108" t="e">
        <f t="shared" si="14"/>
        <v>#DIV/0!</v>
      </c>
    </row>
    <row r="168" spans="1:6" x14ac:dyDescent="0.2">
      <c r="A168" s="109">
        <v>157</v>
      </c>
      <c r="B168" s="108" t="e">
        <f t="shared" si="12"/>
        <v>#DIV/0!</v>
      </c>
      <c r="C168" s="108" t="e">
        <f t="shared" si="13"/>
        <v>#DIV/0!</v>
      </c>
      <c r="D168" s="108" t="e">
        <f t="shared" si="10"/>
        <v>#DIV/0!</v>
      </c>
      <c r="E168" s="108" t="e">
        <f t="shared" si="11"/>
        <v>#DIV/0!</v>
      </c>
      <c r="F168" s="108" t="e">
        <f t="shared" si="14"/>
        <v>#DIV/0!</v>
      </c>
    </row>
    <row r="169" spans="1:6" x14ac:dyDescent="0.2">
      <c r="A169" s="109">
        <v>158</v>
      </c>
      <c r="B169" s="108" t="e">
        <f t="shared" si="12"/>
        <v>#DIV/0!</v>
      </c>
      <c r="C169" s="108" t="e">
        <f t="shared" si="13"/>
        <v>#DIV/0!</v>
      </c>
      <c r="D169" s="108" t="e">
        <f t="shared" si="10"/>
        <v>#DIV/0!</v>
      </c>
      <c r="E169" s="108" t="e">
        <f t="shared" si="11"/>
        <v>#DIV/0!</v>
      </c>
      <c r="F169" s="108" t="e">
        <f t="shared" si="14"/>
        <v>#DIV/0!</v>
      </c>
    </row>
    <row r="170" spans="1:6" x14ac:dyDescent="0.2">
      <c r="A170" s="109">
        <v>159</v>
      </c>
      <c r="B170" s="108" t="e">
        <f t="shared" si="12"/>
        <v>#DIV/0!</v>
      </c>
      <c r="C170" s="108" t="e">
        <f t="shared" si="13"/>
        <v>#DIV/0!</v>
      </c>
      <c r="D170" s="108" t="e">
        <f t="shared" si="10"/>
        <v>#DIV/0!</v>
      </c>
      <c r="E170" s="108" t="e">
        <f t="shared" si="11"/>
        <v>#DIV/0!</v>
      </c>
      <c r="F170" s="108" t="e">
        <f t="shared" si="14"/>
        <v>#DIV/0!</v>
      </c>
    </row>
    <row r="171" spans="1:6" x14ac:dyDescent="0.2">
      <c r="A171" s="109">
        <v>160</v>
      </c>
      <c r="B171" s="108" t="e">
        <f t="shared" si="12"/>
        <v>#DIV/0!</v>
      </c>
      <c r="C171" s="108" t="e">
        <f t="shared" si="13"/>
        <v>#DIV/0!</v>
      </c>
      <c r="D171" s="108" t="e">
        <f t="shared" si="10"/>
        <v>#DIV/0!</v>
      </c>
      <c r="E171" s="108" t="e">
        <f t="shared" si="11"/>
        <v>#DIV/0!</v>
      </c>
      <c r="F171" s="108" t="e">
        <f t="shared" si="14"/>
        <v>#DIV/0!</v>
      </c>
    </row>
    <row r="172" spans="1:6" x14ac:dyDescent="0.2">
      <c r="A172" s="109">
        <v>161</v>
      </c>
      <c r="B172" s="108" t="e">
        <f t="shared" si="12"/>
        <v>#DIV/0!</v>
      </c>
      <c r="C172" s="108" t="e">
        <f t="shared" si="13"/>
        <v>#DIV/0!</v>
      </c>
      <c r="D172" s="108" t="e">
        <f t="shared" si="10"/>
        <v>#DIV/0!</v>
      </c>
      <c r="E172" s="108" t="e">
        <f t="shared" si="11"/>
        <v>#DIV/0!</v>
      </c>
      <c r="F172" s="108" t="e">
        <f t="shared" si="14"/>
        <v>#DIV/0!</v>
      </c>
    </row>
    <row r="173" spans="1:6" x14ac:dyDescent="0.2">
      <c r="A173" s="109">
        <v>162</v>
      </c>
      <c r="B173" s="108" t="e">
        <f t="shared" si="12"/>
        <v>#DIV/0!</v>
      </c>
      <c r="C173" s="108" t="e">
        <f t="shared" si="13"/>
        <v>#DIV/0!</v>
      </c>
      <c r="D173" s="108" t="e">
        <f t="shared" si="10"/>
        <v>#DIV/0!</v>
      </c>
      <c r="E173" s="108" t="e">
        <f t="shared" si="11"/>
        <v>#DIV/0!</v>
      </c>
      <c r="F173" s="108" t="e">
        <f t="shared" si="14"/>
        <v>#DIV/0!</v>
      </c>
    </row>
    <row r="174" spans="1:6" x14ac:dyDescent="0.2">
      <c r="A174" s="109">
        <v>163</v>
      </c>
      <c r="B174" s="108" t="e">
        <f t="shared" si="12"/>
        <v>#DIV/0!</v>
      </c>
      <c r="C174" s="108" t="e">
        <f t="shared" si="13"/>
        <v>#DIV/0!</v>
      </c>
      <c r="D174" s="108" t="e">
        <f t="shared" si="10"/>
        <v>#DIV/0!</v>
      </c>
      <c r="E174" s="108" t="e">
        <f t="shared" si="11"/>
        <v>#DIV/0!</v>
      </c>
      <c r="F174" s="108" t="e">
        <f t="shared" si="14"/>
        <v>#DIV/0!</v>
      </c>
    </row>
    <row r="175" spans="1:6" x14ac:dyDescent="0.2">
      <c r="A175" s="109">
        <v>164</v>
      </c>
      <c r="B175" s="108" t="e">
        <f t="shared" si="12"/>
        <v>#DIV/0!</v>
      </c>
      <c r="C175" s="108" t="e">
        <f t="shared" si="13"/>
        <v>#DIV/0!</v>
      </c>
      <c r="D175" s="108" t="e">
        <f t="shared" si="10"/>
        <v>#DIV/0!</v>
      </c>
      <c r="E175" s="108" t="e">
        <f t="shared" si="11"/>
        <v>#DIV/0!</v>
      </c>
      <c r="F175" s="108" t="e">
        <f t="shared" si="14"/>
        <v>#DIV/0!</v>
      </c>
    </row>
    <row r="176" spans="1:6" x14ac:dyDescent="0.2">
      <c r="A176" s="109">
        <v>165</v>
      </c>
      <c r="B176" s="108" t="e">
        <f t="shared" si="12"/>
        <v>#DIV/0!</v>
      </c>
      <c r="C176" s="108" t="e">
        <f t="shared" si="13"/>
        <v>#DIV/0!</v>
      </c>
      <c r="D176" s="108" t="e">
        <f t="shared" si="10"/>
        <v>#DIV/0!</v>
      </c>
      <c r="E176" s="108" t="e">
        <f t="shared" si="11"/>
        <v>#DIV/0!</v>
      </c>
      <c r="F176" s="108" t="e">
        <f t="shared" si="14"/>
        <v>#DIV/0!</v>
      </c>
    </row>
    <row r="177" spans="1:6" x14ac:dyDescent="0.2">
      <c r="A177" s="109">
        <v>166</v>
      </c>
      <c r="B177" s="108" t="e">
        <f t="shared" si="12"/>
        <v>#DIV/0!</v>
      </c>
      <c r="C177" s="108" t="e">
        <f t="shared" si="13"/>
        <v>#DIV/0!</v>
      </c>
      <c r="D177" s="108" t="e">
        <f t="shared" si="10"/>
        <v>#DIV/0!</v>
      </c>
      <c r="E177" s="108" t="e">
        <f t="shared" si="11"/>
        <v>#DIV/0!</v>
      </c>
      <c r="F177" s="108" t="e">
        <f t="shared" si="14"/>
        <v>#DIV/0!</v>
      </c>
    </row>
    <row r="178" spans="1:6" x14ac:dyDescent="0.2">
      <c r="A178" s="109">
        <v>167</v>
      </c>
      <c r="B178" s="108" t="e">
        <f t="shared" si="12"/>
        <v>#DIV/0!</v>
      </c>
      <c r="C178" s="108" t="e">
        <f t="shared" si="13"/>
        <v>#DIV/0!</v>
      </c>
      <c r="D178" s="108" t="e">
        <f t="shared" si="10"/>
        <v>#DIV/0!</v>
      </c>
      <c r="E178" s="108" t="e">
        <f t="shared" si="11"/>
        <v>#DIV/0!</v>
      </c>
      <c r="F178" s="108" t="e">
        <f t="shared" si="14"/>
        <v>#DIV/0!</v>
      </c>
    </row>
    <row r="179" spans="1:6" x14ac:dyDescent="0.2">
      <c r="A179" s="109">
        <v>168</v>
      </c>
      <c r="B179" s="108" t="e">
        <f t="shared" si="12"/>
        <v>#DIV/0!</v>
      </c>
      <c r="C179" s="108" t="e">
        <f t="shared" si="13"/>
        <v>#DIV/0!</v>
      </c>
      <c r="D179" s="108" t="e">
        <f t="shared" si="10"/>
        <v>#DIV/0!</v>
      </c>
      <c r="E179" s="108" t="e">
        <f t="shared" si="11"/>
        <v>#DIV/0!</v>
      </c>
      <c r="F179" s="108" t="e">
        <f t="shared" si="14"/>
        <v>#DIV/0!</v>
      </c>
    </row>
    <row r="180" spans="1:6" x14ac:dyDescent="0.2">
      <c r="A180" s="109">
        <v>169</v>
      </c>
      <c r="B180" s="108" t="e">
        <f t="shared" si="12"/>
        <v>#DIV/0!</v>
      </c>
      <c r="C180" s="108" t="e">
        <f t="shared" si="13"/>
        <v>#DIV/0!</v>
      </c>
      <c r="D180" s="108" t="e">
        <f t="shared" si="10"/>
        <v>#DIV/0!</v>
      </c>
      <c r="E180" s="108" t="e">
        <f t="shared" si="11"/>
        <v>#DIV/0!</v>
      </c>
      <c r="F180" s="108" t="e">
        <f t="shared" si="14"/>
        <v>#DIV/0!</v>
      </c>
    </row>
    <row r="181" spans="1:6" x14ac:dyDescent="0.2">
      <c r="A181" s="109">
        <v>170</v>
      </c>
      <c r="B181" s="108" t="e">
        <f t="shared" si="12"/>
        <v>#DIV/0!</v>
      </c>
      <c r="C181" s="108" t="e">
        <f t="shared" si="13"/>
        <v>#DIV/0!</v>
      </c>
      <c r="D181" s="108" t="e">
        <f t="shared" si="10"/>
        <v>#DIV/0!</v>
      </c>
      <c r="E181" s="108" t="e">
        <f t="shared" si="11"/>
        <v>#DIV/0!</v>
      </c>
      <c r="F181" s="108" t="e">
        <f t="shared" si="14"/>
        <v>#DIV/0!</v>
      </c>
    </row>
    <row r="182" spans="1:6" x14ac:dyDescent="0.2">
      <c r="A182" s="109">
        <v>171</v>
      </c>
      <c r="B182" s="108" t="e">
        <f t="shared" si="12"/>
        <v>#DIV/0!</v>
      </c>
      <c r="C182" s="108" t="e">
        <f t="shared" si="13"/>
        <v>#DIV/0!</v>
      </c>
      <c r="D182" s="108" t="e">
        <f t="shared" si="10"/>
        <v>#DIV/0!</v>
      </c>
      <c r="E182" s="108" t="e">
        <f t="shared" si="11"/>
        <v>#DIV/0!</v>
      </c>
      <c r="F182" s="108" t="e">
        <f t="shared" si="14"/>
        <v>#DIV/0!</v>
      </c>
    </row>
    <row r="183" spans="1:6" x14ac:dyDescent="0.2">
      <c r="A183" s="109">
        <v>172</v>
      </c>
      <c r="B183" s="108" t="e">
        <f t="shared" si="12"/>
        <v>#DIV/0!</v>
      </c>
      <c r="C183" s="108" t="e">
        <f t="shared" si="13"/>
        <v>#DIV/0!</v>
      </c>
      <c r="D183" s="108" t="e">
        <f t="shared" si="10"/>
        <v>#DIV/0!</v>
      </c>
      <c r="E183" s="108" t="e">
        <f t="shared" si="11"/>
        <v>#DIV/0!</v>
      </c>
      <c r="F183" s="108" t="e">
        <f t="shared" si="14"/>
        <v>#DIV/0!</v>
      </c>
    </row>
    <row r="184" spans="1:6" x14ac:dyDescent="0.2">
      <c r="A184" s="109">
        <v>173</v>
      </c>
      <c r="B184" s="108" t="e">
        <f t="shared" si="12"/>
        <v>#DIV/0!</v>
      </c>
      <c r="C184" s="108" t="e">
        <f t="shared" si="13"/>
        <v>#DIV/0!</v>
      </c>
      <c r="D184" s="108" t="e">
        <f t="shared" si="10"/>
        <v>#DIV/0!</v>
      </c>
      <c r="E184" s="108" t="e">
        <f t="shared" si="11"/>
        <v>#DIV/0!</v>
      </c>
      <c r="F184" s="108" t="e">
        <f t="shared" si="14"/>
        <v>#DIV/0!</v>
      </c>
    </row>
    <row r="185" spans="1:6" x14ac:dyDescent="0.2">
      <c r="A185" s="109">
        <v>174</v>
      </c>
      <c r="B185" s="108" t="e">
        <f t="shared" si="12"/>
        <v>#DIV/0!</v>
      </c>
      <c r="C185" s="108" t="e">
        <f t="shared" si="13"/>
        <v>#DIV/0!</v>
      </c>
      <c r="D185" s="108" t="e">
        <f t="shared" si="10"/>
        <v>#DIV/0!</v>
      </c>
      <c r="E185" s="108" t="e">
        <f t="shared" si="11"/>
        <v>#DIV/0!</v>
      </c>
      <c r="F185" s="108" t="e">
        <f t="shared" si="14"/>
        <v>#DIV/0!</v>
      </c>
    </row>
    <row r="186" spans="1:6" x14ac:dyDescent="0.2">
      <c r="A186" s="109">
        <v>175</v>
      </c>
      <c r="B186" s="108" t="e">
        <f t="shared" si="12"/>
        <v>#DIV/0!</v>
      </c>
      <c r="C186" s="108" t="e">
        <f t="shared" si="13"/>
        <v>#DIV/0!</v>
      </c>
      <c r="D186" s="108" t="e">
        <f t="shared" si="10"/>
        <v>#DIV/0!</v>
      </c>
      <c r="E186" s="108" t="e">
        <f t="shared" si="11"/>
        <v>#DIV/0!</v>
      </c>
      <c r="F186" s="108" t="e">
        <f t="shared" si="14"/>
        <v>#DIV/0!</v>
      </c>
    </row>
    <row r="187" spans="1:6" x14ac:dyDescent="0.2">
      <c r="A187" s="109">
        <v>176</v>
      </c>
      <c r="B187" s="108" t="e">
        <f t="shared" si="12"/>
        <v>#DIV/0!</v>
      </c>
      <c r="C187" s="108" t="e">
        <f t="shared" si="13"/>
        <v>#DIV/0!</v>
      </c>
      <c r="D187" s="108" t="e">
        <f t="shared" si="10"/>
        <v>#DIV/0!</v>
      </c>
      <c r="E187" s="108" t="e">
        <f t="shared" si="11"/>
        <v>#DIV/0!</v>
      </c>
      <c r="F187" s="108" t="e">
        <f t="shared" si="14"/>
        <v>#DIV/0!</v>
      </c>
    </row>
    <row r="188" spans="1:6" x14ac:dyDescent="0.2">
      <c r="A188" s="109">
        <v>177</v>
      </c>
      <c r="B188" s="108" t="e">
        <f t="shared" si="12"/>
        <v>#DIV/0!</v>
      </c>
      <c r="C188" s="108" t="e">
        <f t="shared" si="13"/>
        <v>#DIV/0!</v>
      </c>
      <c r="D188" s="108" t="e">
        <f t="shared" si="10"/>
        <v>#DIV/0!</v>
      </c>
      <c r="E188" s="108" t="e">
        <f t="shared" si="11"/>
        <v>#DIV/0!</v>
      </c>
      <c r="F188" s="108" t="e">
        <f t="shared" si="14"/>
        <v>#DIV/0!</v>
      </c>
    </row>
    <row r="189" spans="1:6" x14ac:dyDescent="0.2">
      <c r="A189" s="109">
        <v>178</v>
      </c>
      <c r="B189" s="108" t="e">
        <f t="shared" si="12"/>
        <v>#DIV/0!</v>
      </c>
      <c r="C189" s="108" t="e">
        <f t="shared" si="13"/>
        <v>#DIV/0!</v>
      </c>
      <c r="D189" s="108" t="e">
        <f t="shared" si="10"/>
        <v>#DIV/0!</v>
      </c>
      <c r="E189" s="108" t="e">
        <f t="shared" si="11"/>
        <v>#DIV/0!</v>
      </c>
      <c r="F189" s="108" t="e">
        <f t="shared" si="14"/>
        <v>#DIV/0!</v>
      </c>
    </row>
    <row r="190" spans="1:6" x14ac:dyDescent="0.2">
      <c r="A190" s="109">
        <v>179</v>
      </c>
      <c r="B190" s="108" t="e">
        <f t="shared" si="12"/>
        <v>#DIV/0!</v>
      </c>
      <c r="C190" s="108" t="e">
        <f t="shared" si="13"/>
        <v>#DIV/0!</v>
      </c>
      <c r="D190" s="108" t="e">
        <f t="shared" si="10"/>
        <v>#DIV/0!</v>
      </c>
      <c r="E190" s="108" t="e">
        <f t="shared" si="11"/>
        <v>#DIV/0!</v>
      </c>
      <c r="F190" s="108" t="e">
        <f t="shared" si="14"/>
        <v>#DIV/0!</v>
      </c>
    </row>
    <row r="191" spans="1:6" x14ac:dyDescent="0.2">
      <c r="A191" s="109">
        <v>180</v>
      </c>
      <c r="B191" s="108" t="e">
        <f t="shared" si="12"/>
        <v>#DIV/0!</v>
      </c>
      <c r="C191" s="108" t="e">
        <f t="shared" si="13"/>
        <v>#DIV/0!</v>
      </c>
      <c r="D191" s="108" t="e">
        <f t="shared" si="10"/>
        <v>#DIV/0!</v>
      </c>
      <c r="E191" s="108" t="e">
        <f t="shared" si="11"/>
        <v>#DIV/0!</v>
      </c>
      <c r="F191" s="108" t="e">
        <f t="shared" si="14"/>
        <v>#DIV/0!</v>
      </c>
    </row>
    <row r="192" spans="1:6" x14ac:dyDescent="0.2">
      <c r="A192" s="109">
        <v>181</v>
      </c>
      <c r="B192" s="108" t="e">
        <f t="shared" si="12"/>
        <v>#DIV/0!</v>
      </c>
      <c r="C192" s="108" t="e">
        <f t="shared" si="13"/>
        <v>#DIV/0!</v>
      </c>
      <c r="D192" s="108" t="e">
        <f t="shared" si="10"/>
        <v>#DIV/0!</v>
      </c>
      <c r="E192" s="108" t="e">
        <f t="shared" si="11"/>
        <v>#DIV/0!</v>
      </c>
      <c r="F192" s="108" t="e">
        <f t="shared" si="14"/>
        <v>#DIV/0!</v>
      </c>
    </row>
    <row r="193" spans="1:6" x14ac:dyDescent="0.2">
      <c r="A193" s="109">
        <v>182</v>
      </c>
      <c r="B193" s="108" t="e">
        <f t="shared" si="12"/>
        <v>#DIV/0!</v>
      </c>
      <c r="C193" s="108" t="e">
        <f t="shared" si="13"/>
        <v>#DIV/0!</v>
      </c>
      <c r="D193" s="108" t="e">
        <f t="shared" si="10"/>
        <v>#DIV/0!</v>
      </c>
      <c r="E193" s="108" t="e">
        <f t="shared" si="11"/>
        <v>#DIV/0!</v>
      </c>
      <c r="F193" s="108" t="e">
        <f t="shared" si="14"/>
        <v>#DIV/0!</v>
      </c>
    </row>
    <row r="194" spans="1:6" x14ac:dyDescent="0.2">
      <c r="A194" s="109">
        <v>183</v>
      </c>
      <c r="B194" s="108" t="e">
        <f t="shared" si="12"/>
        <v>#DIV/0!</v>
      </c>
      <c r="C194" s="108" t="e">
        <f t="shared" si="13"/>
        <v>#DIV/0!</v>
      </c>
      <c r="D194" s="108" t="e">
        <f t="shared" si="10"/>
        <v>#DIV/0!</v>
      </c>
      <c r="E194" s="108" t="e">
        <f t="shared" si="11"/>
        <v>#DIV/0!</v>
      </c>
      <c r="F194" s="108" t="e">
        <f t="shared" si="14"/>
        <v>#DIV/0!</v>
      </c>
    </row>
    <row r="195" spans="1:6" x14ac:dyDescent="0.2">
      <c r="A195" s="109">
        <v>184</v>
      </c>
      <c r="B195" s="108" t="e">
        <f t="shared" si="12"/>
        <v>#DIV/0!</v>
      </c>
      <c r="C195" s="108" t="e">
        <f t="shared" si="13"/>
        <v>#DIV/0!</v>
      </c>
      <c r="D195" s="108" t="e">
        <f t="shared" si="10"/>
        <v>#DIV/0!</v>
      </c>
      <c r="E195" s="108" t="e">
        <f t="shared" si="11"/>
        <v>#DIV/0!</v>
      </c>
      <c r="F195" s="108" t="e">
        <f t="shared" si="14"/>
        <v>#DIV/0!</v>
      </c>
    </row>
    <row r="196" spans="1:6" x14ac:dyDescent="0.2">
      <c r="A196" s="109">
        <v>185</v>
      </c>
      <c r="B196" s="108" t="e">
        <f t="shared" si="12"/>
        <v>#DIV/0!</v>
      </c>
      <c r="C196" s="108" t="e">
        <f t="shared" si="13"/>
        <v>#DIV/0!</v>
      </c>
      <c r="D196" s="108" t="e">
        <f t="shared" si="10"/>
        <v>#DIV/0!</v>
      </c>
      <c r="E196" s="108" t="e">
        <f t="shared" si="11"/>
        <v>#DIV/0!</v>
      </c>
      <c r="F196" s="108" t="e">
        <f t="shared" si="14"/>
        <v>#DIV/0!</v>
      </c>
    </row>
    <row r="197" spans="1:6" x14ac:dyDescent="0.2">
      <c r="A197" s="109">
        <v>186</v>
      </c>
      <c r="B197" s="108" t="e">
        <f t="shared" si="12"/>
        <v>#DIV/0!</v>
      </c>
      <c r="C197" s="108" t="e">
        <f t="shared" si="13"/>
        <v>#DIV/0!</v>
      </c>
      <c r="D197" s="108" t="e">
        <f t="shared" si="10"/>
        <v>#DIV/0!</v>
      </c>
      <c r="E197" s="108" t="e">
        <f t="shared" si="11"/>
        <v>#DIV/0!</v>
      </c>
      <c r="F197" s="108" t="e">
        <f t="shared" si="14"/>
        <v>#DIV/0!</v>
      </c>
    </row>
    <row r="198" spans="1:6" x14ac:dyDescent="0.2">
      <c r="A198" s="109">
        <v>187</v>
      </c>
      <c r="B198" s="108" t="e">
        <f t="shared" si="12"/>
        <v>#DIV/0!</v>
      </c>
      <c r="C198" s="108" t="e">
        <f t="shared" si="13"/>
        <v>#DIV/0!</v>
      </c>
      <c r="D198" s="108" t="e">
        <f t="shared" si="10"/>
        <v>#DIV/0!</v>
      </c>
      <c r="E198" s="108" t="e">
        <f t="shared" si="11"/>
        <v>#DIV/0!</v>
      </c>
      <c r="F198" s="108" t="e">
        <f t="shared" si="14"/>
        <v>#DIV/0!</v>
      </c>
    </row>
    <row r="199" spans="1:6" x14ac:dyDescent="0.2">
      <c r="A199" s="109">
        <v>188</v>
      </c>
      <c r="B199" s="108" t="e">
        <f t="shared" si="12"/>
        <v>#DIV/0!</v>
      </c>
      <c r="C199" s="108" t="e">
        <f t="shared" si="13"/>
        <v>#DIV/0!</v>
      </c>
      <c r="D199" s="108" t="e">
        <f t="shared" si="10"/>
        <v>#DIV/0!</v>
      </c>
      <c r="E199" s="108" t="e">
        <f t="shared" si="11"/>
        <v>#DIV/0!</v>
      </c>
      <c r="F199" s="108" t="e">
        <f t="shared" si="14"/>
        <v>#DIV/0!</v>
      </c>
    </row>
    <row r="200" spans="1:6" x14ac:dyDescent="0.2">
      <c r="A200" s="109">
        <v>189</v>
      </c>
      <c r="B200" s="108" t="e">
        <f t="shared" si="12"/>
        <v>#DIV/0!</v>
      </c>
      <c r="C200" s="108" t="e">
        <f t="shared" si="13"/>
        <v>#DIV/0!</v>
      </c>
      <c r="D200" s="108" t="e">
        <f t="shared" si="10"/>
        <v>#DIV/0!</v>
      </c>
      <c r="E200" s="108" t="e">
        <f t="shared" si="11"/>
        <v>#DIV/0!</v>
      </c>
      <c r="F200" s="108" t="e">
        <f t="shared" si="14"/>
        <v>#DIV/0!</v>
      </c>
    </row>
    <row r="201" spans="1:6" x14ac:dyDescent="0.2">
      <c r="A201" s="109">
        <v>190</v>
      </c>
      <c r="B201" s="108" t="e">
        <f t="shared" si="12"/>
        <v>#DIV/0!</v>
      </c>
      <c r="C201" s="108" t="e">
        <f t="shared" si="13"/>
        <v>#DIV/0!</v>
      </c>
      <c r="D201" s="108" t="e">
        <f t="shared" si="10"/>
        <v>#DIV/0!</v>
      </c>
      <c r="E201" s="108" t="e">
        <f t="shared" si="11"/>
        <v>#DIV/0!</v>
      </c>
      <c r="F201" s="108" t="e">
        <f t="shared" si="14"/>
        <v>#DIV/0!</v>
      </c>
    </row>
    <row r="202" spans="1:6" x14ac:dyDescent="0.2">
      <c r="A202" s="109">
        <v>191</v>
      </c>
      <c r="B202" s="108" t="e">
        <f t="shared" si="12"/>
        <v>#DIV/0!</v>
      </c>
      <c r="C202" s="108" t="e">
        <f t="shared" si="13"/>
        <v>#DIV/0!</v>
      </c>
      <c r="D202" s="108" t="e">
        <f t="shared" si="10"/>
        <v>#DIV/0!</v>
      </c>
      <c r="E202" s="108" t="e">
        <f t="shared" si="11"/>
        <v>#DIV/0!</v>
      </c>
      <c r="F202" s="108" t="e">
        <f t="shared" si="14"/>
        <v>#DIV/0!</v>
      </c>
    </row>
    <row r="203" spans="1:6" x14ac:dyDescent="0.2">
      <c r="A203" s="109">
        <v>192</v>
      </c>
      <c r="B203" s="108" t="e">
        <f t="shared" si="12"/>
        <v>#DIV/0!</v>
      </c>
      <c r="C203" s="108" t="e">
        <f t="shared" si="13"/>
        <v>#DIV/0!</v>
      </c>
      <c r="D203" s="108" t="e">
        <f t="shared" si="10"/>
        <v>#DIV/0!</v>
      </c>
      <c r="E203" s="108" t="e">
        <f t="shared" si="11"/>
        <v>#DIV/0!</v>
      </c>
      <c r="F203" s="108" t="e">
        <f t="shared" si="14"/>
        <v>#DIV/0!</v>
      </c>
    </row>
    <row r="204" spans="1:6" x14ac:dyDescent="0.2">
      <c r="A204" s="109">
        <v>193</v>
      </c>
      <c r="B204" s="108" t="e">
        <f t="shared" si="12"/>
        <v>#DIV/0!</v>
      </c>
      <c r="C204" s="108" t="e">
        <f t="shared" si="13"/>
        <v>#DIV/0!</v>
      </c>
      <c r="D204" s="108" t="e">
        <f t="shared" ref="D204:D267" si="15">SUM(B204+C204)</f>
        <v>#DIV/0!</v>
      </c>
      <c r="E204" s="108" t="e">
        <f t="shared" ref="E204:E267" si="16">SUM(E203-B204)</f>
        <v>#DIV/0!</v>
      </c>
      <c r="F204" s="108" t="e">
        <f t="shared" si="14"/>
        <v>#DIV/0!</v>
      </c>
    </row>
    <row r="205" spans="1:6" x14ac:dyDescent="0.2">
      <c r="A205" s="109">
        <v>194</v>
      </c>
      <c r="B205" s="108" t="e">
        <f t="shared" ref="B205:B268" si="17">SUM($B$3/$B$5)</f>
        <v>#DIV/0!</v>
      </c>
      <c r="C205" s="108" t="e">
        <f t="shared" ref="C205:C268" si="18">SUM(E204*($B$4*(1/12)))</f>
        <v>#DIV/0!</v>
      </c>
      <c r="D205" s="108" t="e">
        <f t="shared" si="15"/>
        <v>#DIV/0!</v>
      </c>
      <c r="E205" s="108" t="e">
        <f t="shared" si="16"/>
        <v>#DIV/0!</v>
      </c>
      <c r="F205" s="108" t="e">
        <f t="shared" si="14"/>
        <v>#DIV/0!</v>
      </c>
    </row>
    <row r="206" spans="1:6" x14ac:dyDescent="0.2">
      <c r="A206" s="109">
        <v>195</v>
      </c>
      <c r="B206" s="108" t="e">
        <f t="shared" si="17"/>
        <v>#DIV/0!</v>
      </c>
      <c r="C206" s="108" t="e">
        <f t="shared" si="18"/>
        <v>#DIV/0!</v>
      </c>
      <c r="D206" s="108" t="e">
        <f t="shared" si="15"/>
        <v>#DIV/0!</v>
      </c>
      <c r="E206" s="108" t="e">
        <f t="shared" si="16"/>
        <v>#DIV/0!</v>
      </c>
      <c r="F206" s="108" t="e">
        <f t="shared" si="14"/>
        <v>#DIV/0!</v>
      </c>
    </row>
    <row r="207" spans="1:6" x14ac:dyDescent="0.2">
      <c r="A207" s="109">
        <v>196</v>
      </c>
      <c r="B207" s="108" t="e">
        <f t="shared" si="17"/>
        <v>#DIV/0!</v>
      </c>
      <c r="C207" s="108" t="e">
        <f t="shared" si="18"/>
        <v>#DIV/0!</v>
      </c>
      <c r="D207" s="108" t="e">
        <f t="shared" si="15"/>
        <v>#DIV/0!</v>
      </c>
      <c r="E207" s="108" t="e">
        <f t="shared" si="16"/>
        <v>#DIV/0!</v>
      </c>
      <c r="F207" s="108" t="e">
        <f t="shared" si="14"/>
        <v>#DIV/0!</v>
      </c>
    </row>
    <row r="208" spans="1:6" x14ac:dyDescent="0.2">
      <c r="A208" s="109">
        <v>197</v>
      </c>
      <c r="B208" s="108" t="e">
        <f t="shared" si="17"/>
        <v>#DIV/0!</v>
      </c>
      <c r="C208" s="108" t="e">
        <f t="shared" si="18"/>
        <v>#DIV/0!</v>
      </c>
      <c r="D208" s="108" t="e">
        <f t="shared" si="15"/>
        <v>#DIV/0!</v>
      </c>
      <c r="E208" s="108" t="e">
        <f t="shared" si="16"/>
        <v>#DIV/0!</v>
      </c>
      <c r="F208" s="108" t="e">
        <f t="shared" si="14"/>
        <v>#DIV/0!</v>
      </c>
    </row>
    <row r="209" spans="1:6" x14ac:dyDescent="0.2">
      <c r="A209" s="109">
        <v>198</v>
      </c>
      <c r="B209" s="108" t="e">
        <f t="shared" si="17"/>
        <v>#DIV/0!</v>
      </c>
      <c r="C209" s="108" t="e">
        <f t="shared" si="18"/>
        <v>#DIV/0!</v>
      </c>
      <c r="D209" s="108" t="e">
        <f t="shared" si="15"/>
        <v>#DIV/0!</v>
      </c>
      <c r="E209" s="108" t="e">
        <f t="shared" si="16"/>
        <v>#DIV/0!</v>
      </c>
      <c r="F209" s="108" t="e">
        <f t="shared" si="14"/>
        <v>#DIV/0!</v>
      </c>
    </row>
    <row r="210" spans="1:6" x14ac:dyDescent="0.2">
      <c r="A210" s="109">
        <v>199</v>
      </c>
      <c r="B210" s="108" t="e">
        <f t="shared" si="17"/>
        <v>#DIV/0!</v>
      </c>
      <c r="C210" s="108" t="e">
        <f t="shared" si="18"/>
        <v>#DIV/0!</v>
      </c>
      <c r="D210" s="108" t="e">
        <f t="shared" si="15"/>
        <v>#DIV/0!</v>
      </c>
      <c r="E210" s="108" t="e">
        <f t="shared" si="16"/>
        <v>#DIV/0!</v>
      </c>
      <c r="F210" s="108" t="e">
        <f t="shared" si="14"/>
        <v>#DIV/0!</v>
      </c>
    </row>
    <row r="211" spans="1:6" x14ac:dyDescent="0.2">
      <c r="A211" s="109">
        <v>200</v>
      </c>
      <c r="B211" s="108" t="e">
        <f t="shared" si="17"/>
        <v>#DIV/0!</v>
      </c>
      <c r="C211" s="108" t="e">
        <f t="shared" si="18"/>
        <v>#DIV/0!</v>
      </c>
      <c r="D211" s="108" t="e">
        <f t="shared" si="15"/>
        <v>#DIV/0!</v>
      </c>
      <c r="E211" s="108" t="e">
        <f t="shared" si="16"/>
        <v>#DIV/0!</v>
      </c>
      <c r="F211" s="108" t="e">
        <f t="shared" si="14"/>
        <v>#DIV/0!</v>
      </c>
    </row>
    <row r="212" spans="1:6" x14ac:dyDescent="0.2">
      <c r="A212" s="109">
        <v>201</v>
      </c>
      <c r="B212" s="108" t="e">
        <f t="shared" si="17"/>
        <v>#DIV/0!</v>
      </c>
      <c r="C212" s="108" t="e">
        <f t="shared" si="18"/>
        <v>#DIV/0!</v>
      </c>
      <c r="D212" s="108" t="e">
        <f t="shared" si="15"/>
        <v>#DIV/0!</v>
      </c>
      <c r="E212" s="108" t="e">
        <f t="shared" si="16"/>
        <v>#DIV/0!</v>
      </c>
      <c r="F212" s="108" t="e">
        <f t="shared" si="14"/>
        <v>#DIV/0!</v>
      </c>
    </row>
    <row r="213" spans="1:6" x14ac:dyDescent="0.2">
      <c r="A213" s="109">
        <v>202</v>
      </c>
      <c r="B213" s="108" t="e">
        <f t="shared" si="17"/>
        <v>#DIV/0!</v>
      </c>
      <c r="C213" s="108" t="e">
        <f t="shared" si="18"/>
        <v>#DIV/0!</v>
      </c>
      <c r="D213" s="108" t="e">
        <f t="shared" si="15"/>
        <v>#DIV/0!</v>
      </c>
      <c r="E213" s="108" t="e">
        <f t="shared" si="16"/>
        <v>#DIV/0!</v>
      </c>
      <c r="F213" s="108" t="e">
        <f t="shared" si="14"/>
        <v>#DIV/0!</v>
      </c>
    </row>
    <row r="214" spans="1:6" x14ac:dyDescent="0.2">
      <c r="A214" s="109">
        <v>203</v>
      </c>
      <c r="B214" s="108" t="e">
        <f t="shared" si="17"/>
        <v>#DIV/0!</v>
      </c>
      <c r="C214" s="108" t="e">
        <f t="shared" si="18"/>
        <v>#DIV/0!</v>
      </c>
      <c r="D214" s="108" t="e">
        <f t="shared" si="15"/>
        <v>#DIV/0!</v>
      </c>
      <c r="E214" s="108" t="e">
        <f t="shared" si="16"/>
        <v>#DIV/0!</v>
      </c>
      <c r="F214" s="108" t="e">
        <f t="shared" si="14"/>
        <v>#DIV/0!</v>
      </c>
    </row>
    <row r="215" spans="1:6" x14ac:dyDescent="0.2">
      <c r="A215" s="109">
        <v>204</v>
      </c>
      <c r="B215" s="108" t="e">
        <f t="shared" si="17"/>
        <v>#DIV/0!</v>
      </c>
      <c r="C215" s="108" t="e">
        <f t="shared" si="18"/>
        <v>#DIV/0!</v>
      </c>
      <c r="D215" s="108" t="e">
        <f t="shared" si="15"/>
        <v>#DIV/0!</v>
      </c>
      <c r="E215" s="108" t="e">
        <f t="shared" si="16"/>
        <v>#DIV/0!</v>
      </c>
      <c r="F215" s="108" t="e">
        <f t="shared" si="14"/>
        <v>#DIV/0!</v>
      </c>
    </row>
    <row r="216" spans="1:6" x14ac:dyDescent="0.2">
      <c r="A216" s="109">
        <v>205</v>
      </c>
      <c r="B216" s="108" t="e">
        <f t="shared" si="17"/>
        <v>#DIV/0!</v>
      </c>
      <c r="C216" s="108" t="e">
        <f t="shared" si="18"/>
        <v>#DIV/0!</v>
      </c>
      <c r="D216" s="108" t="e">
        <f t="shared" si="15"/>
        <v>#DIV/0!</v>
      </c>
      <c r="E216" s="108" t="e">
        <f t="shared" si="16"/>
        <v>#DIV/0!</v>
      </c>
      <c r="F216" s="108" t="e">
        <f t="shared" si="14"/>
        <v>#DIV/0!</v>
      </c>
    </row>
    <row r="217" spans="1:6" x14ac:dyDescent="0.2">
      <c r="A217" s="109">
        <v>206</v>
      </c>
      <c r="B217" s="108" t="e">
        <f t="shared" si="17"/>
        <v>#DIV/0!</v>
      </c>
      <c r="C217" s="108" t="e">
        <f t="shared" si="18"/>
        <v>#DIV/0!</v>
      </c>
      <c r="D217" s="108" t="e">
        <f t="shared" si="15"/>
        <v>#DIV/0!</v>
      </c>
      <c r="E217" s="108" t="e">
        <f t="shared" si="16"/>
        <v>#DIV/0!</v>
      </c>
      <c r="F217" s="108" t="e">
        <f t="shared" si="14"/>
        <v>#DIV/0!</v>
      </c>
    </row>
    <row r="218" spans="1:6" x14ac:dyDescent="0.2">
      <c r="A218" s="109">
        <v>207</v>
      </c>
      <c r="B218" s="108" t="e">
        <f t="shared" si="17"/>
        <v>#DIV/0!</v>
      </c>
      <c r="C218" s="108" t="e">
        <f t="shared" si="18"/>
        <v>#DIV/0!</v>
      </c>
      <c r="D218" s="108" t="e">
        <f t="shared" si="15"/>
        <v>#DIV/0!</v>
      </c>
      <c r="E218" s="108" t="e">
        <f t="shared" si="16"/>
        <v>#DIV/0!</v>
      </c>
      <c r="F218" s="108" t="e">
        <f t="shared" si="14"/>
        <v>#DIV/0!</v>
      </c>
    </row>
    <row r="219" spans="1:6" x14ac:dyDescent="0.2">
      <c r="A219" s="109">
        <v>208</v>
      </c>
      <c r="B219" s="108" t="e">
        <f t="shared" si="17"/>
        <v>#DIV/0!</v>
      </c>
      <c r="C219" s="108" t="e">
        <f t="shared" si="18"/>
        <v>#DIV/0!</v>
      </c>
      <c r="D219" s="108" t="e">
        <f t="shared" si="15"/>
        <v>#DIV/0!</v>
      </c>
      <c r="E219" s="108" t="e">
        <f t="shared" si="16"/>
        <v>#DIV/0!</v>
      </c>
      <c r="F219" s="108" t="e">
        <f t="shared" si="14"/>
        <v>#DIV/0!</v>
      </c>
    </row>
    <row r="220" spans="1:6" x14ac:dyDescent="0.2">
      <c r="A220" s="109">
        <v>209</v>
      </c>
      <c r="B220" s="108" t="e">
        <f t="shared" si="17"/>
        <v>#DIV/0!</v>
      </c>
      <c r="C220" s="108" t="e">
        <f t="shared" si="18"/>
        <v>#DIV/0!</v>
      </c>
      <c r="D220" s="108" t="e">
        <f t="shared" si="15"/>
        <v>#DIV/0!</v>
      </c>
      <c r="E220" s="108" t="e">
        <f t="shared" si="16"/>
        <v>#DIV/0!</v>
      </c>
      <c r="F220" s="108" t="e">
        <f t="shared" si="14"/>
        <v>#DIV/0!</v>
      </c>
    </row>
    <row r="221" spans="1:6" x14ac:dyDescent="0.2">
      <c r="A221" s="109">
        <v>210</v>
      </c>
      <c r="B221" s="108" t="e">
        <f t="shared" si="17"/>
        <v>#DIV/0!</v>
      </c>
      <c r="C221" s="108" t="e">
        <f t="shared" si="18"/>
        <v>#DIV/0!</v>
      </c>
      <c r="D221" s="108" t="e">
        <f t="shared" si="15"/>
        <v>#DIV/0!</v>
      </c>
      <c r="E221" s="108" t="e">
        <f t="shared" si="16"/>
        <v>#DIV/0!</v>
      </c>
      <c r="F221" s="108" t="e">
        <f t="shared" si="14"/>
        <v>#DIV/0!</v>
      </c>
    </row>
    <row r="222" spans="1:6" x14ac:dyDescent="0.2">
      <c r="A222" s="109">
        <v>211</v>
      </c>
      <c r="B222" s="108" t="e">
        <f t="shared" si="17"/>
        <v>#DIV/0!</v>
      </c>
      <c r="C222" s="108" t="e">
        <f t="shared" si="18"/>
        <v>#DIV/0!</v>
      </c>
      <c r="D222" s="108" t="e">
        <f t="shared" si="15"/>
        <v>#DIV/0!</v>
      </c>
      <c r="E222" s="108" t="e">
        <f t="shared" si="16"/>
        <v>#DIV/0!</v>
      </c>
      <c r="F222" s="108" t="e">
        <f t="shared" si="14"/>
        <v>#DIV/0!</v>
      </c>
    </row>
    <row r="223" spans="1:6" x14ac:dyDescent="0.2">
      <c r="A223" s="109">
        <v>212</v>
      </c>
      <c r="B223" s="108" t="e">
        <f t="shared" si="17"/>
        <v>#DIV/0!</v>
      </c>
      <c r="C223" s="108" t="e">
        <f t="shared" si="18"/>
        <v>#DIV/0!</v>
      </c>
      <c r="D223" s="108" t="e">
        <f t="shared" si="15"/>
        <v>#DIV/0!</v>
      </c>
      <c r="E223" s="108" t="e">
        <f t="shared" si="16"/>
        <v>#DIV/0!</v>
      </c>
      <c r="F223" s="108" t="e">
        <f t="shared" si="14"/>
        <v>#DIV/0!</v>
      </c>
    </row>
    <row r="224" spans="1:6" x14ac:dyDescent="0.2">
      <c r="A224" s="109">
        <v>213</v>
      </c>
      <c r="B224" s="108" t="e">
        <f t="shared" si="17"/>
        <v>#DIV/0!</v>
      </c>
      <c r="C224" s="108" t="e">
        <f t="shared" si="18"/>
        <v>#DIV/0!</v>
      </c>
      <c r="D224" s="108" t="e">
        <f t="shared" si="15"/>
        <v>#DIV/0!</v>
      </c>
      <c r="E224" s="108" t="e">
        <f t="shared" si="16"/>
        <v>#DIV/0!</v>
      </c>
      <c r="F224" s="108" t="e">
        <f t="shared" si="14"/>
        <v>#DIV/0!</v>
      </c>
    </row>
    <row r="225" spans="1:6" x14ac:dyDescent="0.2">
      <c r="A225" s="109">
        <v>214</v>
      </c>
      <c r="B225" s="108" t="e">
        <f t="shared" si="17"/>
        <v>#DIV/0!</v>
      </c>
      <c r="C225" s="108" t="e">
        <f t="shared" si="18"/>
        <v>#DIV/0!</v>
      </c>
      <c r="D225" s="108" t="e">
        <f t="shared" si="15"/>
        <v>#DIV/0!</v>
      </c>
      <c r="E225" s="108" t="e">
        <f t="shared" si="16"/>
        <v>#DIV/0!</v>
      </c>
      <c r="F225" s="108" t="e">
        <f t="shared" si="14"/>
        <v>#DIV/0!</v>
      </c>
    </row>
    <row r="226" spans="1:6" x14ac:dyDescent="0.2">
      <c r="A226" s="109">
        <v>215</v>
      </c>
      <c r="B226" s="108" t="e">
        <f t="shared" si="17"/>
        <v>#DIV/0!</v>
      </c>
      <c r="C226" s="108" t="e">
        <f t="shared" si="18"/>
        <v>#DIV/0!</v>
      </c>
      <c r="D226" s="108" t="e">
        <f t="shared" si="15"/>
        <v>#DIV/0!</v>
      </c>
      <c r="E226" s="108" t="e">
        <f t="shared" si="16"/>
        <v>#DIV/0!</v>
      </c>
      <c r="F226" s="108" t="e">
        <f t="shared" si="14"/>
        <v>#DIV/0!</v>
      </c>
    </row>
    <row r="227" spans="1:6" x14ac:dyDescent="0.2">
      <c r="A227" s="109">
        <v>216</v>
      </c>
      <c r="B227" s="108" t="e">
        <f t="shared" si="17"/>
        <v>#DIV/0!</v>
      </c>
      <c r="C227" s="108" t="e">
        <f t="shared" si="18"/>
        <v>#DIV/0!</v>
      </c>
      <c r="D227" s="108" t="e">
        <f t="shared" si="15"/>
        <v>#DIV/0!</v>
      </c>
      <c r="E227" s="108" t="e">
        <f t="shared" si="16"/>
        <v>#DIV/0!</v>
      </c>
      <c r="F227" s="108" t="e">
        <f t="shared" si="14"/>
        <v>#DIV/0!</v>
      </c>
    </row>
    <row r="228" spans="1:6" x14ac:dyDescent="0.2">
      <c r="A228" s="109">
        <v>217</v>
      </c>
      <c r="B228" s="108" t="e">
        <f t="shared" si="17"/>
        <v>#DIV/0!</v>
      </c>
      <c r="C228" s="108" t="e">
        <f t="shared" si="18"/>
        <v>#DIV/0!</v>
      </c>
      <c r="D228" s="108" t="e">
        <f t="shared" si="15"/>
        <v>#DIV/0!</v>
      </c>
      <c r="E228" s="108" t="e">
        <f t="shared" si="16"/>
        <v>#DIV/0!</v>
      </c>
      <c r="F228" s="108" t="e">
        <f t="shared" si="14"/>
        <v>#DIV/0!</v>
      </c>
    </row>
    <row r="229" spans="1:6" x14ac:dyDescent="0.2">
      <c r="A229" s="109">
        <v>218</v>
      </c>
      <c r="B229" s="108" t="e">
        <f t="shared" si="17"/>
        <v>#DIV/0!</v>
      </c>
      <c r="C229" s="108" t="e">
        <f t="shared" si="18"/>
        <v>#DIV/0!</v>
      </c>
      <c r="D229" s="108" t="e">
        <f t="shared" si="15"/>
        <v>#DIV/0!</v>
      </c>
      <c r="E229" s="108" t="e">
        <f t="shared" si="16"/>
        <v>#DIV/0!</v>
      </c>
      <c r="F229" s="108" t="e">
        <f t="shared" ref="F229:F292" si="19">E229*0.00025</f>
        <v>#DIV/0!</v>
      </c>
    </row>
    <row r="230" spans="1:6" x14ac:dyDescent="0.2">
      <c r="A230" s="109">
        <v>219</v>
      </c>
      <c r="B230" s="108" t="e">
        <f t="shared" si="17"/>
        <v>#DIV/0!</v>
      </c>
      <c r="C230" s="108" t="e">
        <f t="shared" si="18"/>
        <v>#DIV/0!</v>
      </c>
      <c r="D230" s="108" t="e">
        <f t="shared" si="15"/>
        <v>#DIV/0!</v>
      </c>
      <c r="E230" s="108" t="e">
        <f t="shared" si="16"/>
        <v>#DIV/0!</v>
      </c>
      <c r="F230" s="108" t="e">
        <f t="shared" si="19"/>
        <v>#DIV/0!</v>
      </c>
    </row>
    <row r="231" spans="1:6" x14ac:dyDescent="0.2">
      <c r="A231" s="109">
        <v>220</v>
      </c>
      <c r="B231" s="108" t="e">
        <f t="shared" si="17"/>
        <v>#DIV/0!</v>
      </c>
      <c r="C231" s="108" t="e">
        <f t="shared" si="18"/>
        <v>#DIV/0!</v>
      </c>
      <c r="D231" s="108" t="e">
        <f t="shared" si="15"/>
        <v>#DIV/0!</v>
      </c>
      <c r="E231" s="108" t="e">
        <f t="shared" si="16"/>
        <v>#DIV/0!</v>
      </c>
      <c r="F231" s="108" t="e">
        <f t="shared" si="19"/>
        <v>#DIV/0!</v>
      </c>
    </row>
    <row r="232" spans="1:6" x14ac:dyDescent="0.2">
      <c r="A232" s="109">
        <v>221</v>
      </c>
      <c r="B232" s="108" t="e">
        <f t="shared" si="17"/>
        <v>#DIV/0!</v>
      </c>
      <c r="C232" s="108" t="e">
        <f t="shared" si="18"/>
        <v>#DIV/0!</v>
      </c>
      <c r="D232" s="108" t="e">
        <f t="shared" si="15"/>
        <v>#DIV/0!</v>
      </c>
      <c r="E232" s="108" t="e">
        <f t="shared" si="16"/>
        <v>#DIV/0!</v>
      </c>
      <c r="F232" s="108" t="e">
        <f t="shared" si="19"/>
        <v>#DIV/0!</v>
      </c>
    </row>
    <row r="233" spans="1:6" x14ac:dyDescent="0.2">
      <c r="A233" s="109">
        <v>222</v>
      </c>
      <c r="B233" s="108" t="e">
        <f t="shared" si="17"/>
        <v>#DIV/0!</v>
      </c>
      <c r="C233" s="108" t="e">
        <f t="shared" si="18"/>
        <v>#DIV/0!</v>
      </c>
      <c r="D233" s="108" t="e">
        <f t="shared" si="15"/>
        <v>#DIV/0!</v>
      </c>
      <c r="E233" s="108" t="e">
        <f t="shared" si="16"/>
        <v>#DIV/0!</v>
      </c>
      <c r="F233" s="108" t="e">
        <f t="shared" si="19"/>
        <v>#DIV/0!</v>
      </c>
    </row>
    <row r="234" spans="1:6" x14ac:dyDescent="0.2">
      <c r="A234" s="109">
        <v>223</v>
      </c>
      <c r="B234" s="108" t="e">
        <f t="shared" si="17"/>
        <v>#DIV/0!</v>
      </c>
      <c r="C234" s="108" t="e">
        <f t="shared" si="18"/>
        <v>#DIV/0!</v>
      </c>
      <c r="D234" s="108" t="e">
        <f t="shared" si="15"/>
        <v>#DIV/0!</v>
      </c>
      <c r="E234" s="108" t="e">
        <f t="shared" si="16"/>
        <v>#DIV/0!</v>
      </c>
      <c r="F234" s="108" t="e">
        <f t="shared" si="19"/>
        <v>#DIV/0!</v>
      </c>
    </row>
    <row r="235" spans="1:6" x14ac:dyDescent="0.2">
      <c r="A235" s="109">
        <v>224</v>
      </c>
      <c r="B235" s="108" t="e">
        <f t="shared" si="17"/>
        <v>#DIV/0!</v>
      </c>
      <c r="C235" s="108" t="e">
        <f t="shared" si="18"/>
        <v>#DIV/0!</v>
      </c>
      <c r="D235" s="108" t="e">
        <f t="shared" si="15"/>
        <v>#DIV/0!</v>
      </c>
      <c r="E235" s="108" t="e">
        <f t="shared" si="16"/>
        <v>#DIV/0!</v>
      </c>
      <c r="F235" s="108" t="e">
        <f t="shared" si="19"/>
        <v>#DIV/0!</v>
      </c>
    </row>
    <row r="236" spans="1:6" x14ac:dyDescent="0.2">
      <c r="A236" s="109">
        <v>225</v>
      </c>
      <c r="B236" s="108" t="e">
        <f t="shared" si="17"/>
        <v>#DIV/0!</v>
      </c>
      <c r="C236" s="108" t="e">
        <f t="shared" si="18"/>
        <v>#DIV/0!</v>
      </c>
      <c r="D236" s="108" t="e">
        <f t="shared" si="15"/>
        <v>#DIV/0!</v>
      </c>
      <c r="E236" s="108" t="e">
        <f t="shared" si="16"/>
        <v>#DIV/0!</v>
      </c>
      <c r="F236" s="108" t="e">
        <f t="shared" si="19"/>
        <v>#DIV/0!</v>
      </c>
    </row>
    <row r="237" spans="1:6" x14ac:dyDescent="0.2">
      <c r="A237" s="109">
        <v>226</v>
      </c>
      <c r="B237" s="108" t="e">
        <f t="shared" si="17"/>
        <v>#DIV/0!</v>
      </c>
      <c r="C237" s="108" t="e">
        <f t="shared" si="18"/>
        <v>#DIV/0!</v>
      </c>
      <c r="D237" s="108" t="e">
        <f t="shared" si="15"/>
        <v>#DIV/0!</v>
      </c>
      <c r="E237" s="108" t="e">
        <f t="shared" si="16"/>
        <v>#DIV/0!</v>
      </c>
      <c r="F237" s="108" t="e">
        <f t="shared" si="19"/>
        <v>#DIV/0!</v>
      </c>
    </row>
    <row r="238" spans="1:6" x14ac:dyDescent="0.2">
      <c r="A238" s="109">
        <v>227</v>
      </c>
      <c r="B238" s="108" t="e">
        <f t="shared" si="17"/>
        <v>#DIV/0!</v>
      </c>
      <c r="C238" s="108" t="e">
        <f t="shared" si="18"/>
        <v>#DIV/0!</v>
      </c>
      <c r="D238" s="108" t="e">
        <f t="shared" si="15"/>
        <v>#DIV/0!</v>
      </c>
      <c r="E238" s="108" t="e">
        <f t="shared" si="16"/>
        <v>#DIV/0!</v>
      </c>
      <c r="F238" s="108" t="e">
        <f t="shared" si="19"/>
        <v>#DIV/0!</v>
      </c>
    </row>
    <row r="239" spans="1:6" x14ac:dyDescent="0.2">
      <c r="A239" s="109">
        <v>228</v>
      </c>
      <c r="B239" s="108" t="e">
        <f t="shared" si="17"/>
        <v>#DIV/0!</v>
      </c>
      <c r="C239" s="108" t="e">
        <f t="shared" si="18"/>
        <v>#DIV/0!</v>
      </c>
      <c r="D239" s="108" t="e">
        <f t="shared" si="15"/>
        <v>#DIV/0!</v>
      </c>
      <c r="E239" s="108" t="e">
        <f t="shared" si="16"/>
        <v>#DIV/0!</v>
      </c>
      <c r="F239" s="108" t="e">
        <f t="shared" si="19"/>
        <v>#DIV/0!</v>
      </c>
    </row>
    <row r="240" spans="1:6" x14ac:dyDescent="0.2">
      <c r="A240" s="109">
        <v>229</v>
      </c>
      <c r="B240" s="108" t="e">
        <f t="shared" si="17"/>
        <v>#DIV/0!</v>
      </c>
      <c r="C240" s="108" t="e">
        <f t="shared" si="18"/>
        <v>#DIV/0!</v>
      </c>
      <c r="D240" s="108" t="e">
        <f t="shared" si="15"/>
        <v>#DIV/0!</v>
      </c>
      <c r="E240" s="108" t="e">
        <f t="shared" si="16"/>
        <v>#DIV/0!</v>
      </c>
      <c r="F240" s="108" t="e">
        <f t="shared" si="19"/>
        <v>#DIV/0!</v>
      </c>
    </row>
    <row r="241" spans="1:6" x14ac:dyDescent="0.2">
      <c r="A241" s="109">
        <v>230</v>
      </c>
      <c r="B241" s="108" t="e">
        <f t="shared" si="17"/>
        <v>#DIV/0!</v>
      </c>
      <c r="C241" s="108" t="e">
        <f t="shared" si="18"/>
        <v>#DIV/0!</v>
      </c>
      <c r="D241" s="108" t="e">
        <f t="shared" si="15"/>
        <v>#DIV/0!</v>
      </c>
      <c r="E241" s="108" t="e">
        <f t="shared" si="16"/>
        <v>#DIV/0!</v>
      </c>
      <c r="F241" s="108" t="e">
        <f t="shared" si="19"/>
        <v>#DIV/0!</v>
      </c>
    </row>
    <row r="242" spans="1:6" x14ac:dyDescent="0.2">
      <c r="A242" s="109">
        <v>231</v>
      </c>
      <c r="B242" s="108" t="e">
        <f t="shared" si="17"/>
        <v>#DIV/0!</v>
      </c>
      <c r="C242" s="108" t="e">
        <f t="shared" si="18"/>
        <v>#DIV/0!</v>
      </c>
      <c r="D242" s="108" t="e">
        <f t="shared" si="15"/>
        <v>#DIV/0!</v>
      </c>
      <c r="E242" s="108" t="e">
        <f t="shared" si="16"/>
        <v>#DIV/0!</v>
      </c>
      <c r="F242" s="108" t="e">
        <f t="shared" si="19"/>
        <v>#DIV/0!</v>
      </c>
    </row>
    <row r="243" spans="1:6" x14ac:dyDescent="0.2">
      <c r="A243" s="109">
        <v>232</v>
      </c>
      <c r="B243" s="108" t="e">
        <f t="shared" si="17"/>
        <v>#DIV/0!</v>
      </c>
      <c r="C243" s="108" t="e">
        <f t="shared" si="18"/>
        <v>#DIV/0!</v>
      </c>
      <c r="D243" s="108" t="e">
        <f t="shared" si="15"/>
        <v>#DIV/0!</v>
      </c>
      <c r="E243" s="108" t="e">
        <f t="shared" si="16"/>
        <v>#DIV/0!</v>
      </c>
      <c r="F243" s="108" t="e">
        <f t="shared" si="19"/>
        <v>#DIV/0!</v>
      </c>
    </row>
    <row r="244" spans="1:6" x14ac:dyDescent="0.2">
      <c r="A244" s="109">
        <v>233</v>
      </c>
      <c r="B244" s="108" t="e">
        <f t="shared" si="17"/>
        <v>#DIV/0!</v>
      </c>
      <c r="C244" s="108" t="e">
        <f t="shared" si="18"/>
        <v>#DIV/0!</v>
      </c>
      <c r="D244" s="108" t="e">
        <f t="shared" si="15"/>
        <v>#DIV/0!</v>
      </c>
      <c r="E244" s="108" t="e">
        <f t="shared" si="16"/>
        <v>#DIV/0!</v>
      </c>
      <c r="F244" s="108" t="e">
        <f t="shared" si="19"/>
        <v>#DIV/0!</v>
      </c>
    </row>
    <row r="245" spans="1:6" x14ac:dyDescent="0.2">
      <c r="A245" s="109">
        <v>234</v>
      </c>
      <c r="B245" s="108" t="e">
        <f t="shared" si="17"/>
        <v>#DIV/0!</v>
      </c>
      <c r="C245" s="108" t="e">
        <f t="shared" si="18"/>
        <v>#DIV/0!</v>
      </c>
      <c r="D245" s="108" t="e">
        <f t="shared" si="15"/>
        <v>#DIV/0!</v>
      </c>
      <c r="E245" s="108" t="e">
        <f t="shared" si="16"/>
        <v>#DIV/0!</v>
      </c>
      <c r="F245" s="108" t="e">
        <f t="shared" si="19"/>
        <v>#DIV/0!</v>
      </c>
    </row>
    <row r="246" spans="1:6" x14ac:dyDescent="0.2">
      <c r="A246" s="109">
        <v>235</v>
      </c>
      <c r="B246" s="108" t="e">
        <f t="shared" si="17"/>
        <v>#DIV/0!</v>
      </c>
      <c r="C246" s="108" t="e">
        <f t="shared" si="18"/>
        <v>#DIV/0!</v>
      </c>
      <c r="D246" s="108" t="e">
        <f t="shared" si="15"/>
        <v>#DIV/0!</v>
      </c>
      <c r="E246" s="108" t="e">
        <f t="shared" si="16"/>
        <v>#DIV/0!</v>
      </c>
      <c r="F246" s="108" t="e">
        <f t="shared" si="19"/>
        <v>#DIV/0!</v>
      </c>
    </row>
    <row r="247" spans="1:6" x14ac:dyDescent="0.2">
      <c r="A247" s="109">
        <v>236</v>
      </c>
      <c r="B247" s="108" t="e">
        <f t="shared" si="17"/>
        <v>#DIV/0!</v>
      </c>
      <c r="C247" s="108" t="e">
        <f t="shared" si="18"/>
        <v>#DIV/0!</v>
      </c>
      <c r="D247" s="108" t="e">
        <f t="shared" si="15"/>
        <v>#DIV/0!</v>
      </c>
      <c r="E247" s="108" t="e">
        <f t="shared" si="16"/>
        <v>#DIV/0!</v>
      </c>
      <c r="F247" s="108" t="e">
        <f t="shared" si="19"/>
        <v>#DIV/0!</v>
      </c>
    </row>
    <row r="248" spans="1:6" x14ac:dyDescent="0.2">
      <c r="A248" s="109">
        <v>237</v>
      </c>
      <c r="B248" s="108" t="e">
        <f t="shared" si="17"/>
        <v>#DIV/0!</v>
      </c>
      <c r="C248" s="108" t="e">
        <f t="shared" si="18"/>
        <v>#DIV/0!</v>
      </c>
      <c r="D248" s="108" t="e">
        <f t="shared" si="15"/>
        <v>#DIV/0!</v>
      </c>
      <c r="E248" s="108" t="e">
        <f t="shared" si="16"/>
        <v>#DIV/0!</v>
      </c>
      <c r="F248" s="108" t="e">
        <f t="shared" si="19"/>
        <v>#DIV/0!</v>
      </c>
    </row>
    <row r="249" spans="1:6" x14ac:dyDescent="0.2">
      <c r="A249" s="109">
        <v>238</v>
      </c>
      <c r="B249" s="108" t="e">
        <f t="shared" si="17"/>
        <v>#DIV/0!</v>
      </c>
      <c r="C249" s="108" t="e">
        <f t="shared" si="18"/>
        <v>#DIV/0!</v>
      </c>
      <c r="D249" s="108" t="e">
        <f t="shared" si="15"/>
        <v>#DIV/0!</v>
      </c>
      <c r="E249" s="108" t="e">
        <f t="shared" si="16"/>
        <v>#DIV/0!</v>
      </c>
      <c r="F249" s="108" t="e">
        <f t="shared" si="19"/>
        <v>#DIV/0!</v>
      </c>
    </row>
    <row r="250" spans="1:6" x14ac:dyDescent="0.2">
      <c r="A250" s="109">
        <v>239</v>
      </c>
      <c r="B250" s="108" t="e">
        <f t="shared" si="17"/>
        <v>#DIV/0!</v>
      </c>
      <c r="C250" s="108" t="e">
        <f t="shared" si="18"/>
        <v>#DIV/0!</v>
      </c>
      <c r="D250" s="108" t="e">
        <f t="shared" si="15"/>
        <v>#DIV/0!</v>
      </c>
      <c r="E250" s="108" t="e">
        <f t="shared" si="16"/>
        <v>#DIV/0!</v>
      </c>
      <c r="F250" s="108" t="e">
        <f t="shared" si="19"/>
        <v>#DIV/0!</v>
      </c>
    </row>
    <row r="251" spans="1:6" x14ac:dyDescent="0.2">
      <c r="A251" s="109">
        <v>240</v>
      </c>
      <c r="B251" s="108" t="e">
        <f t="shared" si="17"/>
        <v>#DIV/0!</v>
      </c>
      <c r="C251" s="108" t="e">
        <f t="shared" si="18"/>
        <v>#DIV/0!</v>
      </c>
      <c r="D251" s="108" t="e">
        <f t="shared" si="15"/>
        <v>#DIV/0!</v>
      </c>
      <c r="E251" s="108" t="e">
        <f t="shared" si="16"/>
        <v>#DIV/0!</v>
      </c>
      <c r="F251" s="108" t="e">
        <f t="shared" si="19"/>
        <v>#DIV/0!</v>
      </c>
    </row>
    <row r="252" spans="1:6" x14ac:dyDescent="0.2">
      <c r="A252" s="109">
        <v>241</v>
      </c>
      <c r="B252" s="108" t="e">
        <f t="shared" si="17"/>
        <v>#DIV/0!</v>
      </c>
      <c r="C252" s="108" t="e">
        <f t="shared" si="18"/>
        <v>#DIV/0!</v>
      </c>
      <c r="D252" s="108" t="e">
        <f t="shared" si="15"/>
        <v>#DIV/0!</v>
      </c>
      <c r="E252" s="108" t="e">
        <f t="shared" si="16"/>
        <v>#DIV/0!</v>
      </c>
      <c r="F252" s="108" t="e">
        <f t="shared" si="19"/>
        <v>#DIV/0!</v>
      </c>
    </row>
    <row r="253" spans="1:6" x14ac:dyDescent="0.2">
      <c r="A253" s="109">
        <v>242</v>
      </c>
      <c r="B253" s="108" t="e">
        <f t="shared" si="17"/>
        <v>#DIV/0!</v>
      </c>
      <c r="C253" s="108" t="e">
        <f t="shared" si="18"/>
        <v>#DIV/0!</v>
      </c>
      <c r="D253" s="108" t="e">
        <f t="shared" si="15"/>
        <v>#DIV/0!</v>
      </c>
      <c r="E253" s="108" t="e">
        <f t="shared" si="16"/>
        <v>#DIV/0!</v>
      </c>
      <c r="F253" s="108" t="e">
        <f t="shared" si="19"/>
        <v>#DIV/0!</v>
      </c>
    </row>
    <row r="254" spans="1:6" x14ac:dyDescent="0.2">
      <c r="A254" s="109">
        <v>243</v>
      </c>
      <c r="B254" s="108" t="e">
        <f t="shared" si="17"/>
        <v>#DIV/0!</v>
      </c>
      <c r="C254" s="108" t="e">
        <f t="shared" si="18"/>
        <v>#DIV/0!</v>
      </c>
      <c r="D254" s="108" t="e">
        <f t="shared" si="15"/>
        <v>#DIV/0!</v>
      </c>
      <c r="E254" s="108" t="e">
        <f t="shared" si="16"/>
        <v>#DIV/0!</v>
      </c>
      <c r="F254" s="108" t="e">
        <f t="shared" si="19"/>
        <v>#DIV/0!</v>
      </c>
    </row>
    <row r="255" spans="1:6" x14ac:dyDescent="0.2">
      <c r="A255" s="109">
        <v>244</v>
      </c>
      <c r="B255" s="108" t="e">
        <f t="shared" si="17"/>
        <v>#DIV/0!</v>
      </c>
      <c r="C255" s="108" t="e">
        <f t="shared" si="18"/>
        <v>#DIV/0!</v>
      </c>
      <c r="D255" s="108" t="e">
        <f t="shared" si="15"/>
        <v>#DIV/0!</v>
      </c>
      <c r="E255" s="108" t="e">
        <f t="shared" si="16"/>
        <v>#DIV/0!</v>
      </c>
      <c r="F255" s="108" t="e">
        <f t="shared" si="19"/>
        <v>#DIV/0!</v>
      </c>
    </row>
    <row r="256" spans="1:6" x14ac:dyDescent="0.2">
      <c r="A256" s="109">
        <v>245</v>
      </c>
      <c r="B256" s="108" t="e">
        <f t="shared" si="17"/>
        <v>#DIV/0!</v>
      </c>
      <c r="C256" s="108" t="e">
        <f t="shared" si="18"/>
        <v>#DIV/0!</v>
      </c>
      <c r="D256" s="108" t="e">
        <f t="shared" si="15"/>
        <v>#DIV/0!</v>
      </c>
      <c r="E256" s="108" t="e">
        <f t="shared" si="16"/>
        <v>#DIV/0!</v>
      </c>
      <c r="F256" s="108" t="e">
        <f t="shared" si="19"/>
        <v>#DIV/0!</v>
      </c>
    </row>
    <row r="257" spans="1:6" x14ac:dyDescent="0.2">
      <c r="A257" s="109">
        <v>246</v>
      </c>
      <c r="B257" s="108" t="e">
        <f t="shared" si="17"/>
        <v>#DIV/0!</v>
      </c>
      <c r="C257" s="108" t="e">
        <f t="shared" si="18"/>
        <v>#DIV/0!</v>
      </c>
      <c r="D257" s="108" t="e">
        <f t="shared" si="15"/>
        <v>#DIV/0!</v>
      </c>
      <c r="E257" s="108" t="e">
        <f t="shared" si="16"/>
        <v>#DIV/0!</v>
      </c>
      <c r="F257" s="108" t="e">
        <f t="shared" si="19"/>
        <v>#DIV/0!</v>
      </c>
    </row>
    <row r="258" spans="1:6" x14ac:dyDescent="0.2">
      <c r="A258" s="109">
        <v>247</v>
      </c>
      <c r="B258" s="108" t="e">
        <f t="shared" si="17"/>
        <v>#DIV/0!</v>
      </c>
      <c r="C258" s="108" t="e">
        <f t="shared" si="18"/>
        <v>#DIV/0!</v>
      </c>
      <c r="D258" s="108" t="e">
        <f t="shared" si="15"/>
        <v>#DIV/0!</v>
      </c>
      <c r="E258" s="108" t="e">
        <f t="shared" si="16"/>
        <v>#DIV/0!</v>
      </c>
      <c r="F258" s="108" t="e">
        <f t="shared" si="19"/>
        <v>#DIV/0!</v>
      </c>
    </row>
    <row r="259" spans="1:6" x14ac:dyDescent="0.2">
      <c r="A259" s="109">
        <v>248</v>
      </c>
      <c r="B259" s="108" t="e">
        <f t="shared" si="17"/>
        <v>#DIV/0!</v>
      </c>
      <c r="C259" s="108" t="e">
        <f t="shared" si="18"/>
        <v>#DIV/0!</v>
      </c>
      <c r="D259" s="108" t="e">
        <f t="shared" si="15"/>
        <v>#DIV/0!</v>
      </c>
      <c r="E259" s="108" t="e">
        <f t="shared" si="16"/>
        <v>#DIV/0!</v>
      </c>
      <c r="F259" s="108" t="e">
        <f t="shared" si="19"/>
        <v>#DIV/0!</v>
      </c>
    </row>
    <row r="260" spans="1:6" x14ac:dyDescent="0.2">
      <c r="A260" s="109">
        <v>249</v>
      </c>
      <c r="B260" s="108" t="e">
        <f t="shared" si="17"/>
        <v>#DIV/0!</v>
      </c>
      <c r="C260" s="108" t="e">
        <f t="shared" si="18"/>
        <v>#DIV/0!</v>
      </c>
      <c r="D260" s="108" t="e">
        <f t="shared" si="15"/>
        <v>#DIV/0!</v>
      </c>
      <c r="E260" s="108" t="e">
        <f t="shared" si="16"/>
        <v>#DIV/0!</v>
      </c>
      <c r="F260" s="108" t="e">
        <f t="shared" si="19"/>
        <v>#DIV/0!</v>
      </c>
    </row>
    <row r="261" spans="1:6" x14ac:dyDescent="0.2">
      <c r="A261" s="109">
        <v>250</v>
      </c>
      <c r="B261" s="108" t="e">
        <f t="shared" si="17"/>
        <v>#DIV/0!</v>
      </c>
      <c r="C261" s="108" t="e">
        <f t="shared" si="18"/>
        <v>#DIV/0!</v>
      </c>
      <c r="D261" s="108" t="e">
        <f t="shared" si="15"/>
        <v>#DIV/0!</v>
      </c>
      <c r="E261" s="108" t="e">
        <f t="shared" si="16"/>
        <v>#DIV/0!</v>
      </c>
      <c r="F261" s="108" t="e">
        <f t="shared" si="19"/>
        <v>#DIV/0!</v>
      </c>
    </row>
    <row r="262" spans="1:6" x14ac:dyDescent="0.2">
      <c r="A262" s="109">
        <v>251</v>
      </c>
      <c r="B262" s="108" t="e">
        <f t="shared" si="17"/>
        <v>#DIV/0!</v>
      </c>
      <c r="C262" s="108" t="e">
        <f t="shared" si="18"/>
        <v>#DIV/0!</v>
      </c>
      <c r="D262" s="108" t="e">
        <f t="shared" si="15"/>
        <v>#DIV/0!</v>
      </c>
      <c r="E262" s="108" t="e">
        <f t="shared" si="16"/>
        <v>#DIV/0!</v>
      </c>
      <c r="F262" s="108" t="e">
        <f t="shared" si="19"/>
        <v>#DIV/0!</v>
      </c>
    </row>
    <row r="263" spans="1:6" x14ac:dyDescent="0.2">
      <c r="A263" s="109">
        <v>252</v>
      </c>
      <c r="B263" s="108" t="e">
        <f t="shared" si="17"/>
        <v>#DIV/0!</v>
      </c>
      <c r="C263" s="108" t="e">
        <f t="shared" si="18"/>
        <v>#DIV/0!</v>
      </c>
      <c r="D263" s="108" t="e">
        <f t="shared" si="15"/>
        <v>#DIV/0!</v>
      </c>
      <c r="E263" s="108" t="e">
        <f t="shared" si="16"/>
        <v>#DIV/0!</v>
      </c>
      <c r="F263" s="108" t="e">
        <f t="shared" si="19"/>
        <v>#DIV/0!</v>
      </c>
    </row>
    <row r="264" spans="1:6" x14ac:dyDescent="0.2">
      <c r="A264" s="109">
        <v>253</v>
      </c>
      <c r="B264" s="108" t="e">
        <f t="shared" si="17"/>
        <v>#DIV/0!</v>
      </c>
      <c r="C264" s="108" t="e">
        <f t="shared" si="18"/>
        <v>#DIV/0!</v>
      </c>
      <c r="D264" s="108" t="e">
        <f t="shared" si="15"/>
        <v>#DIV/0!</v>
      </c>
      <c r="E264" s="108" t="e">
        <f t="shared" si="16"/>
        <v>#DIV/0!</v>
      </c>
      <c r="F264" s="108" t="e">
        <f t="shared" si="19"/>
        <v>#DIV/0!</v>
      </c>
    </row>
    <row r="265" spans="1:6" x14ac:dyDescent="0.2">
      <c r="A265" s="109">
        <v>254</v>
      </c>
      <c r="B265" s="108" t="e">
        <f t="shared" si="17"/>
        <v>#DIV/0!</v>
      </c>
      <c r="C265" s="108" t="e">
        <f t="shared" si="18"/>
        <v>#DIV/0!</v>
      </c>
      <c r="D265" s="108" t="e">
        <f t="shared" si="15"/>
        <v>#DIV/0!</v>
      </c>
      <c r="E265" s="108" t="e">
        <f t="shared" si="16"/>
        <v>#DIV/0!</v>
      </c>
      <c r="F265" s="108" t="e">
        <f t="shared" si="19"/>
        <v>#DIV/0!</v>
      </c>
    </row>
    <row r="266" spans="1:6" x14ac:dyDescent="0.2">
      <c r="A266" s="109">
        <v>255</v>
      </c>
      <c r="B266" s="108" t="e">
        <f t="shared" si="17"/>
        <v>#DIV/0!</v>
      </c>
      <c r="C266" s="108" t="e">
        <f t="shared" si="18"/>
        <v>#DIV/0!</v>
      </c>
      <c r="D266" s="108" t="e">
        <f t="shared" si="15"/>
        <v>#DIV/0!</v>
      </c>
      <c r="E266" s="108" t="e">
        <f t="shared" si="16"/>
        <v>#DIV/0!</v>
      </c>
      <c r="F266" s="108" t="e">
        <f t="shared" si="19"/>
        <v>#DIV/0!</v>
      </c>
    </row>
    <row r="267" spans="1:6" x14ac:dyDescent="0.2">
      <c r="A267" s="109">
        <v>256</v>
      </c>
      <c r="B267" s="108" t="e">
        <f t="shared" si="17"/>
        <v>#DIV/0!</v>
      </c>
      <c r="C267" s="108" t="e">
        <f t="shared" si="18"/>
        <v>#DIV/0!</v>
      </c>
      <c r="D267" s="108" t="e">
        <f t="shared" si="15"/>
        <v>#DIV/0!</v>
      </c>
      <c r="E267" s="108" t="e">
        <f t="shared" si="16"/>
        <v>#DIV/0!</v>
      </c>
      <c r="F267" s="108" t="e">
        <f t="shared" si="19"/>
        <v>#DIV/0!</v>
      </c>
    </row>
    <row r="268" spans="1:6" x14ac:dyDescent="0.2">
      <c r="A268" s="109">
        <v>257</v>
      </c>
      <c r="B268" s="108" t="e">
        <f t="shared" si="17"/>
        <v>#DIV/0!</v>
      </c>
      <c r="C268" s="108" t="e">
        <f t="shared" si="18"/>
        <v>#DIV/0!</v>
      </c>
      <c r="D268" s="108" t="e">
        <f t="shared" ref="D268:D331" si="20">SUM(B268+C268)</f>
        <v>#DIV/0!</v>
      </c>
      <c r="E268" s="108" t="e">
        <f t="shared" ref="E268:E331" si="21">SUM(E267-B268)</f>
        <v>#DIV/0!</v>
      </c>
      <c r="F268" s="108" t="e">
        <f t="shared" si="19"/>
        <v>#DIV/0!</v>
      </c>
    </row>
    <row r="269" spans="1:6" x14ac:dyDescent="0.2">
      <c r="A269" s="109">
        <v>258</v>
      </c>
      <c r="B269" s="108" t="e">
        <f t="shared" ref="B269:B332" si="22">SUM($B$3/$B$5)</f>
        <v>#DIV/0!</v>
      </c>
      <c r="C269" s="108" t="e">
        <f t="shared" ref="C269:C332" si="23">SUM(E268*($B$4*(1/12)))</f>
        <v>#DIV/0!</v>
      </c>
      <c r="D269" s="108" t="e">
        <f t="shared" si="20"/>
        <v>#DIV/0!</v>
      </c>
      <c r="E269" s="108" t="e">
        <f t="shared" si="21"/>
        <v>#DIV/0!</v>
      </c>
      <c r="F269" s="108" t="e">
        <f t="shared" si="19"/>
        <v>#DIV/0!</v>
      </c>
    </row>
    <row r="270" spans="1:6" x14ac:dyDescent="0.2">
      <c r="A270" s="109">
        <v>259</v>
      </c>
      <c r="B270" s="108" t="e">
        <f t="shared" si="22"/>
        <v>#DIV/0!</v>
      </c>
      <c r="C270" s="108" t="e">
        <f t="shared" si="23"/>
        <v>#DIV/0!</v>
      </c>
      <c r="D270" s="108" t="e">
        <f t="shared" si="20"/>
        <v>#DIV/0!</v>
      </c>
      <c r="E270" s="108" t="e">
        <f t="shared" si="21"/>
        <v>#DIV/0!</v>
      </c>
      <c r="F270" s="108" t="e">
        <f t="shared" si="19"/>
        <v>#DIV/0!</v>
      </c>
    </row>
    <row r="271" spans="1:6" x14ac:dyDescent="0.2">
      <c r="A271" s="109">
        <v>260</v>
      </c>
      <c r="B271" s="108" t="e">
        <f t="shared" si="22"/>
        <v>#DIV/0!</v>
      </c>
      <c r="C271" s="108" t="e">
        <f t="shared" si="23"/>
        <v>#DIV/0!</v>
      </c>
      <c r="D271" s="108" t="e">
        <f t="shared" si="20"/>
        <v>#DIV/0!</v>
      </c>
      <c r="E271" s="108" t="e">
        <f t="shared" si="21"/>
        <v>#DIV/0!</v>
      </c>
      <c r="F271" s="108" t="e">
        <f t="shared" si="19"/>
        <v>#DIV/0!</v>
      </c>
    </row>
    <row r="272" spans="1:6" x14ac:dyDescent="0.2">
      <c r="A272" s="109">
        <v>261</v>
      </c>
      <c r="B272" s="108" t="e">
        <f t="shared" si="22"/>
        <v>#DIV/0!</v>
      </c>
      <c r="C272" s="108" t="e">
        <f t="shared" si="23"/>
        <v>#DIV/0!</v>
      </c>
      <c r="D272" s="108" t="e">
        <f t="shared" si="20"/>
        <v>#DIV/0!</v>
      </c>
      <c r="E272" s="108" t="e">
        <f t="shared" si="21"/>
        <v>#DIV/0!</v>
      </c>
      <c r="F272" s="108" t="e">
        <f t="shared" si="19"/>
        <v>#DIV/0!</v>
      </c>
    </row>
    <row r="273" spans="1:6" x14ac:dyDescent="0.2">
      <c r="A273" s="109">
        <v>262</v>
      </c>
      <c r="B273" s="108" t="e">
        <f t="shared" si="22"/>
        <v>#DIV/0!</v>
      </c>
      <c r="C273" s="108" t="e">
        <f t="shared" si="23"/>
        <v>#DIV/0!</v>
      </c>
      <c r="D273" s="108" t="e">
        <f t="shared" si="20"/>
        <v>#DIV/0!</v>
      </c>
      <c r="E273" s="108" t="e">
        <f t="shared" si="21"/>
        <v>#DIV/0!</v>
      </c>
      <c r="F273" s="108" t="e">
        <f t="shared" si="19"/>
        <v>#DIV/0!</v>
      </c>
    </row>
    <row r="274" spans="1:6" x14ac:dyDescent="0.2">
      <c r="A274" s="109">
        <v>263</v>
      </c>
      <c r="B274" s="108" t="e">
        <f t="shared" si="22"/>
        <v>#DIV/0!</v>
      </c>
      <c r="C274" s="108" t="e">
        <f t="shared" si="23"/>
        <v>#DIV/0!</v>
      </c>
      <c r="D274" s="108" t="e">
        <f t="shared" si="20"/>
        <v>#DIV/0!</v>
      </c>
      <c r="E274" s="108" t="e">
        <f t="shared" si="21"/>
        <v>#DIV/0!</v>
      </c>
      <c r="F274" s="108" t="e">
        <f t="shared" si="19"/>
        <v>#DIV/0!</v>
      </c>
    </row>
    <row r="275" spans="1:6" x14ac:dyDescent="0.2">
      <c r="A275" s="109">
        <v>264</v>
      </c>
      <c r="B275" s="108" t="e">
        <f t="shared" si="22"/>
        <v>#DIV/0!</v>
      </c>
      <c r="C275" s="108" t="e">
        <f t="shared" si="23"/>
        <v>#DIV/0!</v>
      </c>
      <c r="D275" s="108" t="e">
        <f t="shared" si="20"/>
        <v>#DIV/0!</v>
      </c>
      <c r="E275" s="108" t="e">
        <f t="shared" si="21"/>
        <v>#DIV/0!</v>
      </c>
      <c r="F275" s="108" t="e">
        <f t="shared" si="19"/>
        <v>#DIV/0!</v>
      </c>
    </row>
    <row r="276" spans="1:6" x14ac:dyDescent="0.2">
      <c r="A276" s="109">
        <v>265</v>
      </c>
      <c r="B276" s="108" t="e">
        <f t="shared" si="22"/>
        <v>#DIV/0!</v>
      </c>
      <c r="C276" s="108" t="e">
        <f t="shared" si="23"/>
        <v>#DIV/0!</v>
      </c>
      <c r="D276" s="108" t="e">
        <f t="shared" si="20"/>
        <v>#DIV/0!</v>
      </c>
      <c r="E276" s="108" t="e">
        <f t="shared" si="21"/>
        <v>#DIV/0!</v>
      </c>
      <c r="F276" s="108" t="e">
        <f t="shared" si="19"/>
        <v>#DIV/0!</v>
      </c>
    </row>
    <row r="277" spans="1:6" x14ac:dyDescent="0.2">
      <c r="A277" s="109">
        <v>266</v>
      </c>
      <c r="B277" s="108" t="e">
        <f t="shared" si="22"/>
        <v>#DIV/0!</v>
      </c>
      <c r="C277" s="108" t="e">
        <f t="shared" si="23"/>
        <v>#DIV/0!</v>
      </c>
      <c r="D277" s="108" t="e">
        <f t="shared" si="20"/>
        <v>#DIV/0!</v>
      </c>
      <c r="E277" s="108" t="e">
        <f t="shared" si="21"/>
        <v>#DIV/0!</v>
      </c>
      <c r="F277" s="108" t="e">
        <f t="shared" si="19"/>
        <v>#DIV/0!</v>
      </c>
    </row>
    <row r="278" spans="1:6" x14ac:dyDescent="0.2">
      <c r="A278" s="109">
        <v>267</v>
      </c>
      <c r="B278" s="108" t="e">
        <f t="shared" si="22"/>
        <v>#DIV/0!</v>
      </c>
      <c r="C278" s="108" t="e">
        <f t="shared" si="23"/>
        <v>#DIV/0!</v>
      </c>
      <c r="D278" s="108" t="e">
        <f t="shared" si="20"/>
        <v>#DIV/0!</v>
      </c>
      <c r="E278" s="108" t="e">
        <f t="shared" si="21"/>
        <v>#DIV/0!</v>
      </c>
      <c r="F278" s="108" t="e">
        <f t="shared" si="19"/>
        <v>#DIV/0!</v>
      </c>
    </row>
    <row r="279" spans="1:6" x14ac:dyDescent="0.2">
      <c r="A279" s="109">
        <v>268</v>
      </c>
      <c r="B279" s="108" t="e">
        <f t="shared" si="22"/>
        <v>#DIV/0!</v>
      </c>
      <c r="C279" s="108" t="e">
        <f t="shared" si="23"/>
        <v>#DIV/0!</v>
      </c>
      <c r="D279" s="108" t="e">
        <f t="shared" si="20"/>
        <v>#DIV/0!</v>
      </c>
      <c r="E279" s="108" t="e">
        <f t="shared" si="21"/>
        <v>#DIV/0!</v>
      </c>
      <c r="F279" s="108" t="e">
        <f t="shared" si="19"/>
        <v>#DIV/0!</v>
      </c>
    </row>
    <row r="280" spans="1:6" x14ac:dyDescent="0.2">
      <c r="A280" s="109">
        <v>269</v>
      </c>
      <c r="B280" s="108" t="e">
        <f t="shared" si="22"/>
        <v>#DIV/0!</v>
      </c>
      <c r="C280" s="108" t="e">
        <f t="shared" si="23"/>
        <v>#DIV/0!</v>
      </c>
      <c r="D280" s="108" t="e">
        <f t="shared" si="20"/>
        <v>#DIV/0!</v>
      </c>
      <c r="E280" s="108" t="e">
        <f t="shared" si="21"/>
        <v>#DIV/0!</v>
      </c>
      <c r="F280" s="108" t="e">
        <f t="shared" si="19"/>
        <v>#DIV/0!</v>
      </c>
    </row>
    <row r="281" spans="1:6" x14ac:dyDescent="0.2">
      <c r="A281" s="109">
        <v>270</v>
      </c>
      <c r="B281" s="108" t="e">
        <f t="shared" si="22"/>
        <v>#DIV/0!</v>
      </c>
      <c r="C281" s="108" t="e">
        <f t="shared" si="23"/>
        <v>#DIV/0!</v>
      </c>
      <c r="D281" s="108" t="e">
        <f t="shared" si="20"/>
        <v>#DIV/0!</v>
      </c>
      <c r="E281" s="108" t="e">
        <f t="shared" si="21"/>
        <v>#DIV/0!</v>
      </c>
      <c r="F281" s="108" t="e">
        <f t="shared" si="19"/>
        <v>#DIV/0!</v>
      </c>
    </row>
    <row r="282" spans="1:6" x14ac:dyDescent="0.2">
      <c r="A282" s="109">
        <v>271</v>
      </c>
      <c r="B282" s="108" t="e">
        <f t="shared" si="22"/>
        <v>#DIV/0!</v>
      </c>
      <c r="C282" s="108" t="e">
        <f t="shared" si="23"/>
        <v>#DIV/0!</v>
      </c>
      <c r="D282" s="108" t="e">
        <f t="shared" si="20"/>
        <v>#DIV/0!</v>
      </c>
      <c r="E282" s="108" t="e">
        <f t="shared" si="21"/>
        <v>#DIV/0!</v>
      </c>
      <c r="F282" s="108" t="e">
        <f t="shared" si="19"/>
        <v>#DIV/0!</v>
      </c>
    </row>
    <row r="283" spans="1:6" x14ac:dyDescent="0.2">
      <c r="A283" s="109">
        <v>272</v>
      </c>
      <c r="B283" s="108" t="e">
        <f t="shared" si="22"/>
        <v>#DIV/0!</v>
      </c>
      <c r="C283" s="108" t="e">
        <f t="shared" si="23"/>
        <v>#DIV/0!</v>
      </c>
      <c r="D283" s="108" t="e">
        <f t="shared" si="20"/>
        <v>#DIV/0!</v>
      </c>
      <c r="E283" s="108" t="e">
        <f t="shared" si="21"/>
        <v>#DIV/0!</v>
      </c>
      <c r="F283" s="108" t="e">
        <f t="shared" si="19"/>
        <v>#DIV/0!</v>
      </c>
    </row>
    <row r="284" spans="1:6" x14ac:dyDescent="0.2">
      <c r="A284" s="109">
        <v>273</v>
      </c>
      <c r="B284" s="108" t="e">
        <f t="shared" si="22"/>
        <v>#DIV/0!</v>
      </c>
      <c r="C284" s="108" t="e">
        <f t="shared" si="23"/>
        <v>#DIV/0!</v>
      </c>
      <c r="D284" s="108" t="e">
        <f t="shared" si="20"/>
        <v>#DIV/0!</v>
      </c>
      <c r="E284" s="108" t="e">
        <f t="shared" si="21"/>
        <v>#DIV/0!</v>
      </c>
      <c r="F284" s="108" t="e">
        <f t="shared" si="19"/>
        <v>#DIV/0!</v>
      </c>
    </row>
    <row r="285" spans="1:6" x14ac:dyDescent="0.2">
      <c r="A285" s="109">
        <v>274</v>
      </c>
      <c r="B285" s="108" t="e">
        <f t="shared" si="22"/>
        <v>#DIV/0!</v>
      </c>
      <c r="C285" s="108" t="e">
        <f t="shared" si="23"/>
        <v>#DIV/0!</v>
      </c>
      <c r="D285" s="108" t="e">
        <f t="shared" si="20"/>
        <v>#DIV/0!</v>
      </c>
      <c r="E285" s="108" t="e">
        <f t="shared" si="21"/>
        <v>#DIV/0!</v>
      </c>
      <c r="F285" s="108" t="e">
        <f t="shared" si="19"/>
        <v>#DIV/0!</v>
      </c>
    </row>
    <row r="286" spans="1:6" x14ac:dyDescent="0.2">
      <c r="A286" s="109">
        <v>275</v>
      </c>
      <c r="B286" s="108" t="e">
        <f t="shared" si="22"/>
        <v>#DIV/0!</v>
      </c>
      <c r="C286" s="108" t="e">
        <f t="shared" si="23"/>
        <v>#DIV/0!</v>
      </c>
      <c r="D286" s="108" t="e">
        <f t="shared" si="20"/>
        <v>#DIV/0!</v>
      </c>
      <c r="E286" s="108" t="e">
        <f t="shared" si="21"/>
        <v>#DIV/0!</v>
      </c>
      <c r="F286" s="108" t="e">
        <f t="shared" si="19"/>
        <v>#DIV/0!</v>
      </c>
    </row>
    <row r="287" spans="1:6" x14ac:dyDescent="0.2">
      <c r="A287" s="109">
        <v>276</v>
      </c>
      <c r="B287" s="108" t="e">
        <f t="shared" si="22"/>
        <v>#DIV/0!</v>
      </c>
      <c r="C287" s="108" t="e">
        <f t="shared" si="23"/>
        <v>#DIV/0!</v>
      </c>
      <c r="D287" s="108" t="e">
        <f t="shared" si="20"/>
        <v>#DIV/0!</v>
      </c>
      <c r="E287" s="108" t="e">
        <f t="shared" si="21"/>
        <v>#DIV/0!</v>
      </c>
      <c r="F287" s="108" t="e">
        <f t="shared" si="19"/>
        <v>#DIV/0!</v>
      </c>
    </row>
    <row r="288" spans="1:6" x14ac:dyDescent="0.2">
      <c r="A288" s="109">
        <v>277</v>
      </c>
      <c r="B288" s="108" t="e">
        <f t="shared" si="22"/>
        <v>#DIV/0!</v>
      </c>
      <c r="C288" s="108" t="e">
        <f t="shared" si="23"/>
        <v>#DIV/0!</v>
      </c>
      <c r="D288" s="108" t="e">
        <f t="shared" si="20"/>
        <v>#DIV/0!</v>
      </c>
      <c r="E288" s="108" t="e">
        <f t="shared" si="21"/>
        <v>#DIV/0!</v>
      </c>
      <c r="F288" s="108" t="e">
        <f t="shared" si="19"/>
        <v>#DIV/0!</v>
      </c>
    </row>
    <row r="289" spans="1:6" x14ac:dyDescent="0.2">
      <c r="A289" s="109">
        <v>278</v>
      </c>
      <c r="B289" s="108" t="e">
        <f t="shared" si="22"/>
        <v>#DIV/0!</v>
      </c>
      <c r="C289" s="108" t="e">
        <f t="shared" si="23"/>
        <v>#DIV/0!</v>
      </c>
      <c r="D289" s="108" t="e">
        <f t="shared" si="20"/>
        <v>#DIV/0!</v>
      </c>
      <c r="E289" s="108" t="e">
        <f t="shared" si="21"/>
        <v>#DIV/0!</v>
      </c>
      <c r="F289" s="108" t="e">
        <f t="shared" si="19"/>
        <v>#DIV/0!</v>
      </c>
    </row>
    <row r="290" spans="1:6" x14ac:dyDescent="0.2">
      <c r="A290" s="109">
        <v>279</v>
      </c>
      <c r="B290" s="108" t="e">
        <f t="shared" si="22"/>
        <v>#DIV/0!</v>
      </c>
      <c r="C290" s="108" t="e">
        <f t="shared" si="23"/>
        <v>#DIV/0!</v>
      </c>
      <c r="D290" s="108" t="e">
        <f t="shared" si="20"/>
        <v>#DIV/0!</v>
      </c>
      <c r="E290" s="108" t="e">
        <f t="shared" si="21"/>
        <v>#DIV/0!</v>
      </c>
      <c r="F290" s="108" t="e">
        <f t="shared" si="19"/>
        <v>#DIV/0!</v>
      </c>
    </row>
    <row r="291" spans="1:6" x14ac:dyDescent="0.2">
      <c r="A291" s="109">
        <v>280</v>
      </c>
      <c r="B291" s="108" t="e">
        <f t="shared" si="22"/>
        <v>#DIV/0!</v>
      </c>
      <c r="C291" s="108" t="e">
        <f t="shared" si="23"/>
        <v>#DIV/0!</v>
      </c>
      <c r="D291" s="108" t="e">
        <f t="shared" si="20"/>
        <v>#DIV/0!</v>
      </c>
      <c r="E291" s="108" t="e">
        <f t="shared" si="21"/>
        <v>#DIV/0!</v>
      </c>
      <c r="F291" s="108" t="e">
        <f t="shared" si="19"/>
        <v>#DIV/0!</v>
      </c>
    </row>
    <row r="292" spans="1:6" x14ac:dyDescent="0.2">
      <c r="A292" s="109">
        <v>281</v>
      </c>
      <c r="B292" s="108" t="e">
        <f t="shared" si="22"/>
        <v>#DIV/0!</v>
      </c>
      <c r="C292" s="108" t="e">
        <f t="shared" si="23"/>
        <v>#DIV/0!</v>
      </c>
      <c r="D292" s="108" t="e">
        <f t="shared" si="20"/>
        <v>#DIV/0!</v>
      </c>
      <c r="E292" s="108" t="e">
        <f t="shared" si="21"/>
        <v>#DIV/0!</v>
      </c>
      <c r="F292" s="108" t="e">
        <f t="shared" si="19"/>
        <v>#DIV/0!</v>
      </c>
    </row>
    <row r="293" spans="1:6" x14ac:dyDescent="0.2">
      <c r="A293" s="109">
        <v>282</v>
      </c>
      <c r="B293" s="108" t="e">
        <f t="shared" si="22"/>
        <v>#DIV/0!</v>
      </c>
      <c r="C293" s="108" t="e">
        <f t="shared" si="23"/>
        <v>#DIV/0!</v>
      </c>
      <c r="D293" s="108" t="e">
        <f t="shared" si="20"/>
        <v>#DIV/0!</v>
      </c>
      <c r="E293" s="108" t="e">
        <f t="shared" si="21"/>
        <v>#DIV/0!</v>
      </c>
      <c r="F293" s="108" t="e">
        <f t="shared" ref="F293:F356" si="24">E293*0.00025</f>
        <v>#DIV/0!</v>
      </c>
    </row>
    <row r="294" spans="1:6" x14ac:dyDescent="0.2">
      <c r="A294" s="109">
        <v>283</v>
      </c>
      <c r="B294" s="108" t="e">
        <f t="shared" si="22"/>
        <v>#DIV/0!</v>
      </c>
      <c r="C294" s="108" t="e">
        <f t="shared" si="23"/>
        <v>#DIV/0!</v>
      </c>
      <c r="D294" s="108" t="e">
        <f t="shared" si="20"/>
        <v>#DIV/0!</v>
      </c>
      <c r="E294" s="108" t="e">
        <f t="shared" si="21"/>
        <v>#DIV/0!</v>
      </c>
      <c r="F294" s="108" t="e">
        <f t="shared" si="24"/>
        <v>#DIV/0!</v>
      </c>
    </row>
    <row r="295" spans="1:6" x14ac:dyDescent="0.2">
      <c r="A295" s="109">
        <v>284</v>
      </c>
      <c r="B295" s="108" t="e">
        <f t="shared" si="22"/>
        <v>#DIV/0!</v>
      </c>
      <c r="C295" s="108" t="e">
        <f t="shared" si="23"/>
        <v>#DIV/0!</v>
      </c>
      <c r="D295" s="108" t="e">
        <f t="shared" si="20"/>
        <v>#DIV/0!</v>
      </c>
      <c r="E295" s="108" t="e">
        <f t="shared" si="21"/>
        <v>#DIV/0!</v>
      </c>
      <c r="F295" s="108" t="e">
        <f t="shared" si="24"/>
        <v>#DIV/0!</v>
      </c>
    </row>
    <row r="296" spans="1:6" x14ac:dyDescent="0.2">
      <c r="A296" s="109">
        <v>285</v>
      </c>
      <c r="B296" s="108" t="e">
        <f t="shared" si="22"/>
        <v>#DIV/0!</v>
      </c>
      <c r="C296" s="108" t="e">
        <f t="shared" si="23"/>
        <v>#DIV/0!</v>
      </c>
      <c r="D296" s="108" t="e">
        <f t="shared" si="20"/>
        <v>#DIV/0!</v>
      </c>
      <c r="E296" s="108" t="e">
        <f t="shared" si="21"/>
        <v>#DIV/0!</v>
      </c>
      <c r="F296" s="108" t="e">
        <f t="shared" si="24"/>
        <v>#DIV/0!</v>
      </c>
    </row>
    <row r="297" spans="1:6" x14ac:dyDescent="0.2">
      <c r="A297" s="109">
        <v>286</v>
      </c>
      <c r="B297" s="108" t="e">
        <f t="shared" si="22"/>
        <v>#DIV/0!</v>
      </c>
      <c r="C297" s="108" t="e">
        <f t="shared" si="23"/>
        <v>#DIV/0!</v>
      </c>
      <c r="D297" s="108" t="e">
        <f t="shared" si="20"/>
        <v>#DIV/0!</v>
      </c>
      <c r="E297" s="108" t="e">
        <f t="shared" si="21"/>
        <v>#DIV/0!</v>
      </c>
      <c r="F297" s="108" t="e">
        <f t="shared" si="24"/>
        <v>#DIV/0!</v>
      </c>
    </row>
    <row r="298" spans="1:6" x14ac:dyDescent="0.2">
      <c r="A298" s="109">
        <v>287</v>
      </c>
      <c r="B298" s="108" t="e">
        <f t="shared" si="22"/>
        <v>#DIV/0!</v>
      </c>
      <c r="C298" s="108" t="e">
        <f t="shared" si="23"/>
        <v>#DIV/0!</v>
      </c>
      <c r="D298" s="108" t="e">
        <f t="shared" si="20"/>
        <v>#DIV/0!</v>
      </c>
      <c r="E298" s="108" t="e">
        <f t="shared" si="21"/>
        <v>#DIV/0!</v>
      </c>
      <c r="F298" s="108" t="e">
        <f t="shared" si="24"/>
        <v>#DIV/0!</v>
      </c>
    </row>
    <row r="299" spans="1:6" x14ac:dyDescent="0.2">
      <c r="A299" s="109">
        <v>288</v>
      </c>
      <c r="B299" s="108" t="e">
        <f t="shared" si="22"/>
        <v>#DIV/0!</v>
      </c>
      <c r="C299" s="108" t="e">
        <f t="shared" si="23"/>
        <v>#DIV/0!</v>
      </c>
      <c r="D299" s="108" t="e">
        <f t="shared" si="20"/>
        <v>#DIV/0!</v>
      </c>
      <c r="E299" s="108" t="e">
        <f t="shared" si="21"/>
        <v>#DIV/0!</v>
      </c>
      <c r="F299" s="108" t="e">
        <f t="shared" si="24"/>
        <v>#DIV/0!</v>
      </c>
    </row>
    <row r="300" spans="1:6" x14ac:dyDescent="0.2">
      <c r="A300" s="109">
        <v>289</v>
      </c>
      <c r="B300" s="108" t="e">
        <f t="shared" si="22"/>
        <v>#DIV/0!</v>
      </c>
      <c r="C300" s="108" t="e">
        <f t="shared" si="23"/>
        <v>#DIV/0!</v>
      </c>
      <c r="D300" s="108" t="e">
        <f t="shared" si="20"/>
        <v>#DIV/0!</v>
      </c>
      <c r="E300" s="108" t="e">
        <f t="shared" si="21"/>
        <v>#DIV/0!</v>
      </c>
      <c r="F300" s="108" t="e">
        <f t="shared" si="24"/>
        <v>#DIV/0!</v>
      </c>
    </row>
    <row r="301" spans="1:6" x14ac:dyDescent="0.2">
      <c r="A301" s="109">
        <v>290</v>
      </c>
      <c r="B301" s="108" t="e">
        <f t="shared" si="22"/>
        <v>#DIV/0!</v>
      </c>
      <c r="C301" s="108" t="e">
        <f t="shared" si="23"/>
        <v>#DIV/0!</v>
      </c>
      <c r="D301" s="108" t="e">
        <f t="shared" si="20"/>
        <v>#DIV/0!</v>
      </c>
      <c r="E301" s="108" t="e">
        <f t="shared" si="21"/>
        <v>#DIV/0!</v>
      </c>
      <c r="F301" s="108" t="e">
        <f t="shared" si="24"/>
        <v>#DIV/0!</v>
      </c>
    </row>
    <row r="302" spans="1:6" x14ac:dyDescent="0.2">
      <c r="A302" s="109">
        <v>291</v>
      </c>
      <c r="B302" s="108" t="e">
        <f t="shared" si="22"/>
        <v>#DIV/0!</v>
      </c>
      <c r="C302" s="108" t="e">
        <f t="shared" si="23"/>
        <v>#DIV/0!</v>
      </c>
      <c r="D302" s="108" t="e">
        <f t="shared" si="20"/>
        <v>#DIV/0!</v>
      </c>
      <c r="E302" s="108" t="e">
        <f t="shared" si="21"/>
        <v>#DIV/0!</v>
      </c>
      <c r="F302" s="108" t="e">
        <f t="shared" si="24"/>
        <v>#DIV/0!</v>
      </c>
    </row>
    <row r="303" spans="1:6" x14ac:dyDescent="0.2">
      <c r="A303" s="109">
        <v>292</v>
      </c>
      <c r="B303" s="108" t="e">
        <f t="shared" si="22"/>
        <v>#DIV/0!</v>
      </c>
      <c r="C303" s="108" t="e">
        <f t="shared" si="23"/>
        <v>#DIV/0!</v>
      </c>
      <c r="D303" s="108" t="e">
        <f t="shared" si="20"/>
        <v>#DIV/0!</v>
      </c>
      <c r="E303" s="108" t="e">
        <f t="shared" si="21"/>
        <v>#DIV/0!</v>
      </c>
      <c r="F303" s="108" t="e">
        <f t="shared" si="24"/>
        <v>#DIV/0!</v>
      </c>
    </row>
    <row r="304" spans="1:6" x14ac:dyDescent="0.2">
      <c r="A304" s="109">
        <v>293</v>
      </c>
      <c r="B304" s="108" t="e">
        <f t="shared" si="22"/>
        <v>#DIV/0!</v>
      </c>
      <c r="C304" s="108" t="e">
        <f t="shared" si="23"/>
        <v>#DIV/0!</v>
      </c>
      <c r="D304" s="108" t="e">
        <f t="shared" si="20"/>
        <v>#DIV/0!</v>
      </c>
      <c r="E304" s="108" t="e">
        <f t="shared" si="21"/>
        <v>#DIV/0!</v>
      </c>
      <c r="F304" s="108" t="e">
        <f t="shared" si="24"/>
        <v>#DIV/0!</v>
      </c>
    </row>
    <row r="305" spans="1:6" x14ac:dyDescent="0.2">
      <c r="A305" s="109">
        <v>294</v>
      </c>
      <c r="B305" s="108" t="e">
        <f t="shared" si="22"/>
        <v>#DIV/0!</v>
      </c>
      <c r="C305" s="108" t="e">
        <f t="shared" si="23"/>
        <v>#DIV/0!</v>
      </c>
      <c r="D305" s="108" t="e">
        <f t="shared" si="20"/>
        <v>#DIV/0!</v>
      </c>
      <c r="E305" s="108" t="e">
        <f t="shared" si="21"/>
        <v>#DIV/0!</v>
      </c>
      <c r="F305" s="108" t="e">
        <f t="shared" si="24"/>
        <v>#DIV/0!</v>
      </c>
    </row>
    <row r="306" spans="1:6" x14ac:dyDescent="0.2">
      <c r="A306" s="109">
        <v>295</v>
      </c>
      <c r="B306" s="108" t="e">
        <f t="shared" si="22"/>
        <v>#DIV/0!</v>
      </c>
      <c r="C306" s="108" t="e">
        <f t="shared" si="23"/>
        <v>#DIV/0!</v>
      </c>
      <c r="D306" s="108" t="e">
        <f t="shared" si="20"/>
        <v>#DIV/0!</v>
      </c>
      <c r="E306" s="108" t="e">
        <f t="shared" si="21"/>
        <v>#DIV/0!</v>
      </c>
      <c r="F306" s="108" t="e">
        <f t="shared" si="24"/>
        <v>#DIV/0!</v>
      </c>
    </row>
    <row r="307" spans="1:6" x14ac:dyDescent="0.2">
      <c r="A307" s="109">
        <v>296</v>
      </c>
      <c r="B307" s="108" t="e">
        <f t="shared" si="22"/>
        <v>#DIV/0!</v>
      </c>
      <c r="C307" s="108" t="e">
        <f t="shared" si="23"/>
        <v>#DIV/0!</v>
      </c>
      <c r="D307" s="108" t="e">
        <f t="shared" si="20"/>
        <v>#DIV/0!</v>
      </c>
      <c r="E307" s="108" t="e">
        <f t="shared" si="21"/>
        <v>#DIV/0!</v>
      </c>
      <c r="F307" s="108" t="e">
        <f t="shared" si="24"/>
        <v>#DIV/0!</v>
      </c>
    </row>
    <row r="308" spans="1:6" x14ac:dyDescent="0.2">
      <c r="A308" s="109">
        <v>297</v>
      </c>
      <c r="B308" s="108" t="e">
        <f t="shared" si="22"/>
        <v>#DIV/0!</v>
      </c>
      <c r="C308" s="108" t="e">
        <f t="shared" si="23"/>
        <v>#DIV/0!</v>
      </c>
      <c r="D308" s="108" t="e">
        <f t="shared" si="20"/>
        <v>#DIV/0!</v>
      </c>
      <c r="E308" s="108" t="e">
        <f t="shared" si="21"/>
        <v>#DIV/0!</v>
      </c>
      <c r="F308" s="108" t="e">
        <f t="shared" si="24"/>
        <v>#DIV/0!</v>
      </c>
    </row>
    <row r="309" spans="1:6" x14ac:dyDescent="0.2">
      <c r="A309" s="109">
        <v>298</v>
      </c>
      <c r="B309" s="108" t="e">
        <f t="shared" si="22"/>
        <v>#DIV/0!</v>
      </c>
      <c r="C309" s="108" t="e">
        <f t="shared" si="23"/>
        <v>#DIV/0!</v>
      </c>
      <c r="D309" s="108" t="e">
        <f t="shared" si="20"/>
        <v>#DIV/0!</v>
      </c>
      <c r="E309" s="108" t="e">
        <f t="shared" si="21"/>
        <v>#DIV/0!</v>
      </c>
      <c r="F309" s="108" t="e">
        <f t="shared" si="24"/>
        <v>#DIV/0!</v>
      </c>
    </row>
    <row r="310" spans="1:6" x14ac:dyDescent="0.2">
      <c r="A310" s="109">
        <v>299</v>
      </c>
      <c r="B310" s="108" t="e">
        <f t="shared" si="22"/>
        <v>#DIV/0!</v>
      </c>
      <c r="C310" s="108" t="e">
        <f t="shared" si="23"/>
        <v>#DIV/0!</v>
      </c>
      <c r="D310" s="108" t="e">
        <f t="shared" si="20"/>
        <v>#DIV/0!</v>
      </c>
      <c r="E310" s="108" t="e">
        <f t="shared" si="21"/>
        <v>#DIV/0!</v>
      </c>
      <c r="F310" s="108" t="e">
        <f t="shared" si="24"/>
        <v>#DIV/0!</v>
      </c>
    </row>
    <row r="311" spans="1:6" x14ac:dyDescent="0.2">
      <c r="A311" s="109">
        <v>300</v>
      </c>
      <c r="B311" s="108" t="e">
        <f t="shared" si="22"/>
        <v>#DIV/0!</v>
      </c>
      <c r="C311" s="108" t="e">
        <f t="shared" si="23"/>
        <v>#DIV/0!</v>
      </c>
      <c r="D311" s="108" t="e">
        <f t="shared" si="20"/>
        <v>#DIV/0!</v>
      </c>
      <c r="E311" s="108" t="e">
        <f t="shared" si="21"/>
        <v>#DIV/0!</v>
      </c>
      <c r="F311" s="108" t="e">
        <f t="shared" si="24"/>
        <v>#DIV/0!</v>
      </c>
    </row>
    <row r="312" spans="1:6" x14ac:dyDescent="0.2">
      <c r="A312" s="109">
        <v>301</v>
      </c>
      <c r="B312" s="108" t="e">
        <f t="shared" si="22"/>
        <v>#DIV/0!</v>
      </c>
      <c r="C312" s="108" t="e">
        <f t="shared" si="23"/>
        <v>#DIV/0!</v>
      </c>
      <c r="D312" s="108" t="e">
        <f t="shared" si="20"/>
        <v>#DIV/0!</v>
      </c>
      <c r="E312" s="108" t="e">
        <f t="shared" si="21"/>
        <v>#DIV/0!</v>
      </c>
      <c r="F312" s="108" t="e">
        <f t="shared" si="24"/>
        <v>#DIV/0!</v>
      </c>
    </row>
    <row r="313" spans="1:6" x14ac:dyDescent="0.2">
      <c r="A313" s="109">
        <v>302</v>
      </c>
      <c r="B313" s="108" t="e">
        <f t="shared" si="22"/>
        <v>#DIV/0!</v>
      </c>
      <c r="C313" s="108" t="e">
        <f t="shared" si="23"/>
        <v>#DIV/0!</v>
      </c>
      <c r="D313" s="108" t="e">
        <f t="shared" si="20"/>
        <v>#DIV/0!</v>
      </c>
      <c r="E313" s="108" t="e">
        <f t="shared" si="21"/>
        <v>#DIV/0!</v>
      </c>
      <c r="F313" s="108" t="e">
        <f t="shared" si="24"/>
        <v>#DIV/0!</v>
      </c>
    </row>
    <row r="314" spans="1:6" x14ac:dyDescent="0.2">
      <c r="A314" s="109">
        <v>303</v>
      </c>
      <c r="B314" s="108" t="e">
        <f t="shared" si="22"/>
        <v>#DIV/0!</v>
      </c>
      <c r="C314" s="108" t="e">
        <f t="shared" si="23"/>
        <v>#DIV/0!</v>
      </c>
      <c r="D314" s="108" t="e">
        <f t="shared" si="20"/>
        <v>#DIV/0!</v>
      </c>
      <c r="E314" s="108" t="e">
        <f t="shared" si="21"/>
        <v>#DIV/0!</v>
      </c>
      <c r="F314" s="108" t="e">
        <f t="shared" si="24"/>
        <v>#DIV/0!</v>
      </c>
    </row>
    <row r="315" spans="1:6" x14ac:dyDescent="0.2">
      <c r="A315" s="109">
        <v>304</v>
      </c>
      <c r="B315" s="108" t="e">
        <f t="shared" si="22"/>
        <v>#DIV/0!</v>
      </c>
      <c r="C315" s="108" t="e">
        <f t="shared" si="23"/>
        <v>#DIV/0!</v>
      </c>
      <c r="D315" s="108" t="e">
        <f t="shared" si="20"/>
        <v>#DIV/0!</v>
      </c>
      <c r="E315" s="108" t="e">
        <f t="shared" si="21"/>
        <v>#DIV/0!</v>
      </c>
      <c r="F315" s="108" t="e">
        <f t="shared" si="24"/>
        <v>#DIV/0!</v>
      </c>
    </row>
    <row r="316" spans="1:6" x14ac:dyDescent="0.2">
      <c r="A316" s="109">
        <v>305</v>
      </c>
      <c r="B316" s="108" t="e">
        <f t="shared" si="22"/>
        <v>#DIV/0!</v>
      </c>
      <c r="C316" s="108" t="e">
        <f t="shared" si="23"/>
        <v>#DIV/0!</v>
      </c>
      <c r="D316" s="108" t="e">
        <f t="shared" si="20"/>
        <v>#DIV/0!</v>
      </c>
      <c r="E316" s="108" t="e">
        <f t="shared" si="21"/>
        <v>#DIV/0!</v>
      </c>
      <c r="F316" s="108" t="e">
        <f t="shared" si="24"/>
        <v>#DIV/0!</v>
      </c>
    </row>
    <row r="317" spans="1:6" x14ac:dyDescent="0.2">
      <c r="A317" s="109">
        <v>306</v>
      </c>
      <c r="B317" s="108" t="e">
        <f t="shared" si="22"/>
        <v>#DIV/0!</v>
      </c>
      <c r="C317" s="108" t="e">
        <f t="shared" si="23"/>
        <v>#DIV/0!</v>
      </c>
      <c r="D317" s="108" t="e">
        <f t="shared" si="20"/>
        <v>#DIV/0!</v>
      </c>
      <c r="E317" s="108" t="e">
        <f t="shared" si="21"/>
        <v>#DIV/0!</v>
      </c>
      <c r="F317" s="108" t="e">
        <f t="shared" si="24"/>
        <v>#DIV/0!</v>
      </c>
    </row>
    <row r="318" spans="1:6" x14ac:dyDescent="0.2">
      <c r="A318" s="109">
        <v>307</v>
      </c>
      <c r="B318" s="108" t="e">
        <f t="shared" si="22"/>
        <v>#DIV/0!</v>
      </c>
      <c r="C318" s="108" t="e">
        <f t="shared" si="23"/>
        <v>#DIV/0!</v>
      </c>
      <c r="D318" s="108" t="e">
        <f t="shared" si="20"/>
        <v>#DIV/0!</v>
      </c>
      <c r="E318" s="108" t="e">
        <f t="shared" si="21"/>
        <v>#DIV/0!</v>
      </c>
      <c r="F318" s="108" t="e">
        <f t="shared" si="24"/>
        <v>#DIV/0!</v>
      </c>
    </row>
    <row r="319" spans="1:6" x14ac:dyDescent="0.2">
      <c r="A319" s="109">
        <v>308</v>
      </c>
      <c r="B319" s="108" t="e">
        <f t="shared" si="22"/>
        <v>#DIV/0!</v>
      </c>
      <c r="C319" s="108" t="e">
        <f t="shared" si="23"/>
        <v>#DIV/0!</v>
      </c>
      <c r="D319" s="108" t="e">
        <f t="shared" si="20"/>
        <v>#DIV/0!</v>
      </c>
      <c r="E319" s="108" t="e">
        <f t="shared" si="21"/>
        <v>#DIV/0!</v>
      </c>
      <c r="F319" s="108" t="e">
        <f t="shared" si="24"/>
        <v>#DIV/0!</v>
      </c>
    </row>
    <row r="320" spans="1:6" x14ac:dyDescent="0.2">
      <c r="A320" s="109">
        <v>309</v>
      </c>
      <c r="B320" s="108" t="e">
        <f t="shared" si="22"/>
        <v>#DIV/0!</v>
      </c>
      <c r="C320" s="108" t="e">
        <f t="shared" si="23"/>
        <v>#DIV/0!</v>
      </c>
      <c r="D320" s="108" t="e">
        <f t="shared" si="20"/>
        <v>#DIV/0!</v>
      </c>
      <c r="E320" s="108" t="e">
        <f t="shared" si="21"/>
        <v>#DIV/0!</v>
      </c>
      <c r="F320" s="108" t="e">
        <f t="shared" si="24"/>
        <v>#DIV/0!</v>
      </c>
    </row>
    <row r="321" spans="1:6" x14ac:dyDescent="0.2">
      <c r="A321" s="109">
        <v>310</v>
      </c>
      <c r="B321" s="108" t="e">
        <f t="shared" si="22"/>
        <v>#DIV/0!</v>
      </c>
      <c r="C321" s="108" t="e">
        <f t="shared" si="23"/>
        <v>#DIV/0!</v>
      </c>
      <c r="D321" s="108" t="e">
        <f t="shared" si="20"/>
        <v>#DIV/0!</v>
      </c>
      <c r="E321" s="108" t="e">
        <f t="shared" si="21"/>
        <v>#DIV/0!</v>
      </c>
      <c r="F321" s="108" t="e">
        <f t="shared" si="24"/>
        <v>#DIV/0!</v>
      </c>
    </row>
    <row r="322" spans="1:6" x14ac:dyDescent="0.2">
      <c r="A322" s="109">
        <v>311</v>
      </c>
      <c r="B322" s="108" t="e">
        <f t="shared" si="22"/>
        <v>#DIV/0!</v>
      </c>
      <c r="C322" s="108" t="e">
        <f t="shared" si="23"/>
        <v>#DIV/0!</v>
      </c>
      <c r="D322" s="108" t="e">
        <f t="shared" si="20"/>
        <v>#DIV/0!</v>
      </c>
      <c r="E322" s="108" t="e">
        <f t="shared" si="21"/>
        <v>#DIV/0!</v>
      </c>
      <c r="F322" s="108" t="e">
        <f t="shared" si="24"/>
        <v>#DIV/0!</v>
      </c>
    </row>
    <row r="323" spans="1:6" x14ac:dyDescent="0.2">
      <c r="A323" s="109">
        <v>312</v>
      </c>
      <c r="B323" s="108" t="e">
        <f t="shared" si="22"/>
        <v>#DIV/0!</v>
      </c>
      <c r="C323" s="108" t="e">
        <f t="shared" si="23"/>
        <v>#DIV/0!</v>
      </c>
      <c r="D323" s="108" t="e">
        <f t="shared" si="20"/>
        <v>#DIV/0!</v>
      </c>
      <c r="E323" s="108" t="e">
        <f t="shared" si="21"/>
        <v>#DIV/0!</v>
      </c>
      <c r="F323" s="108" t="e">
        <f t="shared" si="24"/>
        <v>#DIV/0!</v>
      </c>
    </row>
    <row r="324" spans="1:6" x14ac:dyDescent="0.2">
      <c r="A324" s="109">
        <v>313</v>
      </c>
      <c r="B324" s="108" t="e">
        <f t="shared" si="22"/>
        <v>#DIV/0!</v>
      </c>
      <c r="C324" s="108" t="e">
        <f t="shared" si="23"/>
        <v>#DIV/0!</v>
      </c>
      <c r="D324" s="108" t="e">
        <f t="shared" si="20"/>
        <v>#DIV/0!</v>
      </c>
      <c r="E324" s="108" t="e">
        <f t="shared" si="21"/>
        <v>#DIV/0!</v>
      </c>
      <c r="F324" s="108" t="e">
        <f t="shared" si="24"/>
        <v>#DIV/0!</v>
      </c>
    </row>
    <row r="325" spans="1:6" x14ac:dyDescent="0.2">
      <c r="A325" s="109">
        <v>314</v>
      </c>
      <c r="B325" s="108" t="e">
        <f t="shared" si="22"/>
        <v>#DIV/0!</v>
      </c>
      <c r="C325" s="108" t="e">
        <f t="shared" si="23"/>
        <v>#DIV/0!</v>
      </c>
      <c r="D325" s="108" t="e">
        <f t="shared" si="20"/>
        <v>#DIV/0!</v>
      </c>
      <c r="E325" s="108" t="e">
        <f t="shared" si="21"/>
        <v>#DIV/0!</v>
      </c>
      <c r="F325" s="108" t="e">
        <f t="shared" si="24"/>
        <v>#DIV/0!</v>
      </c>
    </row>
    <row r="326" spans="1:6" x14ac:dyDescent="0.2">
      <c r="A326" s="109">
        <v>315</v>
      </c>
      <c r="B326" s="108" t="e">
        <f t="shared" si="22"/>
        <v>#DIV/0!</v>
      </c>
      <c r="C326" s="108" t="e">
        <f t="shared" si="23"/>
        <v>#DIV/0!</v>
      </c>
      <c r="D326" s="108" t="e">
        <f t="shared" si="20"/>
        <v>#DIV/0!</v>
      </c>
      <c r="E326" s="108" t="e">
        <f t="shared" si="21"/>
        <v>#DIV/0!</v>
      </c>
      <c r="F326" s="108" t="e">
        <f t="shared" si="24"/>
        <v>#DIV/0!</v>
      </c>
    </row>
    <row r="327" spans="1:6" x14ac:dyDescent="0.2">
      <c r="A327" s="109">
        <v>316</v>
      </c>
      <c r="B327" s="108" t="e">
        <f t="shared" si="22"/>
        <v>#DIV/0!</v>
      </c>
      <c r="C327" s="108" t="e">
        <f t="shared" si="23"/>
        <v>#DIV/0!</v>
      </c>
      <c r="D327" s="108" t="e">
        <f t="shared" si="20"/>
        <v>#DIV/0!</v>
      </c>
      <c r="E327" s="108" t="e">
        <f t="shared" si="21"/>
        <v>#DIV/0!</v>
      </c>
      <c r="F327" s="108" t="e">
        <f t="shared" si="24"/>
        <v>#DIV/0!</v>
      </c>
    </row>
    <row r="328" spans="1:6" x14ac:dyDescent="0.2">
      <c r="A328" s="109">
        <v>317</v>
      </c>
      <c r="B328" s="108" t="e">
        <f t="shared" si="22"/>
        <v>#DIV/0!</v>
      </c>
      <c r="C328" s="108" t="e">
        <f t="shared" si="23"/>
        <v>#DIV/0!</v>
      </c>
      <c r="D328" s="108" t="e">
        <f t="shared" si="20"/>
        <v>#DIV/0!</v>
      </c>
      <c r="E328" s="108" t="e">
        <f t="shared" si="21"/>
        <v>#DIV/0!</v>
      </c>
      <c r="F328" s="108" t="e">
        <f t="shared" si="24"/>
        <v>#DIV/0!</v>
      </c>
    </row>
    <row r="329" spans="1:6" x14ac:dyDescent="0.2">
      <c r="A329" s="109">
        <v>318</v>
      </c>
      <c r="B329" s="108" t="e">
        <f t="shared" si="22"/>
        <v>#DIV/0!</v>
      </c>
      <c r="C329" s="108" t="e">
        <f t="shared" si="23"/>
        <v>#DIV/0!</v>
      </c>
      <c r="D329" s="108" t="e">
        <f t="shared" si="20"/>
        <v>#DIV/0!</v>
      </c>
      <c r="E329" s="108" t="e">
        <f t="shared" si="21"/>
        <v>#DIV/0!</v>
      </c>
      <c r="F329" s="108" t="e">
        <f t="shared" si="24"/>
        <v>#DIV/0!</v>
      </c>
    </row>
    <row r="330" spans="1:6" x14ac:dyDescent="0.2">
      <c r="A330" s="109">
        <v>319</v>
      </c>
      <c r="B330" s="108" t="e">
        <f t="shared" si="22"/>
        <v>#DIV/0!</v>
      </c>
      <c r="C330" s="108" t="e">
        <f t="shared" si="23"/>
        <v>#DIV/0!</v>
      </c>
      <c r="D330" s="108" t="e">
        <f t="shared" si="20"/>
        <v>#DIV/0!</v>
      </c>
      <c r="E330" s="108" t="e">
        <f t="shared" si="21"/>
        <v>#DIV/0!</v>
      </c>
      <c r="F330" s="108" t="e">
        <f t="shared" si="24"/>
        <v>#DIV/0!</v>
      </c>
    </row>
    <row r="331" spans="1:6" x14ac:dyDescent="0.2">
      <c r="A331" s="109">
        <v>320</v>
      </c>
      <c r="B331" s="108" t="e">
        <f t="shared" si="22"/>
        <v>#DIV/0!</v>
      </c>
      <c r="C331" s="108" t="e">
        <f t="shared" si="23"/>
        <v>#DIV/0!</v>
      </c>
      <c r="D331" s="108" t="e">
        <f t="shared" si="20"/>
        <v>#DIV/0!</v>
      </c>
      <c r="E331" s="108" t="e">
        <f t="shared" si="21"/>
        <v>#DIV/0!</v>
      </c>
      <c r="F331" s="108" t="e">
        <f t="shared" si="24"/>
        <v>#DIV/0!</v>
      </c>
    </row>
    <row r="332" spans="1:6" x14ac:dyDescent="0.2">
      <c r="A332" s="109">
        <v>321</v>
      </c>
      <c r="B332" s="108" t="e">
        <f t="shared" si="22"/>
        <v>#DIV/0!</v>
      </c>
      <c r="C332" s="108" t="e">
        <f t="shared" si="23"/>
        <v>#DIV/0!</v>
      </c>
      <c r="D332" s="108" t="e">
        <f t="shared" ref="D332:D395" si="25">SUM(B332+C332)</f>
        <v>#DIV/0!</v>
      </c>
      <c r="E332" s="108" t="e">
        <f t="shared" ref="E332:E395" si="26">SUM(E331-B332)</f>
        <v>#DIV/0!</v>
      </c>
      <c r="F332" s="108" t="e">
        <f t="shared" si="24"/>
        <v>#DIV/0!</v>
      </c>
    </row>
    <row r="333" spans="1:6" x14ac:dyDescent="0.2">
      <c r="A333" s="109">
        <v>322</v>
      </c>
      <c r="B333" s="108" t="e">
        <f t="shared" ref="B333:B371" si="27">SUM($B$3/$B$5)</f>
        <v>#DIV/0!</v>
      </c>
      <c r="C333" s="108" t="e">
        <f t="shared" ref="C333:C371" si="28">SUM(E332*($B$4*(1/12)))</f>
        <v>#DIV/0!</v>
      </c>
      <c r="D333" s="108" t="e">
        <f t="shared" si="25"/>
        <v>#DIV/0!</v>
      </c>
      <c r="E333" s="108" t="e">
        <f t="shared" si="26"/>
        <v>#DIV/0!</v>
      </c>
      <c r="F333" s="108" t="e">
        <f t="shared" si="24"/>
        <v>#DIV/0!</v>
      </c>
    </row>
    <row r="334" spans="1:6" x14ac:dyDescent="0.2">
      <c r="A334" s="109">
        <v>323</v>
      </c>
      <c r="B334" s="108" t="e">
        <f t="shared" si="27"/>
        <v>#DIV/0!</v>
      </c>
      <c r="C334" s="108" t="e">
        <f t="shared" si="28"/>
        <v>#DIV/0!</v>
      </c>
      <c r="D334" s="108" t="e">
        <f t="shared" si="25"/>
        <v>#DIV/0!</v>
      </c>
      <c r="E334" s="108" t="e">
        <f t="shared" si="26"/>
        <v>#DIV/0!</v>
      </c>
      <c r="F334" s="108" t="e">
        <f t="shared" si="24"/>
        <v>#DIV/0!</v>
      </c>
    </row>
    <row r="335" spans="1:6" x14ac:dyDescent="0.2">
      <c r="A335" s="109">
        <v>324</v>
      </c>
      <c r="B335" s="108" t="e">
        <f t="shared" si="27"/>
        <v>#DIV/0!</v>
      </c>
      <c r="C335" s="108" t="e">
        <f t="shared" si="28"/>
        <v>#DIV/0!</v>
      </c>
      <c r="D335" s="108" t="e">
        <f t="shared" si="25"/>
        <v>#DIV/0!</v>
      </c>
      <c r="E335" s="108" t="e">
        <f t="shared" si="26"/>
        <v>#DIV/0!</v>
      </c>
      <c r="F335" s="108" t="e">
        <f t="shared" si="24"/>
        <v>#DIV/0!</v>
      </c>
    </row>
    <row r="336" spans="1:6" x14ac:dyDescent="0.2">
      <c r="A336" s="109">
        <v>325</v>
      </c>
      <c r="B336" s="108" t="e">
        <f t="shared" si="27"/>
        <v>#DIV/0!</v>
      </c>
      <c r="C336" s="108" t="e">
        <f t="shared" si="28"/>
        <v>#DIV/0!</v>
      </c>
      <c r="D336" s="108" t="e">
        <f t="shared" si="25"/>
        <v>#DIV/0!</v>
      </c>
      <c r="E336" s="108" t="e">
        <f t="shared" si="26"/>
        <v>#DIV/0!</v>
      </c>
      <c r="F336" s="108" t="e">
        <f t="shared" si="24"/>
        <v>#DIV/0!</v>
      </c>
    </row>
    <row r="337" spans="1:6" x14ac:dyDescent="0.2">
      <c r="A337" s="109">
        <v>326</v>
      </c>
      <c r="B337" s="108" t="e">
        <f t="shared" si="27"/>
        <v>#DIV/0!</v>
      </c>
      <c r="C337" s="108" t="e">
        <f t="shared" si="28"/>
        <v>#DIV/0!</v>
      </c>
      <c r="D337" s="108" t="e">
        <f t="shared" si="25"/>
        <v>#DIV/0!</v>
      </c>
      <c r="E337" s="108" t="e">
        <f t="shared" si="26"/>
        <v>#DIV/0!</v>
      </c>
      <c r="F337" s="108" t="e">
        <f t="shared" si="24"/>
        <v>#DIV/0!</v>
      </c>
    </row>
    <row r="338" spans="1:6" x14ac:dyDescent="0.2">
      <c r="A338" s="109">
        <v>327</v>
      </c>
      <c r="B338" s="108" t="e">
        <f t="shared" si="27"/>
        <v>#DIV/0!</v>
      </c>
      <c r="C338" s="108" t="e">
        <f t="shared" si="28"/>
        <v>#DIV/0!</v>
      </c>
      <c r="D338" s="108" t="e">
        <f t="shared" si="25"/>
        <v>#DIV/0!</v>
      </c>
      <c r="E338" s="108" t="e">
        <f t="shared" si="26"/>
        <v>#DIV/0!</v>
      </c>
      <c r="F338" s="108" t="e">
        <f t="shared" si="24"/>
        <v>#DIV/0!</v>
      </c>
    </row>
    <row r="339" spans="1:6" x14ac:dyDescent="0.2">
      <c r="A339" s="109">
        <v>328</v>
      </c>
      <c r="B339" s="108" t="e">
        <f t="shared" si="27"/>
        <v>#DIV/0!</v>
      </c>
      <c r="C339" s="108" t="e">
        <f t="shared" si="28"/>
        <v>#DIV/0!</v>
      </c>
      <c r="D339" s="108" t="e">
        <f t="shared" si="25"/>
        <v>#DIV/0!</v>
      </c>
      <c r="E339" s="108" t="e">
        <f t="shared" si="26"/>
        <v>#DIV/0!</v>
      </c>
      <c r="F339" s="108" t="e">
        <f t="shared" si="24"/>
        <v>#DIV/0!</v>
      </c>
    </row>
    <row r="340" spans="1:6" x14ac:dyDescent="0.2">
      <c r="A340" s="109">
        <v>329</v>
      </c>
      <c r="B340" s="108" t="e">
        <f t="shared" si="27"/>
        <v>#DIV/0!</v>
      </c>
      <c r="C340" s="108" t="e">
        <f t="shared" si="28"/>
        <v>#DIV/0!</v>
      </c>
      <c r="D340" s="108" t="e">
        <f t="shared" si="25"/>
        <v>#DIV/0!</v>
      </c>
      <c r="E340" s="108" t="e">
        <f t="shared" si="26"/>
        <v>#DIV/0!</v>
      </c>
      <c r="F340" s="108" t="e">
        <f t="shared" si="24"/>
        <v>#DIV/0!</v>
      </c>
    </row>
    <row r="341" spans="1:6" x14ac:dyDescent="0.2">
      <c r="A341" s="109">
        <v>330</v>
      </c>
      <c r="B341" s="108" t="e">
        <f t="shared" si="27"/>
        <v>#DIV/0!</v>
      </c>
      <c r="C341" s="108" t="e">
        <f t="shared" si="28"/>
        <v>#DIV/0!</v>
      </c>
      <c r="D341" s="108" t="e">
        <f t="shared" si="25"/>
        <v>#DIV/0!</v>
      </c>
      <c r="E341" s="108" t="e">
        <f t="shared" si="26"/>
        <v>#DIV/0!</v>
      </c>
      <c r="F341" s="108" t="e">
        <f t="shared" si="24"/>
        <v>#DIV/0!</v>
      </c>
    </row>
    <row r="342" spans="1:6" x14ac:dyDescent="0.2">
      <c r="A342" s="109">
        <v>331</v>
      </c>
      <c r="B342" s="108" t="e">
        <f t="shared" si="27"/>
        <v>#DIV/0!</v>
      </c>
      <c r="C342" s="108" t="e">
        <f t="shared" si="28"/>
        <v>#DIV/0!</v>
      </c>
      <c r="D342" s="108" t="e">
        <f t="shared" si="25"/>
        <v>#DIV/0!</v>
      </c>
      <c r="E342" s="108" t="e">
        <f t="shared" si="26"/>
        <v>#DIV/0!</v>
      </c>
      <c r="F342" s="108" t="e">
        <f t="shared" si="24"/>
        <v>#DIV/0!</v>
      </c>
    </row>
    <row r="343" spans="1:6" x14ac:dyDescent="0.2">
      <c r="A343" s="109">
        <v>332</v>
      </c>
      <c r="B343" s="108" t="e">
        <f t="shared" si="27"/>
        <v>#DIV/0!</v>
      </c>
      <c r="C343" s="108" t="e">
        <f t="shared" si="28"/>
        <v>#DIV/0!</v>
      </c>
      <c r="D343" s="108" t="e">
        <f t="shared" si="25"/>
        <v>#DIV/0!</v>
      </c>
      <c r="E343" s="108" t="e">
        <f t="shared" si="26"/>
        <v>#DIV/0!</v>
      </c>
      <c r="F343" s="108" t="e">
        <f t="shared" si="24"/>
        <v>#DIV/0!</v>
      </c>
    </row>
    <row r="344" spans="1:6" x14ac:dyDescent="0.2">
      <c r="A344" s="109">
        <v>333</v>
      </c>
      <c r="B344" s="108" t="e">
        <f t="shared" si="27"/>
        <v>#DIV/0!</v>
      </c>
      <c r="C344" s="108" t="e">
        <f t="shared" si="28"/>
        <v>#DIV/0!</v>
      </c>
      <c r="D344" s="108" t="e">
        <f t="shared" si="25"/>
        <v>#DIV/0!</v>
      </c>
      <c r="E344" s="108" t="e">
        <f t="shared" si="26"/>
        <v>#DIV/0!</v>
      </c>
      <c r="F344" s="108" t="e">
        <f t="shared" si="24"/>
        <v>#DIV/0!</v>
      </c>
    </row>
    <row r="345" spans="1:6" x14ac:dyDescent="0.2">
      <c r="A345" s="109">
        <v>334</v>
      </c>
      <c r="B345" s="108" t="e">
        <f t="shared" si="27"/>
        <v>#DIV/0!</v>
      </c>
      <c r="C345" s="108" t="e">
        <f t="shared" si="28"/>
        <v>#DIV/0!</v>
      </c>
      <c r="D345" s="108" t="e">
        <f t="shared" si="25"/>
        <v>#DIV/0!</v>
      </c>
      <c r="E345" s="108" t="e">
        <f t="shared" si="26"/>
        <v>#DIV/0!</v>
      </c>
      <c r="F345" s="108" t="e">
        <f t="shared" si="24"/>
        <v>#DIV/0!</v>
      </c>
    </row>
    <row r="346" spans="1:6" x14ac:dyDescent="0.2">
      <c r="A346" s="109">
        <v>335</v>
      </c>
      <c r="B346" s="108" t="e">
        <f t="shared" si="27"/>
        <v>#DIV/0!</v>
      </c>
      <c r="C346" s="108" t="e">
        <f t="shared" si="28"/>
        <v>#DIV/0!</v>
      </c>
      <c r="D346" s="108" t="e">
        <f t="shared" si="25"/>
        <v>#DIV/0!</v>
      </c>
      <c r="E346" s="108" t="e">
        <f t="shared" si="26"/>
        <v>#DIV/0!</v>
      </c>
      <c r="F346" s="108" t="e">
        <f t="shared" si="24"/>
        <v>#DIV/0!</v>
      </c>
    </row>
    <row r="347" spans="1:6" x14ac:dyDescent="0.2">
      <c r="A347" s="109">
        <v>336</v>
      </c>
      <c r="B347" s="108" t="e">
        <f t="shared" si="27"/>
        <v>#DIV/0!</v>
      </c>
      <c r="C347" s="108" t="e">
        <f t="shared" si="28"/>
        <v>#DIV/0!</v>
      </c>
      <c r="D347" s="108" t="e">
        <f t="shared" si="25"/>
        <v>#DIV/0!</v>
      </c>
      <c r="E347" s="108" t="e">
        <f t="shared" si="26"/>
        <v>#DIV/0!</v>
      </c>
      <c r="F347" s="108" t="e">
        <f t="shared" si="24"/>
        <v>#DIV/0!</v>
      </c>
    </row>
    <row r="348" spans="1:6" x14ac:dyDescent="0.2">
      <c r="A348" s="109">
        <v>337</v>
      </c>
      <c r="B348" s="108" t="e">
        <f t="shared" si="27"/>
        <v>#DIV/0!</v>
      </c>
      <c r="C348" s="108" t="e">
        <f t="shared" si="28"/>
        <v>#DIV/0!</v>
      </c>
      <c r="D348" s="108" t="e">
        <f t="shared" si="25"/>
        <v>#DIV/0!</v>
      </c>
      <c r="E348" s="108" t="e">
        <f t="shared" si="26"/>
        <v>#DIV/0!</v>
      </c>
      <c r="F348" s="108" t="e">
        <f t="shared" si="24"/>
        <v>#DIV/0!</v>
      </c>
    </row>
    <row r="349" spans="1:6" x14ac:dyDescent="0.2">
      <c r="A349" s="109">
        <v>338</v>
      </c>
      <c r="B349" s="108" t="e">
        <f t="shared" si="27"/>
        <v>#DIV/0!</v>
      </c>
      <c r="C349" s="108" t="e">
        <f t="shared" si="28"/>
        <v>#DIV/0!</v>
      </c>
      <c r="D349" s="108" t="e">
        <f t="shared" si="25"/>
        <v>#DIV/0!</v>
      </c>
      <c r="E349" s="108" t="e">
        <f t="shared" si="26"/>
        <v>#DIV/0!</v>
      </c>
      <c r="F349" s="108" t="e">
        <f t="shared" si="24"/>
        <v>#DIV/0!</v>
      </c>
    </row>
    <row r="350" spans="1:6" x14ac:dyDescent="0.2">
      <c r="A350" s="109">
        <v>339</v>
      </c>
      <c r="B350" s="108" t="e">
        <f t="shared" si="27"/>
        <v>#DIV/0!</v>
      </c>
      <c r="C350" s="108" t="e">
        <f t="shared" si="28"/>
        <v>#DIV/0!</v>
      </c>
      <c r="D350" s="108" t="e">
        <f t="shared" si="25"/>
        <v>#DIV/0!</v>
      </c>
      <c r="E350" s="108" t="e">
        <f t="shared" si="26"/>
        <v>#DIV/0!</v>
      </c>
      <c r="F350" s="108" t="e">
        <f t="shared" si="24"/>
        <v>#DIV/0!</v>
      </c>
    </row>
    <row r="351" spans="1:6" x14ac:dyDescent="0.2">
      <c r="A351" s="109">
        <v>340</v>
      </c>
      <c r="B351" s="108" t="e">
        <f t="shared" si="27"/>
        <v>#DIV/0!</v>
      </c>
      <c r="C351" s="108" t="e">
        <f t="shared" si="28"/>
        <v>#DIV/0!</v>
      </c>
      <c r="D351" s="108" t="e">
        <f t="shared" si="25"/>
        <v>#DIV/0!</v>
      </c>
      <c r="E351" s="108" t="e">
        <f t="shared" si="26"/>
        <v>#DIV/0!</v>
      </c>
      <c r="F351" s="108" t="e">
        <f t="shared" si="24"/>
        <v>#DIV/0!</v>
      </c>
    </row>
    <row r="352" spans="1:6" x14ac:dyDescent="0.2">
      <c r="A352" s="109">
        <v>341</v>
      </c>
      <c r="B352" s="108" t="e">
        <f t="shared" si="27"/>
        <v>#DIV/0!</v>
      </c>
      <c r="C352" s="108" t="e">
        <f t="shared" si="28"/>
        <v>#DIV/0!</v>
      </c>
      <c r="D352" s="108" t="e">
        <f t="shared" si="25"/>
        <v>#DIV/0!</v>
      </c>
      <c r="E352" s="108" t="e">
        <f t="shared" si="26"/>
        <v>#DIV/0!</v>
      </c>
      <c r="F352" s="108" t="e">
        <f t="shared" si="24"/>
        <v>#DIV/0!</v>
      </c>
    </row>
    <row r="353" spans="1:6" x14ac:dyDescent="0.2">
      <c r="A353" s="109">
        <v>342</v>
      </c>
      <c r="B353" s="108" t="e">
        <f t="shared" si="27"/>
        <v>#DIV/0!</v>
      </c>
      <c r="C353" s="108" t="e">
        <f t="shared" si="28"/>
        <v>#DIV/0!</v>
      </c>
      <c r="D353" s="108" t="e">
        <f t="shared" si="25"/>
        <v>#DIV/0!</v>
      </c>
      <c r="E353" s="108" t="e">
        <f t="shared" si="26"/>
        <v>#DIV/0!</v>
      </c>
      <c r="F353" s="108" t="e">
        <f t="shared" si="24"/>
        <v>#DIV/0!</v>
      </c>
    </row>
    <row r="354" spans="1:6" x14ac:dyDescent="0.2">
      <c r="A354" s="109">
        <v>343</v>
      </c>
      <c r="B354" s="108" t="e">
        <f t="shared" si="27"/>
        <v>#DIV/0!</v>
      </c>
      <c r="C354" s="108" t="e">
        <f t="shared" si="28"/>
        <v>#DIV/0!</v>
      </c>
      <c r="D354" s="108" t="e">
        <f t="shared" si="25"/>
        <v>#DIV/0!</v>
      </c>
      <c r="E354" s="108" t="e">
        <f t="shared" si="26"/>
        <v>#DIV/0!</v>
      </c>
      <c r="F354" s="108" t="e">
        <f t="shared" si="24"/>
        <v>#DIV/0!</v>
      </c>
    </row>
    <row r="355" spans="1:6" x14ac:dyDescent="0.2">
      <c r="A355" s="109">
        <v>344</v>
      </c>
      <c r="B355" s="108" t="e">
        <f t="shared" si="27"/>
        <v>#DIV/0!</v>
      </c>
      <c r="C355" s="108" t="e">
        <f t="shared" si="28"/>
        <v>#DIV/0!</v>
      </c>
      <c r="D355" s="108" t="e">
        <f t="shared" si="25"/>
        <v>#DIV/0!</v>
      </c>
      <c r="E355" s="108" t="e">
        <f t="shared" si="26"/>
        <v>#DIV/0!</v>
      </c>
      <c r="F355" s="108" t="e">
        <f t="shared" si="24"/>
        <v>#DIV/0!</v>
      </c>
    </row>
    <row r="356" spans="1:6" x14ac:dyDescent="0.2">
      <c r="A356" s="109">
        <v>345</v>
      </c>
      <c r="B356" s="108" t="e">
        <f t="shared" si="27"/>
        <v>#DIV/0!</v>
      </c>
      <c r="C356" s="108" t="e">
        <f t="shared" si="28"/>
        <v>#DIV/0!</v>
      </c>
      <c r="D356" s="108" t="e">
        <f t="shared" si="25"/>
        <v>#DIV/0!</v>
      </c>
      <c r="E356" s="108" t="e">
        <f t="shared" si="26"/>
        <v>#DIV/0!</v>
      </c>
      <c r="F356" s="108" t="e">
        <f t="shared" si="24"/>
        <v>#DIV/0!</v>
      </c>
    </row>
    <row r="357" spans="1:6" x14ac:dyDescent="0.2">
      <c r="A357" s="109">
        <v>346</v>
      </c>
      <c r="B357" s="108" t="e">
        <f t="shared" si="27"/>
        <v>#DIV/0!</v>
      </c>
      <c r="C357" s="108" t="e">
        <f t="shared" si="28"/>
        <v>#DIV/0!</v>
      </c>
      <c r="D357" s="108" t="e">
        <f t="shared" si="25"/>
        <v>#DIV/0!</v>
      </c>
      <c r="E357" s="108" t="e">
        <f t="shared" si="26"/>
        <v>#DIV/0!</v>
      </c>
      <c r="F357" s="108" t="e">
        <f t="shared" ref="F357:F420" si="29">E357*0.00025</f>
        <v>#DIV/0!</v>
      </c>
    </row>
    <row r="358" spans="1:6" x14ac:dyDescent="0.2">
      <c r="A358" s="109">
        <v>347</v>
      </c>
      <c r="B358" s="108" t="e">
        <f t="shared" si="27"/>
        <v>#DIV/0!</v>
      </c>
      <c r="C358" s="108" t="e">
        <f t="shared" si="28"/>
        <v>#DIV/0!</v>
      </c>
      <c r="D358" s="108" t="e">
        <f t="shared" si="25"/>
        <v>#DIV/0!</v>
      </c>
      <c r="E358" s="108" t="e">
        <f t="shared" si="26"/>
        <v>#DIV/0!</v>
      </c>
      <c r="F358" s="108" t="e">
        <f t="shared" si="29"/>
        <v>#DIV/0!</v>
      </c>
    </row>
    <row r="359" spans="1:6" x14ac:dyDescent="0.2">
      <c r="A359" s="109">
        <v>348</v>
      </c>
      <c r="B359" s="108" t="e">
        <f t="shared" si="27"/>
        <v>#DIV/0!</v>
      </c>
      <c r="C359" s="108" t="e">
        <f t="shared" si="28"/>
        <v>#DIV/0!</v>
      </c>
      <c r="D359" s="108" t="e">
        <f t="shared" si="25"/>
        <v>#DIV/0!</v>
      </c>
      <c r="E359" s="108" t="e">
        <f t="shared" si="26"/>
        <v>#DIV/0!</v>
      </c>
      <c r="F359" s="108" t="e">
        <f t="shared" si="29"/>
        <v>#DIV/0!</v>
      </c>
    </row>
    <row r="360" spans="1:6" x14ac:dyDescent="0.2">
      <c r="A360" s="109">
        <v>349</v>
      </c>
      <c r="B360" s="108" t="e">
        <f t="shared" si="27"/>
        <v>#DIV/0!</v>
      </c>
      <c r="C360" s="108" t="e">
        <f t="shared" si="28"/>
        <v>#DIV/0!</v>
      </c>
      <c r="D360" s="108" t="e">
        <f t="shared" si="25"/>
        <v>#DIV/0!</v>
      </c>
      <c r="E360" s="108" t="e">
        <f t="shared" si="26"/>
        <v>#DIV/0!</v>
      </c>
      <c r="F360" s="108" t="e">
        <f t="shared" si="29"/>
        <v>#DIV/0!</v>
      </c>
    </row>
    <row r="361" spans="1:6" x14ac:dyDescent="0.2">
      <c r="A361" s="109">
        <v>350</v>
      </c>
      <c r="B361" s="108" t="e">
        <f t="shared" si="27"/>
        <v>#DIV/0!</v>
      </c>
      <c r="C361" s="108" t="e">
        <f t="shared" si="28"/>
        <v>#DIV/0!</v>
      </c>
      <c r="D361" s="108" t="e">
        <f t="shared" si="25"/>
        <v>#DIV/0!</v>
      </c>
      <c r="E361" s="108" t="e">
        <f t="shared" si="26"/>
        <v>#DIV/0!</v>
      </c>
      <c r="F361" s="108" t="e">
        <f t="shared" si="29"/>
        <v>#DIV/0!</v>
      </c>
    </row>
    <row r="362" spans="1:6" x14ac:dyDescent="0.2">
      <c r="A362" s="109">
        <v>351</v>
      </c>
      <c r="B362" s="108" t="e">
        <f t="shared" si="27"/>
        <v>#DIV/0!</v>
      </c>
      <c r="C362" s="108" t="e">
        <f t="shared" si="28"/>
        <v>#DIV/0!</v>
      </c>
      <c r="D362" s="108" t="e">
        <f t="shared" si="25"/>
        <v>#DIV/0!</v>
      </c>
      <c r="E362" s="108" t="e">
        <f t="shared" si="26"/>
        <v>#DIV/0!</v>
      </c>
      <c r="F362" s="108" t="e">
        <f t="shared" si="29"/>
        <v>#DIV/0!</v>
      </c>
    </row>
    <row r="363" spans="1:6" x14ac:dyDescent="0.2">
      <c r="A363" s="109">
        <v>352</v>
      </c>
      <c r="B363" s="108" t="e">
        <f t="shared" si="27"/>
        <v>#DIV/0!</v>
      </c>
      <c r="C363" s="108" t="e">
        <f t="shared" si="28"/>
        <v>#DIV/0!</v>
      </c>
      <c r="D363" s="108" t="e">
        <f t="shared" si="25"/>
        <v>#DIV/0!</v>
      </c>
      <c r="E363" s="108" t="e">
        <f t="shared" si="26"/>
        <v>#DIV/0!</v>
      </c>
      <c r="F363" s="108" t="e">
        <f t="shared" si="29"/>
        <v>#DIV/0!</v>
      </c>
    </row>
    <row r="364" spans="1:6" x14ac:dyDescent="0.2">
      <c r="A364" s="109">
        <v>353</v>
      </c>
      <c r="B364" s="108" t="e">
        <f t="shared" si="27"/>
        <v>#DIV/0!</v>
      </c>
      <c r="C364" s="108" t="e">
        <f t="shared" si="28"/>
        <v>#DIV/0!</v>
      </c>
      <c r="D364" s="108" t="e">
        <f t="shared" si="25"/>
        <v>#DIV/0!</v>
      </c>
      <c r="E364" s="108" t="e">
        <f t="shared" si="26"/>
        <v>#DIV/0!</v>
      </c>
      <c r="F364" s="108" t="e">
        <f t="shared" si="29"/>
        <v>#DIV/0!</v>
      </c>
    </row>
    <row r="365" spans="1:6" x14ac:dyDescent="0.2">
      <c r="A365" s="109">
        <v>354</v>
      </c>
      <c r="B365" s="108" t="e">
        <f t="shared" si="27"/>
        <v>#DIV/0!</v>
      </c>
      <c r="C365" s="108" t="e">
        <f t="shared" si="28"/>
        <v>#DIV/0!</v>
      </c>
      <c r="D365" s="108" t="e">
        <f t="shared" si="25"/>
        <v>#DIV/0!</v>
      </c>
      <c r="E365" s="108" t="e">
        <f t="shared" si="26"/>
        <v>#DIV/0!</v>
      </c>
      <c r="F365" s="108" t="e">
        <f t="shared" si="29"/>
        <v>#DIV/0!</v>
      </c>
    </row>
    <row r="366" spans="1:6" x14ac:dyDescent="0.2">
      <c r="A366" s="109">
        <v>355</v>
      </c>
      <c r="B366" s="108" t="e">
        <f t="shared" si="27"/>
        <v>#DIV/0!</v>
      </c>
      <c r="C366" s="108" t="e">
        <f t="shared" si="28"/>
        <v>#DIV/0!</v>
      </c>
      <c r="D366" s="108" t="e">
        <f t="shared" si="25"/>
        <v>#DIV/0!</v>
      </c>
      <c r="E366" s="108" t="e">
        <f t="shared" si="26"/>
        <v>#DIV/0!</v>
      </c>
      <c r="F366" s="108" t="e">
        <f t="shared" si="29"/>
        <v>#DIV/0!</v>
      </c>
    </row>
    <row r="367" spans="1:6" x14ac:dyDescent="0.2">
      <c r="A367" s="109">
        <v>356</v>
      </c>
      <c r="B367" s="108" t="e">
        <f t="shared" si="27"/>
        <v>#DIV/0!</v>
      </c>
      <c r="C367" s="108" t="e">
        <f t="shared" si="28"/>
        <v>#DIV/0!</v>
      </c>
      <c r="D367" s="108" t="e">
        <f t="shared" si="25"/>
        <v>#DIV/0!</v>
      </c>
      <c r="E367" s="108" t="e">
        <f t="shared" si="26"/>
        <v>#DIV/0!</v>
      </c>
      <c r="F367" s="108" t="e">
        <f t="shared" si="29"/>
        <v>#DIV/0!</v>
      </c>
    </row>
    <row r="368" spans="1:6" x14ac:dyDescent="0.2">
      <c r="A368" s="109">
        <v>357</v>
      </c>
      <c r="B368" s="108" t="e">
        <f t="shared" si="27"/>
        <v>#DIV/0!</v>
      </c>
      <c r="C368" s="108" t="e">
        <f t="shared" si="28"/>
        <v>#DIV/0!</v>
      </c>
      <c r="D368" s="108" t="e">
        <f t="shared" si="25"/>
        <v>#DIV/0!</v>
      </c>
      <c r="E368" s="108" t="e">
        <f t="shared" si="26"/>
        <v>#DIV/0!</v>
      </c>
      <c r="F368" s="108" t="e">
        <f t="shared" si="29"/>
        <v>#DIV/0!</v>
      </c>
    </row>
    <row r="369" spans="1:6" x14ac:dyDescent="0.2">
      <c r="A369" s="109">
        <v>358</v>
      </c>
      <c r="B369" s="108" t="e">
        <f t="shared" si="27"/>
        <v>#DIV/0!</v>
      </c>
      <c r="C369" s="108" t="e">
        <f t="shared" si="28"/>
        <v>#DIV/0!</v>
      </c>
      <c r="D369" s="108" t="e">
        <f t="shared" si="25"/>
        <v>#DIV/0!</v>
      </c>
      <c r="E369" s="108" t="e">
        <f t="shared" si="26"/>
        <v>#DIV/0!</v>
      </c>
      <c r="F369" s="108" t="e">
        <f t="shared" si="29"/>
        <v>#DIV/0!</v>
      </c>
    </row>
    <row r="370" spans="1:6" x14ac:dyDescent="0.2">
      <c r="A370" s="109">
        <v>359</v>
      </c>
      <c r="B370" s="108" t="e">
        <f t="shared" si="27"/>
        <v>#DIV/0!</v>
      </c>
      <c r="C370" s="108" t="e">
        <f t="shared" si="28"/>
        <v>#DIV/0!</v>
      </c>
      <c r="D370" s="108" t="e">
        <f t="shared" si="25"/>
        <v>#DIV/0!</v>
      </c>
      <c r="E370" s="108" t="e">
        <f t="shared" si="26"/>
        <v>#DIV/0!</v>
      </c>
      <c r="F370" s="108" t="e">
        <f t="shared" si="29"/>
        <v>#DIV/0!</v>
      </c>
    </row>
    <row r="371" spans="1:6" x14ac:dyDescent="0.2">
      <c r="A371" s="109">
        <v>360</v>
      </c>
      <c r="B371" s="108" t="e">
        <f t="shared" si="27"/>
        <v>#DIV/0!</v>
      </c>
      <c r="C371" s="108" t="e">
        <f t="shared" si="28"/>
        <v>#DIV/0!</v>
      </c>
      <c r="D371" s="108" t="e">
        <f t="shared" si="25"/>
        <v>#DIV/0!</v>
      </c>
      <c r="E371" s="108" t="e">
        <f t="shared" si="26"/>
        <v>#DIV/0!</v>
      </c>
      <c r="F371" s="108" t="e">
        <f t="shared" si="29"/>
        <v>#DIV/0!</v>
      </c>
    </row>
    <row r="372" spans="1:6" x14ac:dyDescent="0.2">
      <c r="A372" s="109">
        <v>361</v>
      </c>
      <c r="B372" s="108" t="e">
        <f>SUM($B$3/$B$5)</f>
        <v>#DIV/0!</v>
      </c>
      <c r="C372" s="108" t="e">
        <f>SUM(E371*($B$4*(1/12)))</f>
        <v>#DIV/0!</v>
      </c>
      <c r="D372" s="108" t="e">
        <f t="shared" si="25"/>
        <v>#DIV/0!</v>
      </c>
      <c r="E372" s="108" t="e">
        <f t="shared" si="26"/>
        <v>#DIV/0!</v>
      </c>
      <c r="F372" s="108" t="e">
        <f t="shared" si="29"/>
        <v>#DIV/0!</v>
      </c>
    </row>
    <row r="373" spans="1:6" x14ac:dyDescent="0.2">
      <c r="A373" s="109">
        <v>362</v>
      </c>
      <c r="B373" s="108" t="e">
        <f t="shared" ref="B373:B436" si="30">SUM($B$3/$B$5)</f>
        <v>#DIV/0!</v>
      </c>
      <c r="C373" s="108" t="e">
        <f t="shared" ref="C373:C436" si="31">SUM(E372*($B$4*(1/12)))</f>
        <v>#DIV/0!</v>
      </c>
      <c r="D373" s="108" t="e">
        <f t="shared" si="25"/>
        <v>#DIV/0!</v>
      </c>
      <c r="E373" s="108" t="e">
        <f t="shared" si="26"/>
        <v>#DIV/0!</v>
      </c>
      <c r="F373" s="108" t="e">
        <f t="shared" si="29"/>
        <v>#DIV/0!</v>
      </c>
    </row>
    <row r="374" spans="1:6" x14ac:dyDescent="0.2">
      <c r="A374" s="109">
        <v>363</v>
      </c>
      <c r="B374" s="108" t="e">
        <f t="shared" si="30"/>
        <v>#DIV/0!</v>
      </c>
      <c r="C374" s="108" t="e">
        <f t="shared" si="31"/>
        <v>#DIV/0!</v>
      </c>
      <c r="D374" s="108" t="e">
        <f t="shared" si="25"/>
        <v>#DIV/0!</v>
      </c>
      <c r="E374" s="108" t="e">
        <f t="shared" si="26"/>
        <v>#DIV/0!</v>
      </c>
      <c r="F374" s="108" t="e">
        <f t="shared" si="29"/>
        <v>#DIV/0!</v>
      </c>
    </row>
    <row r="375" spans="1:6" x14ac:dyDescent="0.2">
      <c r="A375" s="109">
        <v>364</v>
      </c>
      <c r="B375" s="108" t="e">
        <f t="shared" si="30"/>
        <v>#DIV/0!</v>
      </c>
      <c r="C375" s="108" t="e">
        <f t="shared" si="31"/>
        <v>#DIV/0!</v>
      </c>
      <c r="D375" s="108" t="e">
        <f t="shared" si="25"/>
        <v>#DIV/0!</v>
      </c>
      <c r="E375" s="108" t="e">
        <f t="shared" si="26"/>
        <v>#DIV/0!</v>
      </c>
      <c r="F375" s="108" t="e">
        <f t="shared" si="29"/>
        <v>#DIV/0!</v>
      </c>
    </row>
    <row r="376" spans="1:6" x14ac:dyDescent="0.2">
      <c r="A376" s="109">
        <v>365</v>
      </c>
      <c r="B376" s="108" t="e">
        <f t="shared" si="30"/>
        <v>#DIV/0!</v>
      </c>
      <c r="C376" s="108" t="e">
        <f t="shared" si="31"/>
        <v>#DIV/0!</v>
      </c>
      <c r="D376" s="108" t="e">
        <f t="shared" si="25"/>
        <v>#DIV/0!</v>
      </c>
      <c r="E376" s="108" t="e">
        <f t="shared" si="26"/>
        <v>#DIV/0!</v>
      </c>
      <c r="F376" s="108" t="e">
        <f t="shared" si="29"/>
        <v>#DIV/0!</v>
      </c>
    </row>
    <row r="377" spans="1:6" x14ac:dyDescent="0.2">
      <c r="A377" s="109">
        <v>366</v>
      </c>
      <c r="B377" s="108" t="e">
        <f t="shared" si="30"/>
        <v>#DIV/0!</v>
      </c>
      <c r="C377" s="108" t="e">
        <f t="shared" si="31"/>
        <v>#DIV/0!</v>
      </c>
      <c r="D377" s="108" t="e">
        <f t="shared" si="25"/>
        <v>#DIV/0!</v>
      </c>
      <c r="E377" s="108" t="e">
        <f t="shared" si="26"/>
        <v>#DIV/0!</v>
      </c>
      <c r="F377" s="108" t="e">
        <f t="shared" si="29"/>
        <v>#DIV/0!</v>
      </c>
    </row>
    <row r="378" spans="1:6" x14ac:dyDescent="0.2">
      <c r="A378" s="109">
        <v>367</v>
      </c>
      <c r="B378" s="108" t="e">
        <f t="shared" si="30"/>
        <v>#DIV/0!</v>
      </c>
      <c r="C378" s="108" t="e">
        <f t="shared" si="31"/>
        <v>#DIV/0!</v>
      </c>
      <c r="D378" s="108" t="e">
        <f t="shared" si="25"/>
        <v>#DIV/0!</v>
      </c>
      <c r="E378" s="108" t="e">
        <f t="shared" si="26"/>
        <v>#DIV/0!</v>
      </c>
      <c r="F378" s="108" t="e">
        <f t="shared" si="29"/>
        <v>#DIV/0!</v>
      </c>
    </row>
    <row r="379" spans="1:6" x14ac:dyDescent="0.2">
      <c r="A379" s="109">
        <v>368</v>
      </c>
      <c r="B379" s="108" t="e">
        <f t="shared" si="30"/>
        <v>#DIV/0!</v>
      </c>
      <c r="C379" s="108" t="e">
        <f t="shared" si="31"/>
        <v>#DIV/0!</v>
      </c>
      <c r="D379" s="108" t="e">
        <f t="shared" si="25"/>
        <v>#DIV/0!</v>
      </c>
      <c r="E379" s="108" t="e">
        <f t="shared" si="26"/>
        <v>#DIV/0!</v>
      </c>
      <c r="F379" s="108" t="e">
        <f t="shared" si="29"/>
        <v>#DIV/0!</v>
      </c>
    </row>
    <row r="380" spans="1:6" x14ac:dyDescent="0.2">
      <c r="A380" s="109">
        <v>369</v>
      </c>
      <c r="B380" s="108" t="e">
        <f t="shared" si="30"/>
        <v>#DIV/0!</v>
      </c>
      <c r="C380" s="108" t="e">
        <f t="shared" si="31"/>
        <v>#DIV/0!</v>
      </c>
      <c r="D380" s="108" t="e">
        <f t="shared" si="25"/>
        <v>#DIV/0!</v>
      </c>
      <c r="E380" s="108" t="e">
        <f t="shared" si="26"/>
        <v>#DIV/0!</v>
      </c>
      <c r="F380" s="108" t="e">
        <f t="shared" si="29"/>
        <v>#DIV/0!</v>
      </c>
    </row>
    <row r="381" spans="1:6" x14ac:dyDescent="0.2">
      <c r="A381" s="109">
        <v>370</v>
      </c>
      <c r="B381" s="108" t="e">
        <f t="shared" si="30"/>
        <v>#DIV/0!</v>
      </c>
      <c r="C381" s="108" t="e">
        <f t="shared" si="31"/>
        <v>#DIV/0!</v>
      </c>
      <c r="D381" s="108" t="e">
        <f t="shared" si="25"/>
        <v>#DIV/0!</v>
      </c>
      <c r="E381" s="108" t="e">
        <f t="shared" si="26"/>
        <v>#DIV/0!</v>
      </c>
      <c r="F381" s="108" t="e">
        <f t="shared" si="29"/>
        <v>#DIV/0!</v>
      </c>
    </row>
    <row r="382" spans="1:6" x14ac:dyDescent="0.2">
      <c r="A382" s="109">
        <v>371</v>
      </c>
      <c r="B382" s="108" t="e">
        <f t="shared" si="30"/>
        <v>#DIV/0!</v>
      </c>
      <c r="C382" s="108" t="e">
        <f t="shared" si="31"/>
        <v>#DIV/0!</v>
      </c>
      <c r="D382" s="108" t="e">
        <f t="shared" si="25"/>
        <v>#DIV/0!</v>
      </c>
      <c r="E382" s="108" t="e">
        <f t="shared" si="26"/>
        <v>#DIV/0!</v>
      </c>
      <c r="F382" s="108" t="e">
        <f t="shared" si="29"/>
        <v>#DIV/0!</v>
      </c>
    </row>
    <row r="383" spans="1:6" x14ac:dyDescent="0.2">
      <c r="A383" s="109">
        <v>372</v>
      </c>
      <c r="B383" s="108" t="e">
        <f t="shared" si="30"/>
        <v>#DIV/0!</v>
      </c>
      <c r="C383" s="108" t="e">
        <f t="shared" si="31"/>
        <v>#DIV/0!</v>
      </c>
      <c r="D383" s="108" t="e">
        <f t="shared" si="25"/>
        <v>#DIV/0!</v>
      </c>
      <c r="E383" s="108" t="e">
        <f t="shared" si="26"/>
        <v>#DIV/0!</v>
      </c>
      <c r="F383" s="108" t="e">
        <f t="shared" si="29"/>
        <v>#DIV/0!</v>
      </c>
    </row>
    <row r="384" spans="1:6" x14ac:dyDescent="0.2">
      <c r="A384" s="109">
        <v>373</v>
      </c>
      <c r="B384" s="108" t="e">
        <f t="shared" si="30"/>
        <v>#DIV/0!</v>
      </c>
      <c r="C384" s="108" t="e">
        <f t="shared" si="31"/>
        <v>#DIV/0!</v>
      </c>
      <c r="D384" s="108" t="e">
        <f t="shared" si="25"/>
        <v>#DIV/0!</v>
      </c>
      <c r="E384" s="108" t="e">
        <f t="shared" si="26"/>
        <v>#DIV/0!</v>
      </c>
      <c r="F384" s="108" t="e">
        <f t="shared" si="29"/>
        <v>#DIV/0!</v>
      </c>
    </row>
    <row r="385" spans="1:6" x14ac:dyDescent="0.2">
      <c r="A385" s="109">
        <v>374</v>
      </c>
      <c r="B385" s="108" t="e">
        <f t="shared" si="30"/>
        <v>#DIV/0!</v>
      </c>
      <c r="C385" s="108" t="e">
        <f t="shared" si="31"/>
        <v>#DIV/0!</v>
      </c>
      <c r="D385" s="108" t="e">
        <f t="shared" si="25"/>
        <v>#DIV/0!</v>
      </c>
      <c r="E385" s="108" t="e">
        <f t="shared" si="26"/>
        <v>#DIV/0!</v>
      </c>
      <c r="F385" s="108" t="e">
        <f t="shared" si="29"/>
        <v>#DIV/0!</v>
      </c>
    </row>
    <row r="386" spans="1:6" x14ac:dyDescent="0.2">
      <c r="A386" s="109">
        <v>375</v>
      </c>
      <c r="B386" s="108" t="e">
        <f t="shared" si="30"/>
        <v>#DIV/0!</v>
      </c>
      <c r="C386" s="108" t="e">
        <f t="shared" si="31"/>
        <v>#DIV/0!</v>
      </c>
      <c r="D386" s="108" t="e">
        <f t="shared" si="25"/>
        <v>#DIV/0!</v>
      </c>
      <c r="E386" s="108" t="e">
        <f t="shared" si="26"/>
        <v>#DIV/0!</v>
      </c>
      <c r="F386" s="108" t="e">
        <f t="shared" si="29"/>
        <v>#DIV/0!</v>
      </c>
    </row>
    <row r="387" spans="1:6" x14ac:dyDescent="0.2">
      <c r="A387" s="109">
        <v>376</v>
      </c>
      <c r="B387" s="108" t="e">
        <f t="shared" si="30"/>
        <v>#DIV/0!</v>
      </c>
      <c r="C387" s="108" t="e">
        <f t="shared" si="31"/>
        <v>#DIV/0!</v>
      </c>
      <c r="D387" s="108" t="e">
        <f t="shared" si="25"/>
        <v>#DIV/0!</v>
      </c>
      <c r="E387" s="108" t="e">
        <f t="shared" si="26"/>
        <v>#DIV/0!</v>
      </c>
      <c r="F387" s="108" t="e">
        <f t="shared" si="29"/>
        <v>#DIV/0!</v>
      </c>
    </row>
    <row r="388" spans="1:6" x14ac:dyDescent="0.2">
      <c r="A388" s="109">
        <v>377</v>
      </c>
      <c r="B388" s="108" t="e">
        <f t="shared" si="30"/>
        <v>#DIV/0!</v>
      </c>
      <c r="C388" s="108" t="e">
        <f t="shared" si="31"/>
        <v>#DIV/0!</v>
      </c>
      <c r="D388" s="108" t="e">
        <f t="shared" si="25"/>
        <v>#DIV/0!</v>
      </c>
      <c r="E388" s="108" t="e">
        <f t="shared" si="26"/>
        <v>#DIV/0!</v>
      </c>
      <c r="F388" s="108" t="e">
        <f t="shared" si="29"/>
        <v>#DIV/0!</v>
      </c>
    </row>
    <row r="389" spans="1:6" x14ac:dyDescent="0.2">
      <c r="A389" s="109">
        <v>378</v>
      </c>
      <c r="B389" s="108" t="e">
        <f t="shared" si="30"/>
        <v>#DIV/0!</v>
      </c>
      <c r="C389" s="108" t="e">
        <f t="shared" si="31"/>
        <v>#DIV/0!</v>
      </c>
      <c r="D389" s="108" t="e">
        <f t="shared" si="25"/>
        <v>#DIV/0!</v>
      </c>
      <c r="E389" s="108" t="e">
        <f t="shared" si="26"/>
        <v>#DIV/0!</v>
      </c>
      <c r="F389" s="108" t="e">
        <f t="shared" si="29"/>
        <v>#DIV/0!</v>
      </c>
    </row>
    <row r="390" spans="1:6" x14ac:dyDescent="0.2">
      <c r="A390" s="109">
        <v>379</v>
      </c>
      <c r="B390" s="108" t="e">
        <f t="shared" si="30"/>
        <v>#DIV/0!</v>
      </c>
      <c r="C390" s="108" t="e">
        <f t="shared" si="31"/>
        <v>#DIV/0!</v>
      </c>
      <c r="D390" s="108" t="e">
        <f t="shared" si="25"/>
        <v>#DIV/0!</v>
      </c>
      <c r="E390" s="108" t="e">
        <f t="shared" si="26"/>
        <v>#DIV/0!</v>
      </c>
      <c r="F390" s="108" t="e">
        <f t="shared" si="29"/>
        <v>#DIV/0!</v>
      </c>
    </row>
    <row r="391" spans="1:6" x14ac:dyDescent="0.2">
      <c r="A391" s="109">
        <v>380</v>
      </c>
      <c r="B391" s="108" t="e">
        <f t="shared" si="30"/>
        <v>#DIV/0!</v>
      </c>
      <c r="C391" s="108" t="e">
        <f t="shared" si="31"/>
        <v>#DIV/0!</v>
      </c>
      <c r="D391" s="108" t="e">
        <f t="shared" si="25"/>
        <v>#DIV/0!</v>
      </c>
      <c r="E391" s="108" t="e">
        <f t="shared" si="26"/>
        <v>#DIV/0!</v>
      </c>
      <c r="F391" s="108" t="e">
        <f t="shared" si="29"/>
        <v>#DIV/0!</v>
      </c>
    </row>
    <row r="392" spans="1:6" x14ac:dyDescent="0.2">
      <c r="A392" s="109">
        <v>381</v>
      </c>
      <c r="B392" s="108" t="e">
        <f t="shared" si="30"/>
        <v>#DIV/0!</v>
      </c>
      <c r="C392" s="108" t="e">
        <f t="shared" si="31"/>
        <v>#DIV/0!</v>
      </c>
      <c r="D392" s="108" t="e">
        <f t="shared" si="25"/>
        <v>#DIV/0!</v>
      </c>
      <c r="E392" s="108" t="e">
        <f t="shared" si="26"/>
        <v>#DIV/0!</v>
      </c>
      <c r="F392" s="108" t="e">
        <f t="shared" si="29"/>
        <v>#DIV/0!</v>
      </c>
    </row>
    <row r="393" spans="1:6" x14ac:dyDescent="0.2">
      <c r="A393" s="109">
        <v>382</v>
      </c>
      <c r="B393" s="108" t="e">
        <f t="shared" si="30"/>
        <v>#DIV/0!</v>
      </c>
      <c r="C393" s="108" t="e">
        <f t="shared" si="31"/>
        <v>#DIV/0!</v>
      </c>
      <c r="D393" s="108" t="e">
        <f t="shared" si="25"/>
        <v>#DIV/0!</v>
      </c>
      <c r="E393" s="108" t="e">
        <f t="shared" si="26"/>
        <v>#DIV/0!</v>
      </c>
      <c r="F393" s="108" t="e">
        <f t="shared" si="29"/>
        <v>#DIV/0!</v>
      </c>
    </row>
    <row r="394" spans="1:6" x14ac:dyDescent="0.2">
      <c r="A394" s="109">
        <v>383</v>
      </c>
      <c r="B394" s="108" t="e">
        <f t="shared" si="30"/>
        <v>#DIV/0!</v>
      </c>
      <c r="C394" s="108" t="e">
        <f t="shared" si="31"/>
        <v>#DIV/0!</v>
      </c>
      <c r="D394" s="108" t="e">
        <f t="shared" si="25"/>
        <v>#DIV/0!</v>
      </c>
      <c r="E394" s="108" t="e">
        <f t="shared" si="26"/>
        <v>#DIV/0!</v>
      </c>
      <c r="F394" s="108" t="e">
        <f t="shared" si="29"/>
        <v>#DIV/0!</v>
      </c>
    </row>
    <row r="395" spans="1:6" x14ac:dyDescent="0.2">
      <c r="A395" s="109">
        <v>384</v>
      </c>
      <c r="B395" s="108" t="e">
        <f t="shared" si="30"/>
        <v>#DIV/0!</v>
      </c>
      <c r="C395" s="108" t="e">
        <f t="shared" si="31"/>
        <v>#DIV/0!</v>
      </c>
      <c r="D395" s="108" t="e">
        <f t="shared" si="25"/>
        <v>#DIV/0!</v>
      </c>
      <c r="E395" s="108" t="e">
        <f t="shared" si="26"/>
        <v>#DIV/0!</v>
      </c>
      <c r="F395" s="108" t="e">
        <f t="shared" si="29"/>
        <v>#DIV/0!</v>
      </c>
    </row>
    <row r="396" spans="1:6" x14ac:dyDescent="0.2">
      <c r="A396" s="109">
        <v>385</v>
      </c>
      <c r="B396" s="108" t="e">
        <f t="shared" si="30"/>
        <v>#DIV/0!</v>
      </c>
      <c r="C396" s="108" t="e">
        <f t="shared" si="31"/>
        <v>#DIV/0!</v>
      </c>
      <c r="D396" s="108" t="e">
        <f t="shared" ref="D396:D459" si="32">SUM(B396+C396)</f>
        <v>#DIV/0!</v>
      </c>
      <c r="E396" s="108" t="e">
        <f t="shared" ref="E396:E459" si="33">SUM(E395-B396)</f>
        <v>#DIV/0!</v>
      </c>
      <c r="F396" s="108" t="e">
        <f t="shared" si="29"/>
        <v>#DIV/0!</v>
      </c>
    </row>
    <row r="397" spans="1:6" x14ac:dyDescent="0.2">
      <c r="A397" s="109">
        <v>386</v>
      </c>
      <c r="B397" s="108" t="e">
        <f t="shared" si="30"/>
        <v>#DIV/0!</v>
      </c>
      <c r="C397" s="108" t="e">
        <f t="shared" si="31"/>
        <v>#DIV/0!</v>
      </c>
      <c r="D397" s="108" t="e">
        <f t="shared" si="32"/>
        <v>#DIV/0!</v>
      </c>
      <c r="E397" s="108" t="e">
        <f t="shared" si="33"/>
        <v>#DIV/0!</v>
      </c>
      <c r="F397" s="108" t="e">
        <f t="shared" si="29"/>
        <v>#DIV/0!</v>
      </c>
    </row>
    <row r="398" spans="1:6" x14ac:dyDescent="0.2">
      <c r="A398" s="109">
        <v>387</v>
      </c>
      <c r="B398" s="108" t="e">
        <f t="shared" si="30"/>
        <v>#DIV/0!</v>
      </c>
      <c r="C398" s="108" t="e">
        <f t="shared" si="31"/>
        <v>#DIV/0!</v>
      </c>
      <c r="D398" s="108" t="e">
        <f t="shared" si="32"/>
        <v>#DIV/0!</v>
      </c>
      <c r="E398" s="108" t="e">
        <f t="shared" si="33"/>
        <v>#DIV/0!</v>
      </c>
      <c r="F398" s="108" t="e">
        <f t="shared" si="29"/>
        <v>#DIV/0!</v>
      </c>
    </row>
    <row r="399" spans="1:6" x14ac:dyDescent="0.2">
      <c r="A399" s="109">
        <v>388</v>
      </c>
      <c r="B399" s="108" t="e">
        <f t="shared" si="30"/>
        <v>#DIV/0!</v>
      </c>
      <c r="C399" s="108" t="e">
        <f t="shared" si="31"/>
        <v>#DIV/0!</v>
      </c>
      <c r="D399" s="108" t="e">
        <f t="shared" si="32"/>
        <v>#DIV/0!</v>
      </c>
      <c r="E399" s="108" t="e">
        <f t="shared" si="33"/>
        <v>#DIV/0!</v>
      </c>
      <c r="F399" s="108" t="e">
        <f t="shared" si="29"/>
        <v>#DIV/0!</v>
      </c>
    </row>
    <row r="400" spans="1:6" x14ac:dyDescent="0.2">
      <c r="A400" s="109">
        <v>389</v>
      </c>
      <c r="B400" s="108" t="e">
        <f t="shared" si="30"/>
        <v>#DIV/0!</v>
      </c>
      <c r="C400" s="108" t="e">
        <f t="shared" si="31"/>
        <v>#DIV/0!</v>
      </c>
      <c r="D400" s="108" t="e">
        <f t="shared" si="32"/>
        <v>#DIV/0!</v>
      </c>
      <c r="E400" s="108" t="e">
        <f t="shared" si="33"/>
        <v>#DIV/0!</v>
      </c>
      <c r="F400" s="108" t="e">
        <f t="shared" si="29"/>
        <v>#DIV/0!</v>
      </c>
    </row>
    <row r="401" spans="1:6" x14ac:dyDescent="0.2">
      <c r="A401" s="109">
        <v>390</v>
      </c>
      <c r="B401" s="108" t="e">
        <f t="shared" si="30"/>
        <v>#DIV/0!</v>
      </c>
      <c r="C401" s="108" t="e">
        <f t="shared" si="31"/>
        <v>#DIV/0!</v>
      </c>
      <c r="D401" s="108" t="e">
        <f t="shared" si="32"/>
        <v>#DIV/0!</v>
      </c>
      <c r="E401" s="108" t="e">
        <f t="shared" si="33"/>
        <v>#DIV/0!</v>
      </c>
      <c r="F401" s="108" t="e">
        <f t="shared" si="29"/>
        <v>#DIV/0!</v>
      </c>
    </row>
    <row r="402" spans="1:6" x14ac:dyDescent="0.2">
      <c r="A402" s="109">
        <v>391</v>
      </c>
      <c r="B402" s="108" t="e">
        <f t="shared" si="30"/>
        <v>#DIV/0!</v>
      </c>
      <c r="C402" s="108" t="e">
        <f t="shared" si="31"/>
        <v>#DIV/0!</v>
      </c>
      <c r="D402" s="108" t="e">
        <f t="shared" si="32"/>
        <v>#DIV/0!</v>
      </c>
      <c r="E402" s="108" t="e">
        <f t="shared" si="33"/>
        <v>#DIV/0!</v>
      </c>
      <c r="F402" s="108" t="e">
        <f t="shared" si="29"/>
        <v>#DIV/0!</v>
      </c>
    </row>
    <row r="403" spans="1:6" x14ac:dyDescent="0.2">
      <c r="A403" s="109">
        <v>392</v>
      </c>
      <c r="B403" s="108" t="e">
        <f t="shared" si="30"/>
        <v>#DIV/0!</v>
      </c>
      <c r="C403" s="108" t="e">
        <f t="shared" si="31"/>
        <v>#DIV/0!</v>
      </c>
      <c r="D403" s="108" t="e">
        <f t="shared" si="32"/>
        <v>#DIV/0!</v>
      </c>
      <c r="E403" s="108" t="e">
        <f t="shared" si="33"/>
        <v>#DIV/0!</v>
      </c>
      <c r="F403" s="108" t="e">
        <f t="shared" si="29"/>
        <v>#DIV/0!</v>
      </c>
    </row>
    <row r="404" spans="1:6" x14ac:dyDescent="0.2">
      <c r="A404" s="109">
        <v>393</v>
      </c>
      <c r="B404" s="108" t="e">
        <f t="shared" si="30"/>
        <v>#DIV/0!</v>
      </c>
      <c r="C404" s="108" t="e">
        <f t="shared" si="31"/>
        <v>#DIV/0!</v>
      </c>
      <c r="D404" s="108" t="e">
        <f t="shared" si="32"/>
        <v>#DIV/0!</v>
      </c>
      <c r="E404" s="108" t="e">
        <f t="shared" si="33"/>
        <v>#DIV/0!</v>
      </c>
      <c r="F404" s="108" t="e">
        <f t="shared" si="29"/>
        <v>#DIV/0!</v>
      </c>
    </row>
    <row r="405" spans="1:6" x14ac:dyDescent="0.2">
      <c r="A405" s="109">
        <v>394</v>
      </c>
      <c r="B405" s="108" t="e">
        <f t="shared" si="30"/>
        <v>#DIV/0!</v>
      </c>
      <c r="C405" s="108" t="e">
        <f t="shared" si="31"/>
        <v>#DIV/0!</v>
      </c>
      <c r="D405" s="108" t="e">
        <f t="shared" si="32"/>
        <v>#DIV/0!</v>
      </c>
      <c r="E405" s="108" t="e">
        <f t="shared" si="33"/>
        <v>#DIV/0!</v>
      </c>
      <c r="F405" s="108" t="e">
        <f t="shared" si="29"/>
        <v>#DIV/0!</v>
      </c>
    </row>
    <row r="406" spans="1:6" x14ac:dyDescent="0.2">
      <c r="A406" s="109">
        <v>395</v>
      </c>
      <c r="B406" s="108" t="e">
        <f t="shared" si="30"/>
        <v>#DIV/0!</v>
      </c>
      <c r="C406" s="108" t="e">
        <f t="shared" si="31"/>
        <v>#DIV/0!</v>
      </c>
      <c r="D406" s="108" t="e">
        <f t="shared" si="32"/>
        <v>#DIV/0!</v>
      </c>
      <c r="E406" s="108" t="e">
        <f t="shared" si="33"/>
        <v>#DIV/0!</v>
      </c>
      <c r="F406" s="108" t="e">
        <f t="shared" si="29"/>
        <v>#DIV/0!</v>
      </c>
    </row>
    <row r="407" spans="1:6" x14ac:dyDescent="0.2">
      <c r="A407" s="109">
        <v>396</v>
      </c>
      <c r="B407" s="108" t="e">
        <f t="shared" si="30"/>
        <v>#DIV/0!</v>
      </c>
      <c r="C407" s="108" t="e">
        <f t="shared" si="31"/>
        <v>#DIV/0!</v>
      </c>
      <c r="D407" s="108" t="e">
        <f t="shared" si="32"/>
        <v>#DIV/0!</v>
      </c>
      <c r="E407" s="108" t="e">
        <f t="shared" si="33"/>
        <v>#DIV/0!</v>
      </c>
      <c r="F407" s="108" t="e">
        <f t="shared" si="29"/>
        <v>#DIV/0!</v>
      </c>
    </row>
    <row r="408" spans="1:6" x14ac:dyDescent="0.2">
      <c r="A408" s="109">
        <v>397</v>
      </c>
      <c r="B408" s="108" t="e">
        <f t="shared" si="30"/>
        <v>#DIV/0!</v>
      </c>
      <c r="C408" s="108" t="e">
        <f t="shared" si="31"/>
        <v>#DIV/0!</v>
      </c>
      <c r="D408" s="108" t="e">
        <f t="shared" si="32"/>
        <v>#DIV/0!</v>
      </c>
      <c r="E408" s="108" t="e">
        <f t="shared" si="33"/>
        <v>#DIV/0!</v>
      </c>
      <c r="F408" s="108" t="e">
        <f t="shared" si="29"/>
        <v>#DIV/0!</v>
      </c>
    </row>
    <row r="409" spans="1:6" x14ac:dyDescent="0.2">
      <c r="A409" s="109">
        <v>398</v>
      </c>
      <c r="B409" s="108" t="e">
        <f t="shared" si="30"/>
        <v>#DIV/0!</v>
      </c>
      <c r="C409" s="108" t="e">
        <f t="shared" si="31"/>
        <v>#DIV/0!</v>
      </c>
      <c r="D409" s="108" t="e">
        <f t="shared" si="32"/>
        <v>#DIV/0!</v>
      </c>
      <c r="E409" s="108" t="e">
        <f t="shared" si="33"/>
        <v>#DIV/0!</v>
      </c>
      <c r="F409" s="108" t="e">
        <f t="shared" si="29"/>
        <v>#DIV/0!</v>
      </c>
    </row>
    <row r="410" spans="1:6" x14ac:dyDescent="0.2">
      <c r="A410" s="109">
        <v>399</v>
      </c>
      <c r="B410" s="108" t="e">
        <f t="shared" si="30"/>
        <v>#DIV/0!</v>
      </c>
      <c r="C410" s="108" t="e">
        <f t="shared" si="31"/>
        <v>#DIV/0!</v>
      </c>
      <c r="D410" s="108" t="e">
        <f t="shared" si="32"/>
        <v>#DIV/0!</v>
      </c>
      <c r="E410" s="108" t="e">
        <f t="shared" si="33"/>
        <v>#DIV/0!</v>
      </c>
      <c r="F410" s="108" t="e">
        <f t="shared" si="29"/>
        <v>#DIV/0!</v>
      </c>
    </row>
    <row r="411" spans="1:6" x14ac:dyDescent="0.2">
      <c r="A411" s="109">
        <v>400</v>
      </c>
      <c r="B411" s="108" t="e">
        <f t="shared" si="30"/>
        <v>#DIV/0!</v>
      </c>
      <c r="C411" s="108" t="e">
        <f t="shared" si="31"/>
        <v>#DIV/0!</v>
      </c>
      <c r="D411" s="108" t="e">
        <f t="shared" si="32"/>
        <v>#DIV/0!</v>
      </c>
      <c r="E411" s="108" t="e">
        <f t="shared" si="33"/>
        <v>#DIV/0!</v>
      </c>
      <c r="F411" s="108" t="e">
        <f t="shared" si="29"/>
        <v>#DIV/0!</v>
      </c>
    </row>
    <row r="412" spans="1:6" x14ac:dyDescent="0.2">
      <c r="A412" s="109">
        <v>401</v>
      </c>
      <c r="B412" s="108" t="e">
        <f t="shared" si="30"/>
        <v>#DIV/0!</v>
      </c>
      <c r="C412" s="108" t="e">
        <f t="shared" si="31"/>
        <v>#DIV/0!</v>
      </c>
      <c r="D412" s="108" t="e">
        <f t="shared" si="32"/>
        <v>#DIV/0!</v>
      </c>
      <c r="E412" s="108" t="e">
        <f t="shared" si="33"/>
        <v>#DIV/0!</v>
      </c>
      <c r="F412" s="108" t="e">
        <f t="shared" si="29"/>
        <v>#DIV/0!</v>
      </c>
    </row>
    <row r="413" spans="1:6" x14ac:dyDescent="0.2">
      <c r="A413" s="109">
        <v>402</v>
      </c>
      <c r="B413" s="108" t="e">
        <f t="shared" si="30"/>
        <v>#DIV/0!</v>
      </c>
      <c r="C413" s="108" t="e">
        <f t="shared" si="31"/>
        <v>#DIV/0!</v>
      </c>
      <c r="D413" s="108" t="e">
        <f t="shared" si="32"/>
        <v>#DIV/0!</v>
      </c>
      <c r="E413" s="108" t="e">
        <f t="shared" si="33"/>
        <v>#DIV/0!</v>
      </c>
      <c r="F413" s="108" t="e">
        <f t="shared" si="29"/>
        <v>#DIV/0!</v>
      </c>
    </row>
    <row r="414" spans="1:6" x14ac:dyDescent="0.2">
      <c r="A414" s="109">
        <v>403</v>
      </c>
      <c r="B414" s="108" t="e">
        <f t="shared" si="30"/>
        <v>#DIV/0!</v>
      </c>
      <c r="C414" s="108" t="e">
        <f t="shared" si="31"/>
        <v>#DIV/0!</v>
      </c>
      <c r="D414" s="108" t="e">
        <f t="shared" si="32"/>
        <v>#DIV/0!</v>
      </c>
      <c r="E414" s="108" t="e">
        <f t="shared" si="33"/>
        <v>#DIV/0!</v>
      </c>
      <c r="F414" s="108" t="e">
        <f t="shared" si="29"/>
        <v>#DIV/0!</v>
      </c>
    </row>
    <row r="415" spans="1:6" x14ac:dyDescent="0.2">
      <c r="A415" s="109">
        <v>404</v>
      </c>
      <c r="B415" s="108" t="e">
        <f t="shared" si="30"/>
        <v>#DIV/0!</v>
      </c>
      <c r="C415" s="108" t="e">
        <f t="shared" si="31"/>
        <v>#DIV/0!</v>
      </c>
      <c r="D415" s="108" t="e">
        <f t="shared" si="32"/>
        <v>#DIV/0!</v>
      </c>
      <c r="E415" s="108" t="e">
        <f t="shared" si="33"/>
        <v>#DIV/0!</v>
      </c>
      <c r="F415" s="108" t="e">
        <f t="shared" si="29"/>
        <v>#DIV/0!</v>
      </c>
    </row>
    <row r="416" spans="1:6" x14ac:dyDescent="0.2">
      <c r="A416" s="109">
        <v>405</v>
      </c>
      <c r="B416" s="108" t="e">
        <f t="shared" si="30"/>
        <v>#DIV/0!</v>
      </c>
      <c r="C416" s="108" t="e">
        <f t="shared" si="31"/>
        <v>#DIV/0!</v>
      </c>
      <c r="D416" s="108" t="e">
        <f t="shared" si="32"/>
        <v>#DIV/0!</v>
      </c>
      <c r="E416" s="108" t="e">
        <f t="shared" si="33"/>
        <v>#DIV/0!</v>
      </c>
      <c r="F416" s="108" t="e">
        <f t="shared" si="29"/>
        <v>#DIV/0!</v>
      </c>
    </row>
    <row r="417" spans="1:6" x14ac:dyDescent="0.2">
      <c r="A417" s="109">
        <v>406</v>
      </c>
      <c r="B417" s="108" t="e">
        <f t="shared" si="30"/>
        <v>#DIV/0!</v>
      </c>
      <c r="C417" s="108" t="e">
        <f t="shared" si="31"/>
        <v>#DIV/0!</v>
      </c>
      <c r="D417" s="108" t="e">
        <f t="shared" si="32"/>
        <v>#DIV/0!</v>
      </c>
      <c r="E417" s="108" t="e">
        <f t="shared" si="33"/>
        <v>#DIV/0!</v>
      </c>
      <c r="F417" s="108" t="e">
        <f t="shared" si="29"/>
        <v>#DIV/0!</v>
      </c>
    </row>
    <row r="418" spans="1:6" x14ac:dyDescent="0.2">
      <c r="A418" s="109">
        <v>407</v>
      </c>
      <c r="B418" s="108" t="e">
        <f t="shared" si="30"/>
        <v>#DIV/0!</v>
      </c>
      <c r="C418" s="108" t="e">
        <f t="shared" si="31"/>
        <v>#DIV/0!</v>
      </c>
      <c r="D418" s="108" t="e">
        <f t="shared" si="32"/>
        <v>#DIV/0!</v>
      </c>
      <c r="E418" s="108" t="e">
        <f t="shared" si="33"/>
        <v>#DIV/0!</v>
      </c>
      <c r="F418" s="108" t="e">
        <f t="shared" si="29"/>
        <v>#DIV/0!</v>
      </c>
    </row>
    <row r="419" spans="1:6" x14ac:dyDescent="0.2">
      <c r="A419" s="109">
        <v>408</v>
      </c>
      <c r="B419" s="108" t="e">
        <f t="shared" si="30"/>
        <v>#DIV/0!</v>
      </c>
      <c r="C419" s="108" t="e">
        <f t="shared" si="31"/>
        <v>#DIV/0!</v>
      </c>
      <c r="D419" s="108" t="e">
        <f t="shared" si="32"/>
        <v>#DIV/0!</v>
      </c>
      <c r="E419" s="108" t="e">
        <f t="shared" si="33"/>
        <v>#DIV/0!</v>
      </c>
      <c r="F419" s="108" t="e">
        <f t="shared" si="29"/>
        <v>#DIV/0!</v>
      </c>
    </row>
    <row r="420" spans="1:6" x14ac:dyDescent="0.2">
      <c r="A420" s="109">
        <v>409</v>
      </c>
      <c r="B420" s="108" t="e">
        <f t="shared" si="30"/>
        <v>#DIV/0!</v>
      </c>
      <c r="C420" s="108" t="e">
        <f t="shared" si="31"/>
        <v>#DIV/0!</v>
      </c>
      <c r="D420" s="108" t="e">
        <f t="shared" si="32"/>
        <v>#DIV/0!</v>
      </c>
      <c r="E420" s="108" t="e">
        <f t="shared" si="33"/>
        <v>#DIV/0!</v>
      </c>
      <c r="F420" s="108" t="e">
        <f t="shared" si="29"/>
        <v>#DIV/0!</v>
      </c>
    </row>
    <row r="421" spans="1:6" x14ac:dyDescent="0.2">
      <c r="A421" s="109">
        <v>410</v>
      </c>
      <c r="B421" s="108" t="e">
        <f t="shared" si="30"/>
        <v>#DIV/0!</v>
      </c>
      <c r="C421" s="108" t="e">
        <f t="shared" si="31"/>
        <v>#DIV/0!</v>
      </c>
      <c r="D421" s="108" t="e">
        <f t="shared" si="32"/>
        <v>#DIV/0!</v>
      </c>
      <c r="E421" s="108" t="e">
        <f t="shared" si="33"/>
        <v>#DIV/0!</v>
      </c>
      <c r="F421" s="108" t="e">
        <f t="shared" ref="F421:F484" si="34">E421*0.00025</f>
        <v>#DIV/0!</v>
      </c>
    </row>
    <row r="422" spans="1:6" x14ac:dyDescent="0.2">
      <c r="A422" s="109">
        <v>411</v>
      </c>
      <c r="B422" s="108" t="e">
        <f t="shared" si="30"/>
        <v>#DIV/0!</v>
      </c>
      <c r="C422" s="108" t="e">
        <f t="shared" si="31"/>
        <v>#DIV/0!</v>
      </c>
      <c r="D422" s="108" t="e">
        <f t="shared" si="32"/>
        <v>#DIV/0!</v>
      </c>
      <c r="E422" s="108" t="e">
        <f t="shared" si="33"/>
        <v>#DIV/0!</v>
      </c>
      <c r="F422" s="108" t="e">
        <f t="shared" si="34"/>
        <v>#DIV/0!</v>
      </c>
    </row>
    <row r="423" spans="1:6" x14ac:dyDescent="0.2">
      <c r="A423" s="109">
        <v>412</v>
      </c>
      <c r="B423" s="108" t="e">
        <f t="shared" si="30"/>
        <v>#DIV/0!</v>
      </c>
      <c r="C423" s="108" t="e">
        <f t="shared" si="31"/>
        <v>#DIV/0!</v>
      </c>
      <c r="D423" s="108" t="e">
        <f t="shared" si="32"/>
        <v>#DIV/0!</v>
      </c>
      <c r="E423" s="108" t="e">
        <f t="shared" si="33"/>
        <v>#DIV/0!</v>
      </c>
      <c r="F423" s="108" t="e">
        <f t="shared" si="34"/>
        <v>#DIV/0!</v>
      </c>
    </row>
    <row r="424" spans="1:6" x14ac:dyDescent="0.2">
      <c r="A424" s="109">
        <v>413</v>
      </c>
      <c r="B424" s="108" t="e">
        <f t="shared" si="30"/>
        <v>#DIV/0!</v>
      </c>
      <c r="C424" s="108" t="e">
        <f t="shared" si="31"/>
        <v>#DIV/0!</v>
      </c>
      <c r="D424" s="108" t="e">
        <f t="shared" si="32"/>
        <v>#DIV/0!</v>
      </c>
      <c r="E424" s="108" t="e">
        <f t="shared" si="33"/>
        <v>#DIV/0!</v>
      </c>
      <c r="F424" s="108" t="e">
        <f t="shared" si="34"/>
        <v>#DIV/0!</v>
      </c>
    </row>
    <row r="425" spans="1:6" x14ac:dyDescent="0.2">
      <c r="A425" s="109">
        <v>414</v>
      </c>
      <c r="B425" s="108" t="e">
        <f t="shared" si="30"/>
        <v>#DIV/0!</v>
      </c>
      <c r="C425" s="108" t="e">
        <f t="shared" si="31"/>
        <v>#DIV/0!</v>
      </c>
      <c r="D425" s="108" t="e">
        <f t="shared" si="32"/>
        <v>#DIV/0!</v>
      </c>
      <c r="E425" s="108" t="e">
        <f t="shared" si="33"/>
        <v>#DIV/0!</v>
      </c>
      <c r="F425" s="108" t="e">
        <f t="shared" si="34"/>
        <v>#DIV/0!</v>
      </c>
    </row>
    <row r="426" spans="1:6" x14ac:dyDescent="0.2">
      <c r="A426" s="109">
        <v>415</v>
      </c>
      <c r="B426" s="108" t="e">
        <f t="shared" si="30"/>
        <v>#DIV/0!</v>
      </c>
      <c r="C426" s="108" t="e">
        <f t="shared" si="31"/>
        <v>#DIV/0!</v>
      </c>
      <c r="D426" s="108" t="e">
        <f t="shared" si="32"/>
        <v>#DIV/0!</v>
      </c>
      <c r="E426" s="108" t="e">
        <f t="shared" si="33"/>
        <v>#DIV/0!</v>
      </c>
      <c r="F426" s="108" t="e">
        <f t="shared" si="34"/>
        <v>#DIV/0!</v>
      </c>
    </row>
    <row r="427" spans="1:6" x14ac:dyDescent="0.2">
      <c r="A427" s="109">
        <v>416</v>
      </c>
      <c r="B427" s="108" t="e">
        <f t="shared" si="30"/>
        <v>#DIV/0!</v>
      </c>
      <c r="C427" s="108" t="e">
        <f t="shared" si="31"/>
        <v>#DIV/0!</v>
      </c>
      <c r="D427" s="108" t="e">
        <f t="shared" si="32"/>
        <v>#DIV/0!</v>
      </c>
      <c r="E427" s="108" t="e">
        <f t="shared" si="33"/>
        <v>#DIV/0!</v>
      </c>
      <c r="F427" s="108" t="e">
        <f t="shared" si="34"/>
        <v>#DIV/0!</v>
      </c>
    </row>
    <row r="428" spans="1:6" x14ac:dyDescent="0.2">
      <c r="A428" s="109">
        <v>417</v>
      </c>
      <c r="B428" s="108" t="e">
        <f t="shared" si="30"/>
        <v>#DIV/0!</v>
      </c>
      <c r="C428" s="108" t="e">
        <f t="shared" si="31"/>
        <v>#DIV/0!</v>
      </c>
      <c r="D428" s="108" t="e">
        <f t="shared" si="32"/>
        <v>#DIV/0!</v>
      </c>
      <c r="E428" s="108" t="e">
        <f t="shared" si="33"/>
        <v>#DIV/0!</v>
      </c>
      <c r="F428" s="108" t="e">
        <f t="shared" si="34"/>
        <v>#DIV/0!</v>
      </c>
    </row>
    <row r="429" spans="1:6" x14ac:dyDescent="0.2">
      <c r="A429" s="109">
        <v>418</v>
      </c>
      <c r="B429" s="108" t="e">
        <f t="shared" si="30"/>
        <v>#DIV/0!</v>
      </c>
      <c r="C429" s="108" t="e">
        <f t="shared" si="31"/>
        <v>#DIV/0!</v>
      </c>
      <c r="D429" s="108" t="e">
        <f t="shared" si="32"/>
        <v>#DIV/0!</v>
      </c>
      <c r="E429" s="108" t="e">
        <f t="shared" si="33"/>
        <v>#DIV/0!</v>
      </c>
      <c r="F429" s="108" t="e">
        <f t="shared" si="34"/>
        <v>#DIV/0!</v>
      </c>
    </row>
    <row r="430" spans="1:6" x14ac:dyDescent="0.2">
      <c r="A430" s="109">
        <v>419</v>
      </c>
      <c r="B430" s="108" t="e">
        <f t="shared" si="30"/>
        <v>#DIV/0!</v>
      </c>
      <c r="C430" s="108" t="e">
        <f t="shared" si="31"/>
        <v>#DIV/0!</v>
      </c>
      <c r="D430" s="108" t="e">
        <f t="shared" si="32"/>
        <v>#DIV/0!</v>
      </c>
      <c r="E430" s="108" t="e">
        <f t="shared" si="33"/>
        <v>#DIV/0!</v>
      </c>
      <c r="F430" s="108" t="e">
        <f t="shared" si="34"/>
        <v>#DIV/0!</v>
      </c>
    </row>
    <row r="431" spans="1:6" x14ac:dyDescent="0.2">
      <c r="A431" s="109">
        <v>420</v>
      </c>
      <c r="B431" s="108" t="e">
        <f t="shared" si="30"/>
        <v>#DIV/0!</v>
      </c>
      <c r="C431" s="108" t="e">
        <f t="shared" si="31"/>
        <v>#DIV/0!</v>
      </c>
      <c r="D431" s="108" t="e">
        <f t="shared" si="32"/>
        <v>#DIV/0!</v>
      </c>
      <c r="E431" s="108" t="e">
        <f t="shared" si="33"/>
        <v>#DIV/0!</v>
      </c>
      <c r="F431" s="108" t="e">
        <f t="shared" si="34"/>
        <v>#DIV/0!</v>
      </c>
    </row>
    <row r="432" spans="1:6" x14ac:dyDescent="0.2">
      <c r="A432" s="109">
        <v>421</v>
      </c>
      <c r="B432" s="108" t="e">
        <f t="shared" si="30"/>
        <v>#DIV/0!</v>
      </c>
      <c r="C432" s="108" t="e">
        <f t="shared" si="31"/>
        <v>#DIV/0!</v>
      </c>
      <c r="D432" s="108" t="e">
        <f t="shared" si="32"/>
        <v>#DIV/0!</v>
      </c>
      <c r="E432" s="108" t="e">
        <f t="shared" si="33"/>
        <v>#DIV/0!</v>
      </c>
      <c r="F432" s="108" t="e">
        <f t="shared" si="34"/>
        <v>#DIV/0!</v>
      </c>
    </row>
    <row r="433" spans="1:6" x14ac:dyDescent="0.2">
      <c r="A433" s="109">
        <v>422</v>
      </c>
      <c r="B433" s="108" t="e">
        <f t="shared" si="30"/>
        <v>#DIV/0!</v>
      </c>
      <c r="C433" s="108" t="e">
        <f t="shared" si="31"/>
        <v>#DIV/0!</v>
      </c>
      <c r="D433" s="108" t="e">
        <f t="shared" si="32"/>
        <v>#DIV/0!</v>
      </c>
      <c r="E433" s="108" t="e">
        <f t="shared" si="33"/>
        <v>#DIV/0!</v>
      </c>
      <c r="F433" s="108" t="e">
        <f t="shared" si="34"/>
        <v>#DIV/0!</v>
      </c>
    </row>
    <row r="434" spans="1:6" x14ac:dyDescent="0.2">
      <c r="A434" s="109">
        <v>423</v>
      </c>
      <c r="B434" s="108" t="e">
        <f t="shared" si="30"/>
        <v>#DIV/0!</v>
      </c>
      <c r="C434" s="108" t="e">
        <f t="shared" si="31"/>
        <v>#DIV/0!</v>
      </c>
      <c r="D434" s="108" t="e">
        <f t="shared" si="32"/>
        <v>#DIV/0!</v>
      </c>
      <c r="E434" s="108" t="e">
        <f t="shared" si="33"/>
        <v>#DIV/0!</v>
      </c>
      <c r="F434" s="108" t="e">
        <f t="shared" si="34"/>
        <v>#DIV/0!</v>
      </c>
    </row>
    <row r="435" spans="1:6" x14ac:dyDescent="0.2">
      <c r="A435" s="109">
        <v>424</v>
      </c>
      <c r="B435" s="108" t="e">
        <f t="shared" si="30"/>
        <v>#DIV/0!</v>
      </c>
      <c r="C435" s="108" t="e">
        <f t="shared" si="31"/>
        <v>#DIV/0!</v>
      </c>
      <c r="D435" s="108" t="e">
        <f t="shared" si="32"/>
        <v>#DIV/0!</v>
      </c>
      <c r="E435" s="108" t="e">
        <f t="shared" si="33"/>
        <v>#DIV/0!</v>
      </c>
      <c r="F435" s="108" t="e">
        <f t="shared" si="34"/>
        <v>#DIV/0!</v>
      </c>
    </row>
    <row r="436" spans="1:6" x14ac:dyDescent="0.2">
      <c r="A436" s="109">
        <v>425</v>
      </c>
      <c r="B436" s="108" t="e">
        <f t="shared" si="30"/>
        <v>#DIV/0!</v>
      </c>
      <c r="C436" s="108" t="e">
        <f t="shared" si="31"/>
        <v>#DIV/0!</v>
      </c>
      <c r="D436" s="108" t="e">
        <f t="shared" si="32"/>
        <v>#DIV/0!</v>
      </c>
      <c r="E436" s="108" t="e">
        <f t="shared" si="33"/>
        <v>#DIV/0!</v>
      </c>
      <c r="F436" s="108" t="e">
        <f t="shared" si="34"/>
        <v>#DIV/0!</v>
      </c>
    </row>
    <row r="437" spans="1:6" x14ac:dyDescent="0.2">
      <c r="A437" s="109">
        <v>426</v>
      </c>
      <c r="B437" s="108" t="e">
        <f t="shared" ref="B437:B500" si="35">SUM($B$3/$B$5)</f>
        <v>#DIV/0!</v>
      </c>
      <c r="C437" s="108" t="e">
        <f t="shared" ref="C437:C500" si="36">SUM(E436*($B$4*(1/12)))</f>
        <v>#DIV/0!</v>
      </c>
      <c r="D437" s="108" t="e">
        <f t="shared" si="32"/>
        <v>#DIV/0!</v>
      </c>
      <c r="E437" s="108" t="e">
        <f t="shared" si="33"/>
        <v>#DIV/0!</v>
      </c>
      <c r="F437" s="108" t="e">
        <f t="shared" si="34"/>
        <v>#DIV/0!</v>
      </c>
    </row>
    <row r="438" spans="1:6" x14ac:dyDescent="0.2">
      <c r="A438" s="109">
        <v>427</v>
      </c>
      <c r="B438" s="108" t="e">
        <f t="shared" si="35"/>
        <v>#DIV/0!</v>
      </c>
      <c r="C438" s="108" t="e">
        <f t="shared" si="36"/>
        <v>#DIV/0!</v>
      </c>
      <c r="D438" s="108" t="e">
        <f t="shared" si="32"/>
        <v>#DIV/0!</v>
      </c>
      <c r="E438" s="108" t="e">
        <f t="shared" si="33"/>
        <v>#DIV/0!</v>
      </c>
      <c r="F438" s="108" t="e">
        <f t="shared" si="34"/>
        <v>#DIV/0!</v>
      </c>
    </row>
    <row r="439" spans="1:6" x14ac:dyDescent="0.2">
      <c r="A439" s="109">
        <v>428</v>
      </c>
      <c r="B439" s="108" t="e">
        <f t="shared" si="35"/>
        <v>#DIV/0!</v>
      </c>
      <c r="C439" s="108" t="e">
        <f t="shared" si="36"/>
        <v>#DIV/0!</v>
      </c>
      <c r="D439" s="108" t="e">
        <f t="shared" si="32"/>
        <v>#DIV/0!</v>
      </c>
      <c r="E439" s="108" t="e">
        <f t="shared" si="33"/>
        <v>#DIV/0!</v>
      </c>
      <c r="F439" s="108" t="e">
        <f t="shared" si="34"/>
        <v>#DIV/0!</v>
      </c>
    </row>
    <row r="440" spans="1:6" x14ac:dyDescent="0.2">
      <c r="A440" s="109">
        <v>429</v>
      </c>
      <c r="B440" s="108" t="e">
        <f t="shared" si="35"/>
        <v>#DIV/0!</v>
      </c>
      <c r="C440" s="108" t="e">
        <f t="shared" si="36"/>
        <v>#DIV/0!</v>
      </c>
      <c r="D440" s="108" t="e">
        <f t="shared" si="32"/>
        <v>#DIV/0!</v>
      </c>
      <c r="E440" s="108" t="e">
        <f t="shared" si="33"/>
        <v>#DIV/0!</v>
      </c>
      <c r="F440" s="108" t="e">
        <f t="shared" si="34"/>
        <v>#DIV/0!</v>
      </c>
    </row>
    <row r="441" spans="1:6" x14ac:dyDescent="0.2">
      <c r="A441" s="109">
        <v>430</v>
      </c>
      <c r="B441" s="108" t="e">
        <f t="shared" si="35"/>
        <v>#DIV/0!</v>
      </c>
      <c r="C441" s="108" t="e">
        <f t="shared" si="36"/>
        <v>#DIV/0!</v>
      </c>
      <c r="D441" s="108" t="e">
        <f t="shared" si="32"/>
        <v>#DIV/0!</v>
      </c>
      <c r="E441" s="108" t="e">
        <f t="shared" si="33"/>
        <v>#DIV/0!</v>
      </c>
      <c r="F441" s="108" t="e">
        <f t="shared" si="34"/>
        <v>#DIV/0!</v>
      </c>
    </row>
    <row r="442" spans="1:6" x14ac:dyDescent="0.2">
      <c r="A442" s="109">
        <v>431</v>
      </c>
      <c r="B442" s="108" t="e">
        <f t="shared" si="35"/>
        <v>#DIV/0!</v>
      </c>
      <c r="C442" s="108" t="e">
        <f t="shared" si="36"/>
        <v>#DIV/0!</v>
      </c>
      <c r="D442" s="108" t="e">
        <f t="shared" si="32"/>
        <v>#DIV/0!</v>
      </c>
      <c r="E442" s="108" t="e">
        <f t="shared" si="33"/>
        <v>#DIV/0!</v>
      </c>
      <c r="F442" s="108" t="e">
        <f t="shared" si="34"/>
        <v>#DIV/0!</v>
      </c>
    </row>
    <row r="443" spans="1:6" x14ac:dyDescent="0.2">
      <c r="A443" s="109">
        <v>432</v>
      </c>
      <c r="B443" s="108" t="e">
        <f t="shared" si="35"/>
        <v>#DIV/0!</v>
      </c>
      <c r="C443" s="108" t="e">
        <f t="shared" si="36"/>
        <v>#DIV/0!</v>
      </c>
      <c r="D443" s="108" t="e">
        <f t="shared" si="32"/>
        <v>#DIV/0!</v>
      </c>
      <c r="E443" s="108" t="e">
        <f t="shared" si="33"/>
        <v>#DIV/0!</v>
      </c>
      <c r="F443" s="108" t="e">
        <f t="shared" si="34"/>
        <v>#DIV/0!</v>
      </c>
    </row>
    <row r="444" spans="1:6" x14ac:dyDescent="0.2">
      <c r="A444" s="109">
        <v>433</v>
      </c>
      <c r="B444" s="108" t="e">
        <f t="shared" si="35"/>
        <v>#DIV/0!</v>
      </c>
      <c r="C444" s="108" t="e">
        <f t="shared" si="36"/>
        <v>#DIV/0!</v>
      </c>
      <c r="D444" s="108" t="e">
        <f t="shared" si="32"/>
        <v>#DIV/0!</v>
      </c>
      <c r="E444" s="108" t="e">
        <f t="shared" si="33"/>
        <v>#DIV/0!</v>
      </c>
      <c r="F444" s="108" t="e">
        <f t="shared" si="34"/>
        <v>#DIV/0!</v>
      </c>
    </row>
    <row r="445" spans="1:6" x14ac:dyDescent="0.2">
      <c r="A445" s="109">
        <v>434</v>
      </c>
      <c r="B445" s="108" t="e">
        <f t="shared" si="35"/>
        <v>#DIV/0!</v>
      </c>
      <c r="C445" s="108" t="e">
        <f t="shared" si="36"/>
        <v>#DIV/0!</v>
      </c>
      <c r="D445" s="108" t="e">
        <f t="shared" si="32"/>
        <v>#DIV/0!</v>
      </c>
      <c r="E445" s="108" t="e">
        <f t="shared" si="33"/>
        <v>#DIV/0!</v>
      </c>
      <c r="F445" s="108" t="e">
        <f t="shared" si="34"/>
        <v>#DIV/0!</v>
      </c>
    </row>
    <row r="446" spans="1:6" x14ac:dyDescent="0.2">
      <c r="A446" s="109">
        <v>435</v>
      </c>
      <c r="B446" s="108" t="e">
        <f t="shared" si="35"/>
        <v>#DIV/0!</v>
      </c>
      <c r="C446" s="108" t="e">
        <f t="shared" si="36"/>
        <v>#DIV/0!</v>
      </c>
      <c r="D446" s="108" t="e">
        <f t="shared" si="32"/>
        <v>#DIV/0!</v>
      </c>
      <c r="E446" s="108" t="e">
        <f t="shared" si="33"/>
        <v>#DIV/0!</v>
      </c>
      <c r="F446" s="108" t="e">
        <f t="shared" si="34"/>
        <v>#DIV/0!</v>
      </c>
    </row>
    <row r="447" spans="1:6" x14ac:dyDescent="0.2">
      <c r="A447" s="109">
        <v>436</v>
      </c>
      <c r="B447" s="108" t="e">
        <f t="shared" si="35"/>
        <v>#DIV/0!</v>
      </c>
      <c r="C447" s="108" t="e">
        <f t="shared" si="36"/>
        <v>#DIV/0!</v>
      </c>
      <c r="D447" s="108" t="e">
        <f t="shared" si="32"/>
        <v>#DIV/0!</v>
      </c>
      <c r="E447" s="108" t="e">
        <f t="shared" si="33"/>
        <v>#DIV/0!</v>
      </c>
      <c r="F447" s="108" t="e">
        <f t="shared" si="34"/>
        <v>#DIV/0!</v>
      </c>
    </row>
    <row r="448" spans="1:6" x14ac:dyDescent="0.2">
      <c r="A448" s="109">
        <v>437</v>
      </c>
      <c r="B448" s="108" t="e">
        <f t="shared" si="35"/>
        <v>#DIV/0!</v>
      </c>
      <c r="C448" s="108" t="e">
        <f t="shared" si="36"/>
        <v>#DIV/0!</v>
      </c>
      <c r="D448" s="108" t="e">
        <f t="shared" si="32"/>
        <v>#DIV/0!</v>
      </c>
      <c r="E448" s="108" t="e">
        <f t="shared" si="33"/>
        <v>#DIV/0!</v>
      </c>
      <c r="F448" s="108" t="e">
        <f t="shared" si="34"/>
        <v>#DIV/0!</v>
      </c>
    </row>
    <row r="449" spans="1:6" x14ac:dyDescent="0.2">
      <c r="A449" s="109">
        <v>438</v>
      </c>
      <c r="B449" s="108" t="e">
        <f t="shared" si="35"/>
        <v>#DIV/0!</v>
      </c>
      <c r="C449" s="108" t="e">
        <f t="shared" si="36"/>
        <v>#DIV/0!</v>
      </c>
      <c r="D449" s="108" t="e">
        <f t="shared" si="32"/>
        <v>#DIV/0!</v>
      </c>
      <c r="E449" s="108" t="e">
        <f t="shared" si="33"/>
        <v>#DIV/0!</v>
      </c>
      <c r="F449" s="108" t="e">
        <f t="shared" si="34"/>
        <v>#DIV/0!</v>
      </c>
    </row>
    <row r="450" spans="1:6" x14ac:dyDescent="0.2">
      <c r="A450" s="109">
        <v>439</v>
      </c>
      <c r="B450" s="108" t="e">
        <f t="shared" si="35"/>
        <v>#DIV/0!</v>
      </c>
      <c r="C450" s="108" t="e">
        <f t="shared" si="36"/>
        <v>#DIV/0!</v>
      </c>
      <c r="D450" s="108" t="e">
        <f t="shared" si="32"/>
        <v>#DIV/0!</v>
      </c>
      <c r="E450" s="108" t="e">
        <f t="shared" si="33"/>
        <v>#DIV/0!</v>
      </c>
      <c r="F450" s="108" t="e">
        <f t="shared" si="34"/>
        <v>#DIV/0!</v>
      </c>
    </row>
    <row r="451" spans="1:6" x14ac:dyDescent="0.2">
      <c r="A451" s="109">
        <v>440</v>
      </c>
      <c r="B451" s="108" t="e">
        <f t="shared" si="35"/>
        <v>#DIV/0!</v>
      </c>
      <c r="C451" s="108" t="e">
        <f t="shared" si="36"/>
        <v>#DIV/0!</v>
      </c>
      <c r="D451" s="108" t="e">
        <f t="shared" si="32"/>
        <v>#DIV/0!</v>
      </c>
      <c r="E451" s="108" t="e">
        <f t="shared" si="33"/>
        <v>#DIV/0!</v>
      </c>
      <c r="F451" s="108" t="e">
        <f t="shared" si="34"/>
        <v>#DIV/0!</v>
      </c>
    </row>
    <row r="452" spans="1:6" x14ac:dyDescent="0.2">
      <c r="A452" s="109">
        <v>441</v>
      </c>
      <c r="B452" s="108" t="e">
        <f t="shared" si="35"/>
        <v>#DIV/0!</v>
      </c>
      <c r="C452" s="108" t="e">
        <f t="shared" si="36"/>
        <v>#DIV/0!</v>
      </c>
      <c r="D452" s="108" t="e">
        <f t="shared" si="32"/>
        <v>#DIV/0!</v>
      </c>
      <c r="E452" s="108" t="e">
        <f t="shared" si="33"/>
        <v>#DIV/0!</v>
      </c>
      <c r="F452" s="108" t="e">
        <f t="shared" si="34"/>
        <v>#DIV/0!</v>
      </c>
    </row>
    <row r="453" spans="1:6" x14ac:dyDescent="0.2">
      <c r="A453" s="109">
        <v>442</v>
      </c>
      <c r="B453" s="108" t="e">
        <f t="shared" si="35"/>
        <v>#DIV/0!</v>
      </c>
      <c r="C453" s="108" t="e">
        <f t="shared" si="36"/>
        <v>#DIV/0!</v>
      </c>
      <c r="D453" s="108" t="e">
        <f t="shared" si="32"/>
        <v>#DIV/0!</v>
      </c>
      <c r="E453" s="108" t="e">
        <f t="shared" si="33"/>
        <v>#DIV/0!</v>
      </c>
      <c r="F453" s="108" t="e">
        <f t="shared" si="34"/>
        <v>#DIV/0!</v>
      </c>
    </row>
    <row r="454" spans="1:6" x14ac:dyDescent="0.2">
      <c r="A454" s="109">
        <v>443</v>
      </c>
      <c r="B454" s="108" t="e">
        <f t="shared" si="35"/>
        <v>#DIV/0!</v>
      </c>
      <c r="C454" s="108" t="e">
        <f t="shared" si="36"/>
        <v>#DIV/0!</v>
      </c>
      <c r="D454" s="108" t="e">
        <f t="shared" si="32"/>
        <v>#DIV/0!</v>
      </c>
      <c r="E454" s="108" t="e">
        <f t="shared" si="33"/>
        <v>#DIV/0!</v>
      </c>
      <c r="F454" s="108" t="e">
        <f t="shared" si="34"/>
        <v>#DIV/0!</v>
      </c>
    </row>
    <row r="455" spans="1:6" x14ac:dyDescent="0.2">
      <c r="A455" s="109">
        <v>444</v>
      </c>
      <c r="B455" s="108" t="e">
        <f t="shared" si="35"/>
        <v>#DIV/0!</v>
      </c>
      <c r="C455" s="108" t="e">
        <f t="shared" si="36"/>
        <v>#DIV/0!</v>
      </c>
      <c r="D455" s="108" t="e">
        <f t="shared" si="32"/>
        <v>#DIV/0!</v>
      </c>
      <c r="E455" s="108" t="e">
        <f t="shared" si="33"/>
        <v>#DIV/0!</v>
      </c>
      <c r="F455" s="108" t="e">
        <f t="shared" si="34"/>
        <v>#DIV/0!</v>
      </c>
    </row>
    <row r="456" spans="1:6" x14ac:dyDescent="0.2">
      <c r="A456" s="109">
        <v>445</v>
      </c>
      <c r="B456" s="108" t="e">
        <f t="shared" si="35"/>
        <v>#DIV/0!</v>
      </c>
      <c r="C456" s="108" t="e">
        <f t="shared" si="36"/>
        <v>#DIV/0!</v>
      </c>
      <c r="D456" s="108" t="e">
        <f t="shared" si="32"/>
        <v>#DIV/0!</v>
      </c>
      <c r="E456" s="108" t="e">
        <f t="shared" si="33"/>
        <v>#DIV/0!</v>
      </c>
      <c r="F456" s="108" t="e">
        <f t="shared" si="34"/>
        <v>#DIV/0!</v>
      </c>
    </row>
    <row r="457" spans="1:6" x14ac:dyDescent="0.2">
      <c r="A457" s="109">
        <v>446</v>
      </c>
      <c r="B457" s="108" t="e">
        <f t="shared" si="35"/>
        <v>#DIV/0!</v>
      </c>
      <c r="C457" s="108" t="e">
        <f t="shared" si="36"/>
        <v>#DIV/0!</v>
      </c>
      <c r="D457" s="108" t="e">
        <f t="shared" si="32"/>
        <v>#DIV/0!</v>
      </c>
      <c r="E457" s="108" t="e">
        <f t="shared" si="33"/>
        <v>#DIV/0!</v>
      </c>
      <c r="F457" s="108" t="e">
        <f t="shared" si="34"/>
        <v>#DIV/0!</v>
      </c>
    </row>
    <row r="458" spans="1:6" x14ac:dyDescent="0.2">
      <c r="A458" s="109">
        <v>447</v>
      </c>
      <c r="B458" s="108" t="e">
        <f t="shared" si="35"/>
        <v>#DIV/0!</v>
      </c>
      <c r="C458" s="108" t="e">
        <f t="shared" si="36"/>
        <v>#DIV/0!</v>
      </c>
      <c r="D458" s="108" t="e">
        <f t="shared" si="32"/>
        <v>#DIV/0!</v>
      </c>
      <c r="E458" s="108" t="e">
        <f t="shared" si="33"/>
        <v>#DIV/0!</v>
      </c>
      <c r="F458" s="108" t="e">
        <f t="shared" si="34"/>
        <v>#DIV/0!</v>
      </c>
    </row>
    <row r="459" spans="1:6" x14ac:dyDescent="0.2">
      <c r="A459" s="109">
        <v>448</v>
      </c>
      <c r="B459" s="108" t="e">
        <f t="shared" si="35"/>
        <v>#DIV/0!</v>
      </c>
      <c r="C459" s="108" t="e">
        <f t="shared" si="36"/>
        <v>#DIV/0!</v>
      </c>
      <c r="D459" s="108" t="e">
        <f t="shared" si="32"/>
        <v>#DIV/0!</v>
      </c>
      <c r="E459" s="108" t="e">
        <f t="shared" si="33"/>
        <v>#DIV/0!</v>
      </c>
      <c r="F459" s="108" t="e">
        <f t="shared" si="34"/>
        <v>#DIV/0!</v>
      </c>
    </row>
    <row r="460" spans="1:6" x14ac:dyDescent="0.2">
      <c r="A460" s="109">
        <v>449</v>
      </c>
      <c r="B460" s="108" t="e">
        <f t="shared" si="35"/>
        <v>#DIV/0!</v>
      </c>
      <c r="C460" s="108" t="e">
        <f t="shared" si="36"/>
        <v>#DIV/0!</v>
      </c>
      <c r="D460" s="108" t="e">
        <f t="shared" ref="D460:D523" si="37">SUM(B460+C460)</f>
        <v>#DIV/0!</v>
      </c>
      <c r="E460" s="108" t="e">
        <f t="shared" ref="E460:E523" si="38">SUM(E459-B460)</f>
        <v>#DIV/0!</v>
      </c>
      <c r="F460" s="108" t="e">
        <f t="shared" si="34"/>
        <v>#DIV/0!</v>
      </c>
    </row>
    <row r="461" spans="1:6" x14ac:dyDescent="0.2">
      <c r="A461" s="109">
        <v>450</v>
      </c>
      <c r="B461" s="108" t="e">
        <f t="shared" si="35"/>
        <v>#DIV/0!</v>
      </c>
      <c r="C461" s="108" t="e">
        <f t="shared" si="36"/>
        <v>#DIV/0!</v>
      </c>
      <c r="D461" s="108" t="e">
        <f t="shared" si="37"/>
        <v>#DIV/0!</v>
      </c>
      <c r="E461" s="108" t="e">
        <f t="shared" si="38"/>
        <v>#DIV/0!</v>
      </c>
      <c r="F461" s="108" t="e">
        <f t="shared" si="34"/>
        <v>#DIV/0!</v>
      </c>
    </row>
    <row r="462" spans="1:6" x14ac:dyDescent="0.2">
      <c r="A462" s="109">
        <v>451</v>
      </c>
      <c r="B462" s="108" t="e">
        <f t="shared" si="35"/>
        <v>#DIV/0!</v>
      </c>
      <c r="C462" s="108" t="e">
        <f t="shared" si="36"/>
        <v>#DIV/0!</v>
      </c>
      <c r="D462" s="108" t="e">
        <f t="shared" si="37"/>
        <v>#DIV/0!</v>
      </c>
      <c r="E462" s="108" t="e">
        <f t="shared" si="38"/>
        <v>#DIV/0!</v>
      </c>
      <c r="F462" s="108" t="e">
        <f t="shared" si="34"/>
        <v>#DIV/0!</v>
      </c>
    </row>
    <row r="463" spans="1:6" x14ac:dyDescent="0.2">
      <c r="A463" s="109">
        <v>452</v>
      </c>
      <c r="B463" s="108" t="e">
        <f t="shared" si="35"/>
        <v>#DIV/0!</v>
      </c>
      <c r="C463" s="108" t="e">
        <f t="shared" si="36"/>
        <v>#DIV/0!</v>
      </c>
      <c r="D463" s="108" t="e">
        <f t="shared" si="37"/>
        <v>#DIV/0!</v>
      </c>
      <c r="E463" s="108" t="e">
        <f t="shared" si="38"/>
        <v>#DIV/0!</v>
      </c>
      <c r="F463" s="108" t="e">
        <f t="shared" si="34"/>
        <v>#DIV/0!</v>
      </c>
    </row>
    <row r="464" spans="1:6" x14ac:dyDescent="0.2">
      <c r="A464" s="109">
        <v>453</v>
      </c>
      <c r="B464" s="108" t="e">
        <f t="shared" si="35"/>
        <v>#DIV/0!</v>
      </c>
      <c r="C464" s="108" t="e">
        <f t="shared" si="36"/>
        <v>#DIV/0!</v>
      </c>
      <c r="D464" s="108" t="e">
        <f t="shared" si="37"/>
        <v>#DIV/0!</v>
      </c>
      <c r="E464" s="108" t="e">
        <f t="shared" si="38"/>
        <v>#DIV/0!</v>
      </c>
      <c r="F464" s="108" t="e">
        <f t="shared" si="34"/>
        <v>#DIV/0!</v>
      </c>
    </row>
    <row r="465" spans="1:6" x14ac:dyDescent="0.2">
      <c r="A465" s="109">
        <v>454</v>
      </c>
      <c r="B465" s="108" t="e">
        <f t="shared" si="35"/>
        <v>#DIV/0!</v>
      </c>
      <c r="C465" s="108" t="e">
        <f t="shared" si="36"/>
        <v>#DIV/0!</v>
      </c>
      <c r="D465" s="108" t="e">
        <f t="shared" si="37"/>
        <v>#DIV/0!</v>
      </c>
      <c r="E465" s="108" t="e">
        <f t="shared" si="38"/>
        <v>#DIV/0!</v>
      </c>
      <c r="F465" s="108" t="e">
        <f t="shared" si="34"/>
        <v>#DIV/0!</v>
      </c>
    </row>
    <row r="466" spans="1:6" x14ac:dyDescent="0.2">
      <c r="A466" s="109">
        <v>455</v>
      </c>
      <c r="B466" s="108" t="e">
        <f t="shared" si="35"/>
        <v>#DIV/0!</v>
      </c>
      <c r="C466" s="108" t="e">
        <f t="shared" si="36"/>
        <v>#DIV/0!</v>
      </c>
      <c r="D466" s="108" t="e">
        <f t="shared" si="37"/>
        <v>#DIV/0!</v>
      </c>
      <c r="E466" s="108" t="e">
        <f t="shared" si="38"/>
        <v>#DIV/0!</v>
      </c>
      <c r="F466" s="108" t="e">
        <f t="shared" si="34"/>
        <v>#DIV/0!</v>
      </c>
    </row>
    <row r="467" spans="1:6" x14ac:dyDescent="0.2">
      <c r="A467" s="109">
        <v>456</v>
      </c>
      <c r="B467" s="108" t="e">
        <f t="shared" si="35"/>
        <v>#DIV/0!</v>
      </c>
      <c r="C467" s="108" t="e">
        <f t="shared" si="36"/>
        <v>#DIV/0!</v>
      </c>
      <c r="D467" s="108" t="e">
        <f t="shared" si="37"/>
        <v>#DIV/0!</v>
      </c>
      <c r="E467" s="108" t="e">
        <f t="shared" si="38"/>
        <v>#DIV/0!</v>
      </c>
      <c r="F467" s="108" t="e">
        <f t="shared" si="34"/>
        <v>#DIV/0!</v>
      </c>
    </row>
    <row r="468" spans="1:6" x14ac:dyDescent="0.2">
      <c r="A468" s="109">
        <v>457</v>
      </c>
      <c r="B468" s="108" t="e">
        <f t="shared" si="35"/>
        <v>#DIV/0!</v>
      </c>
      <c r="C468" s="108" t="e">
        <f t="shared" si="36"/>
        <v>#DIV/0!</v>
      </c>
      <c r="D468" s="108" t="e">
        <f t="shared" si="37"/>
        <v>#DIV/0!</v>
      </c>
      <c r="E468" s="108" t="e">
        <f t="shared" si="38"/>
        <v>#DIV/0!</v>
      </c>
      <c r="F468" s="108" t="e">
        <f t="shared" si="34"/>
        <v>#DIV/0!</v>
      </c>
    </row>
    <row r="469" spans="1:6" x14ac:dyDescent="0.2">
      <c r="A469" s="109">
        <v>458</v>
      </c>
      <c r="B469" s="108" t="e">
        <f t="shared" si="35"/>
        <v>#DIV/0!</v>
      </c>
      <c r="C469" s="108" t="e">
        <f t="shared" si="36"/>
        <v>#DIV/0!</v>
      </c>
      <c r="D469" s="108" t="e">
        <f t="shared" si="37"/>
        <v>#DIV/0!</v>
      </c>
      <c r="E469" s="108" t="e">
        <f t="shared" si="38"/>
        <v>#DIV/0!</v>
      </c>
      <c r="F469" s="108" t="e">
        <f t="shared" si="34"/>
        <v>#DIV/0!</v>
      </c>
    </row>
    <row r="470" spans="1:6" x14ac:dyDescent="0.2">
      <c r="A470" s="109">
        <v>459</v>
      </c>
      <c r="B470" s="108" t="e">
        <f t="shared" si="35"/>
        <v>#DIV/0!</v>
      </c>
      <c r="C470" s="108" t="e">
        <f t="shared" si="36"/>
        <v>#DIV/0!</v>
      </c>
      <c r="D470" s="108" t="e">
        <f t="shared" si="37"/>
        <v>#DIV/0!</v>
      </c>
      <c r="E470" s="108" t="e">
        <f t="shared" si="38"/>
        <v>#DIV/0!</v>
      </c>
      <c r="F470" s="108" t="e">
        <f t="shared" si="34"/>
        <v>#DIV/0!</v>
      </c>
    </row>
    <row r="471" spans="1:6" x14ac:dyDescent="0.2">
      <c r="A471" s="109">
        <v>460</v>
      </c>
      <c r="B471" s="108" t="e">
        <f t="shared" si="35"/>
        <v>#DIV/0!</v>
      </c>
      <c r="C471" s="108" t="e">
        <f t="shared" si="36"/>
        <v>#DIV/0!</v>
      </c>
      <c r="D471" s="108" t="e">
        <f t="shared" si="37"/>
        <v>#DIV/0!</v>
      </c>
      <c r="E471" s="108" t="e">
        <f t="shared" si="38"/>
        <v>#DIV/0!</v>
      </c>
      <c r="F471" s="108" t="e">
        <f t="shared" si="34"/>
        <v>#DIV/0!</v>
      </c>
    </row>
    <row r="472" spans="1:6" x14ac:dyDescent="0.2">
      <c r="A472" s="109">
        <v>461</v>
      </c>
      <c r="B472" s="108" t="e">
        <f t="shared" si="35"/>
        <v>#DIV/0!</v>
      </c>
      <c r="C472" s="108" t="e">
        <f t="shared" si="36"/>
        <v>#DIV/0!</v>
      </c>
      <c r="D472" s="108" t="e">
        <f t="shared" si="37"/>
        <v>#DIV/0!</v>
      </c>
      <c r="E472" s="108" t="e">
        <f t="shared" si="38"/>
        <v>#DIV/0!</v>
      </c>
      <c r="F472" s="108" t="e">
        <f t="shared" si="34"/>
        <v>#DIV/0!</v>
      </c>
    </row>
    <row r="473" spans="1:6" x14ac:dyDescent="0.2">
      <c r="A473" s="109">
        <v>462</v>
      </c>
      <c r="B473" s="108" t="e">
        <f t="shared" si="35"/>
        <v>#DIV/0!</v>
      </c>
      <c r="C473" s="108" t="e">
        <f t="shared" si="36"/>
        <v>#DIV/0!</v>
      </c>
      <c r="D473" s="108" t="e">
        <f t="shared" si="37"/>
        <v>#DIV/0!</v>
      </c>
      <c r="E473" s="108" t="e">
        <f t="shared" si="38"/>
        <v>#DIV/0!</v>
      </c>
      <c r="F473" s="108" t="e">
        <f t="shared" si="34"/>
        <v>#DIV/0!</v>
      </c>
    </row>
    <row r="474" spans="1:6" x14ac:dyDescent="0.2">
      <c r="A474" s="109">
        <v>463</v>
      </c>
      <c r="B474" s="108" t="e">
        <f t="shared" si="35"/>
        <v>#DIV/0!</v>
      </c>
      <c r="C474" s="108" t="e">
        <f t="shared" si="36"/>
        <v>#DIV/0!</v>
      </c>
      <c r="D474" s="108" t="e">
        <f t="shared" si="37"/>
        <v>#DIV/0!</v>
      </c>
      <c r="E474" s="108" t="e">
        <f t="shared" si="38"/>
        <v>#DIV/0!</v>
      </c>
      <c r="F474" s="108" t="e">
        <f t="shared" si="34"/>
        <v>#DIV/0!</v>
      </c>
    </row>
    <row r="475" spans="1:6" x14ac:dyDescent="0.2">
      <c r="A475" s="109">
        <v>464</v>
      </c>
      <c r="B475" s="108" t="e">
        <f t="shared" si="35"/>
        <v>#DIV/0!</v>
      </c>
      <c r="C475" s="108" t="e">
        <f t="shared" si="36"/>
        <v>#DIV/0!</v>
      </c>
      <c r="D475" s="108" t="e">
        <f t="shared" si="37"/>
        <v>#DIV/0!</v>
      </c>
      <c r="E475" s="108" t="e">
        <f t="shared" si="38"/>
        <v>#DIV/0!</v>
      </c>
      <c r="F475" s="108" t="e">
        <f t="shared" si="34"/>
        <v>#DIV/0!</v>
      </c>
    </row>
    <row r="476" spans="1:6" x14ac:dyDescent="0.2">
      <c r="A476" s="109">
        <v>465</v>
      </c>
      <c r="B476" s="108" t="e">
        <f t="shared" si="35"/>
        <v>#DIV/0!</v>
      </c>
      <c r="C476" s="108" t="e">
        <f t="shared" si="36"/>
        <v>#DIV/0!</v>
      </c>
      <c r="D476" s="108" t="e">
        <f t="shared" si="37"/>
        <v>#DIV/0!</v>
      </c>
      <c r="E476" s="108" t="e">
        <f t="shared" si="38"/>
        <v>#DIV/0!</v>
      </c>
      <c r="F476" s="108" t="e">
        <f t="shared" si="34"/>
        <v>#DIV/0!</v>
      </c>
    </row>
    <row r="477" spans="1:6" x14ac:dyDescent="0.2">
      <c r="A477" s="109">
        <v>466</v>
      </c>
      <c r="B477" s="108" t="e">
        <f t="shared" si="35"/>
        <v>#DIV/0!</v>
      </c>
      <c r="C477" s="108" t="e">
        <f t="shared" si="36"/>
        <v>#DIV/0!</v>
      </c>
      <c r="D477" s="108" t="e">
        <f t="shared" si="37"/>
        <v>#DIV/0!</v>
      </c>
      <c r="E477" s="108" t="e">
        <f t="shared" si="38"/>
        <v>#DIV/0!</v>
      </c>
      <c r="F477" s="108" t="e">
        <f t="shared" si="34"/>
        <v>#DIV/0!</v>
      </c>
    </row>
    <row r="478" spans="1:6" x14ac:dyDescent="0.2">
      <c r="A478" s="109">
        <v>467</v>
      </c>
      <c r="B478" s="108" t="e">
        <f t="shared" si="35"/>
        <v>#DIV/0!</v>
      </c>
      <c r="C478" s="108" t="e">
        <f t="shared" si="36"/>
        <v>#DIV/0!</v>
      </c>
      <c r="D478" s="108" t="e">
        <f t="shared" si="37"/>
        <v>#DIV/0!</v>
      </c>
      <c r="E478" s="108" t="e">
        <f t="shared" si="38"/>
        <v>#DIV/0!</v>
      </c>
      <c r="F478" s="108" t="e">
        <f t="shared" si="34"/>
        <v>#DIV/0!</v>
      </c>
    </row>
    <row r="479" spans="1:6" x14ac:dyDescent="0.2">
      <c r="A479" s="109">
        <v>468</v>
      </c>
      <c r="B479" s="108" t="e">
        <f t="shared" si="35"/>
        <v>#DIV/0!</v>
      </c>
      <c r="C479" s="108" t="e">
        <f t="shared" si="36"/>
        <v>#DIV/0!</v>
      </c>
      <c r="D479" s="108" t="e">
        <f t="shared" si="37"/>
        <v>#DIV/0!</v>
      </c>
      <c r="E479" s="108" t="e">
        <f t="shared" si="38"/>
        <v>#DIV/0!</v>
      </c>
      <c r="F479" s="108" t="e">
        <f t="shared" si="34"/>
        <v>#DIV/0!</v>
      </c>
    </row>
    <row r="480" spans="1:6" x14ac:dyDescent="0.2">
      <c r="A480" s="109">
        <v>469</v>
      </c>
      <c r="B480" s="108" t="e">
        <f t="shared" si="35"/>
        <v>#DIV/0!</v>
      </c>
      <c r="C480" s="108" t="e">
        <f t="shared" si="36"/>
        <v>#DIV/0!</v>
      </c>
      <c r="D480" s="108" t="e">
        <f t="shared" si="37"/>
        <v>#DIV/0!</v>
      </c>
      <c r="E480" s="108" t="e">
        <f t="shared" si="38"/>
        <v>#DIV/0!</v>
      </c>
      <c r="F480" s="108" t="e">
        <f t="shared" si="34"/>
        <v>#DIV/0!</v>
      </c>
    </row>
    <row r="481" spans="1:6" x14ac:dyDescent="0.2">
      <c r="A481" s="109">
        <v>470</v>
      </c>
      <c r="B481" s="108" t="e">
        <f t="shared" si="35"/>
        <v>#DIV/0!</v>
      </c>
      <c r="C481" s="108" t="e">
        <f t="shared" si="36"/>
        <v>#DIV/0!</v>
      </c>
      <c r="D481" s="108" t="e">
        <f t="shared" si="37"/>
        <v>#DIV/0!</v>
      </c>
      <c r="E481" s="108" t="e">
        <f t="shared" si="38"/>
        <v>#DIV/0!</v>
      </c>
      <c r="F481" s="108" t="e">
        <f t="shared" si="34"/>
        <v>#DIV/0!</v>
      </c>
    </row>
    <row r="482" spans="1:6" x14ac:dyDescent="0.2">
      <c r="A482" s="109">
        <v>471</v>
      </c>
      <c r="B482" s="108" t="e">
        <f t="shared" si="35"/>
        <v>#DIV/0!</v>
      </c>
      <c r="C482" s="108" t="e">
        <f t="shared" si="36"/>
        <v>#DIV/0!</v>
      </c>
      <c r="D482" s="108" t="e">
        <f t="shared" si="37"/>
        <v>#DIV/0!</v>
      </c>
      <c r="E482" s="108" t="e">
        <f t="shared" si="38"/>
        <v>#DIV/0!</v>
      </c>
      <c r="F482" s="108" t="e">
        <f t="shared" si="34"/>
        <v>#DIV/0!</v>
      </c>
    </row>
    <row r="483" spans="1:6" x14ac:dyDescent="0.2">
      <c r="A483" s="109">
        <v>472</v>
      </c>
      <c r="B483" s="108" t="e">
        <f t="shared" si="35"/>
        <v>#DIV/0!</v>
      </c>
      <c r="C483" s="108" t="e">
        <f t="shared" si="36"/>
        <v>#DIV/0!</v>
      </c>
      <c r="D483" s="108" t="e">
        <f t="shared" si="37"/>
        <v>#DIV/0!</v>
      </c>
      <c r="E483" s="108" t="e">
        <f t="shared" si="38"/>
        <v>#DIV/0!</v>
      </c>
      <c r="F483" s="108" t="e">
        <f t="shared" si="34"/>
        <v>#DIV/0!</v>
      </c>
    </row>
    <row r="484" spans="1:6" x14ac:dyDescent="0.2">
      <c r="A484" s="109">
        <v>473</v>
      </c>
      <c r="B484" s="108" t="e">
        <f t="shared" si="35"/>
        <v>#DIV/0!</v>
      </c>
      <c r="C484" s="108" t="e">
        <f t="shared" si="36"/>
        <v>#DIV/0!</v>
      </c>
      <c r="D484" s="108" t="e">
        <f t="shared" si="37"/>
        <v>#DIV/0!</v>
      </c>
      <c r="E484" s="108" t="e">
        <f t="shared" si="38"/>
        <v>#DIV/0!</v>
      </c>
      <c r="F484" s="108" t="e">
        <f t="shared" si="34"/>
        <v>#DIV/0!</v>
      </c>
    </row>
    <row r="485" spans="1:6" x14ac:dyDescent="0.2">
      <c r="A485" s="109">
        <v>474</v>
      </c>
      <c r="B485" s="108" t="e">
        <f t="shared" si="35"/>
        <v>#DIV/0!</v>
      </c>
      <c r="C485" s="108" t="e">
        <f t="shared" si="36"/>
        <v>#DIV/0!</v>
      </c>
      <c r="D485" s="108" t="e">
        <f t="shared" si="37"/>
        <v>#DIV/0!</v>
      </c>
      <c r="E485" s="108" t="e">
        <f t="shared" si="38"/>
        <v>#DIV/0!</v>
      </c>
      <c r="F485" s="108" t="e">
        <f t="shared" ref="F485:F548" si="39">E485*0.00025</f>
        <v>#DIV/0!</v>
      </c>
    </row>
    <row r="486" spans="1:6" x14ac:dyDescent="0.2">
      <c r="A486" s="109">
        <v>475</v>
      </c>
      <c r="B486" s="108" t="e">
        <f t="shared" si="35"/>
        <v>#DIV/0!</v>
      </c>
      <c r="C486" s="108" t="e">
        <f t="shared" si="36"/>
        <v>#DIV/0!</v>
      </c>
      <c r="D486" s="108" t="e">
        <f t="shared" si="37"/>
        <v>#DIV/0!</v>
      </c>
      <c r="E486" s="108" t="e">
        <f t="shared" si="38"/>
        <v>#DIV/0!</v>
      </c>
      <c r="F486" s="108" t="e">
        <f t="shared" si="39"/>
        <v>#DIV/0!</v>
      </c>
    </row>
    <row r="487" spans="1:6" x14ac:dyDescent="0.2">
      <c r="A487" s="109">
        <v>476</v>
      </c>
      <c r="B487" s="108" t="e">
        <f t="shared" si="35"/>
        <v>#DIV/0!</v>
      </c>
      <c r="C487" s="108" t="e">
        <f t="shared" si="36"/>
        <v>#DIV/0!</v>
      </c>
      <c r="D487" s="108" t="e">
        <f t="shared" si="37"/>
        <v>#DIV/0!</v>
      </c>
      <c r="E487" s="108" t="e">
        <f t="shared" si="38"/>
        <v>#DIV/0!</v>
      </c>
      <c r="F487" s="108" t="e">
        <f t="shared" si="39"/>
        <v>#DIV/0!</v>
      </c>
    </row>
    <row r="488" spans="1:6" x14ac:dyDescent="0.2">
      <c r="A488" s="109">
        <v>477</v>
      </c>
      <c r="B488" s="108" t="e">
        <f t="shared" si="35"/>
        <v>#DIV/0!</v>
      </c>
      <c r="C488" s="108" t="e">
        <f t="shared" si="36"/>
        <v>#DIV/0!</v>
      </c>
      <c r="D488" s="108" t="e">
        <f t="shared" si="37"/>
        <v>#DIV/0!</v>
      </c>
      <c r="E488" s="108" t="e">
        <f t="shared" si="38"/>
        <v>#DIV/0!</v>
      </c>
      <c r="F488" s="108" t="e">
        <f t="shared" si="39"/>
        <v>#DIV/0!</v>
      </c>
    </row>
    <row r="489" spans="1:6" x14ac:dyDescent="0.2">
      <c r="A489" s="109">
        <v>478</v>
      </c>
      <c r="B489" s="108" t="e">
        <f t="shared" si="35"/>
        <v>#DIV/0!</v>
      </c>
      <c r="C489" s="108" t="e">
        <f t="shared" si="36"/>
        <v>#DIV/0!</v>
      </c>
      <c r="D489" s="108" t="e">
        <f t="shared" si="37"/>
        <v>#DIV/0!</v>
      </c>
      <c r="E489" s="108" t="e">
        <f t="shared" si="38"/>
        <v>#DIV/0!</v>
      </c>
      <c r="F489" s="108" t="e">
        <f t="shared" si="39"/>
        <v>#DIV/0!</v>
      </c>
    </row>
    <row r="490" spans="1:6" x14ac:dyDescent="0.2">
      <c r="A490" s="109">
        <v>479</v>
      </c>
      <c r="B490" s="108" t="e">
        <f t="shared" si="35"/>
        <v>#DIV/0!</v>
      </c>
      <c r="C490" s="108" t="e">
        <f t="shared" si="36"/>
        <v>#DIV/0!</v>
      </c>
      <c r="D490" s="108" t="e">
        <f t="shared" si="37"/>
        <v>#DIV/0!</v>
      </c>
      <c r="E490" s="108" t="e">
        <f t="shared" si="38"/>
        <v>#DIV/0!</v>
      </c>
      <c r="F490" s="108" t="e">
        <f t="shared" si="39"/>
        <v>#DIV/0!</v>
      </c>
    </row>
    <row r="491" spans="1:6" x14ac:dyDescent="0.2">
      <c r="A491" s="109">
        <v>480</v>
      </c>
      <c r="B491" s="108" t="e">
        <f t="shared" si="35"/>
        <v>#DIV/0!</v>
      </c>
      <c r="C491" s="108" t="e">
        <f t="shared" si="36"/>
        <v>#DIV/0!</v>
      </c>
      <c r="D491" s="108" t="e">
        <f t="shared" si="37"/>
        <v>#DIV/0!</v>
      </c>
      <c r="E491" s="108" t="e">
        <f t="shared" si="38"/>
        <v>#DIV/0!</v>
      </c>
      <c r="F491" s="108" t="e">
        <f t="shared" si="39"/>
        <v>#DIV/0!</v>
      </c>
    </row>
    <row r="492" spans="1:6" x14ac:dyDescent="0.2">
      <c r="A492" s="109">
        <v>481</v>
      </c>
      <c r="B492" s="108" t="e">
        <f t="shared" si="35"/>
        <v>#DIV/0!</v>
      </c>
      <c r="C492" s="108" t="e">
        <f t="shared" si="36"/>
        <v>#DIV/0!</v>
      </c>
      <c r="D492" s="108" t="e">
        <f t="shared" si="37"/>
        <v>#DIV/0!</v>
      </c>
      <c r="E492" s="108" t="e">
        <f t="shared" si="38"/>
        <v>#DIV/0!</v>
      </c>
      <c r="F492" s="108" t="e">
        <f t="shared" si="39"/>
        <v>#DIV/0!</v>
      </c>
    </row>
    <row r="493" spans="1:6" x14ac:dyDescent="0.2">
      <c r="A493" s="109">
        <v>482</v>
      </c>
      <c r="B493" s="108" t="e">
        <f t="shared" si="35"/>
        <v>#DIV/0!</v>
      </c>
      <c r="C493" s="108" t="e">
        <f t="shared" si="36"/>
        <v>#DIV/0!</v>
      </c>
      <c r="D493" s="108" t="e">
        <f t="shared" si="37"/>
        <v>#DIV/0!</v>
      </c>
      <c r="E493" s="108" t="e">
        <f t="shared" si="38"/>
        <v>#DIV/0!</v>
      </c>
      <c r="F493" s="108" t="e">
        <f t="shared" si="39"/>
        <v>#DIV/0!</v>
      </c>
    </row>
    <row r="494" spans="1:6" x14ac:dyDescent="0.2">
      <c r="A494" s="109">
        <v>483</v>
      </c>
      <c r="B494" s="108" t="e">
        <f t="shared" si="35"/>
        <v>#DIV/0!</v>
      </c>
      <c r="C494" s="108" t="e">
        <f t="shared" si="36"/>
        <v>#DIV/0!</v>
      </c>
      <c r="D494" s="108" t="e">
        <f t="shared" si="37"/>
        <v>#DIV/0!</v>
      </c>
      <c r="E494" s="108" t="e">
        <f t="shared" si="38"/>
        <v>#DIV/0!</v>
      </c>
      <c r="F494" s="108" t="e">
        <f t="shared" si="39"/>
        <v>#DIV/0!</v>
      </c>
    </row>
    <row r="495" spans="1:6" x14ac:dyDescent="0.2">
      <c r="A495" s="109">
        <v>484</v>
      </c>
      <c r="B495" s="108" t="e">
        <f t="shared" si="35"/>
        <v>#DIV/0!</v>
      </c>
      <c r="C495" s="108" t="e">
        <f t="shared" si="36"/>
        <v>#DIV/0!</v>
      </c>
      <c r="D495" s="108" t="e">
        <f t="shared" si="37"/>
        <v>#DIV/0!</v>
      </c>
      <c r="E495" s="108" t="e">
        <f t="shared" si="38"/>
        <v>#DIV/0!</v>
      </c>
      <c r="F495" s="108" t="e">
        <f t="shared" si="39"/>
        <v>#DIV/0!</v>
      </c>
    </row>
    <row r="496" spans="1:6" x14ac:dyDescent="0.2">
      <c r="A496" s="109">
        <v>485</v>
      </c>
      <c r="B496" s="108" t="e">
        <f t="shared" si="35"/>
        <v>#DIV/0!</v>
      </c>
      <c r="C496" s="108" t="e">
        <f t="shared" si="36"/>
        <v>#DIV/0!</v>
      </c>
      <c r="D496" s="108" t="e">
        <f t="shared" si="37"/>
        <v>#DIV/0!</v>
      </c>
      <c r="E496" s="108" t="e">
        <f t="shared" si="38"/>
        <v>#DIV/0!</v>
      </c>
      <c r="F496" s="108" t="e">
        <f t="shared" si="39"/>
        <v>#DIV/0!</v>
      </c>
    </row>
    <row r="497" spans="1:6" x14ac:dyDescent="0.2">
      <c r="A497" s="109">
        <v>486</v>
      </c>
      <c r="B497" s="108" t="e">
        <f t="shared" si="35"/>
        <v>#DIV/0!</v>
      </c>
      <c r="C497" s="108" t="e">
        <f t="shared" si="36"/>
        <v>#DIV/0!</v>
      </c>
      <c r="D497" s="108" t="e">
        <f t="shared" si="37"/>
        <v>#DIV/0!</v>
      </c>
      <c r="E497" s="108" t="e">
        <f t="shared" si="38"/>
        <v>#DIV/0!</v>
      </c>
      <c r="F497" s="108" t="e">
        <f t="shared" si="39"/>
        <v>#DIV/0!</v>
      </c>
    </row>
    <row r="498" spans="1:6" x14ac:dyDescent="0.2">
      <c r="A498" s="109">
        <v>487</v>
      </c>
      <c r="B498" s="108" t="e">
        <f t="shared" si="35"/>
        <v>#DIV/0!</v>
      </c>
      <c r="C498" s="108" t="e">
        <f t="shared" si="36"/>
        <v>#DIV/0!</v>
      </c>
      <c r="D498" s="108" t="e">
        <f t="shared" si="37"/>
        <v>#DIV/0!</v>
      </c>
      <c r="E498" s="108" t="e">
        <f t="shared" si="38"/>
        <v>#DIV/0!</v>
      </c>
      <c r="F498" s="108" t="e">
        <f t="shared" si="39"/>
        <v>#DIV/0!</v>
      </c>
    </row>
    <row r="499" spans="1:6" x14ac:dyDescent="0.2">
      <c r="A499" s="109">
        <v>488</v>
      </c>
      <c r="B499" s="108" t="e">
        <f t="shared" si="35"/>
        <v>#DIV/0!</v>
      </c>
      <c r="C499" s="108" t="e">
        <f t="shared" si="36"/>
        <v>#DIV/0!</v>
      </c>
      <c r="D499" s="108" t="e">
        <f t="shared" si="37"/>
        <v>#DIV/0!</v>
      </c>
      <c r="E499" s="108" t="e">
        <f t="shared" si="38"/>
        <v>#DIV/0!</v>
      </c>
      <c r="F499" s="108" t="e">
        <f t="shared" si="39"/>
        <v>#DIV/0!</v>
      </c>
    </row>
    <row r="500" spans="1:6" x14ac:dyDescent="0.2">
      <c r="A500" s="109">
        <v>489</v>
      </c>
      <c r="B500" s="108" t="e">
        <f t="shared" si="35"/>
        <v>#DIV/0!</v>
      </c>
      <c r="C500" s="108" t="e">
        <f t="shared" si="36"/>
        <v>#DIV/0!</v>
      </c>
      <c r="D500" s="108" t="e">
        <f t="shared" si="37"/>
        <v>#DIV/0!</v>
      </c>
      <c r="E500" s="108" t="e">
        <f t="shared" si="38"/>
        <v>#DIV/0!</v>
      </c>
      <c r="F500" s="108" t="e">
        <f t="shared" si="39"/>
        <v>#DIV/0!</v>
      </c>
    </row>
    <row r="501" spans="1:6" x14ac:dyDescent="0.2">
      <c r="A501" s="109">
        <v>490</v>
      </c>
      <c r="B501" s="108" t="e">
        <f t="shared" ref="B501:B551" si="40">SUM($B$3/$B$5)</f>
        <v>#DIV/0!</v>
      </c>
      <c r="C501" s="108" t="e">
        <f t="shared" ref="C501:C551" si="41">SUM(E500*($B$4*(1/12)))</f>
        <v>#DIV/0!</v>
      </c>
      <c r="D501" s="108" t="e">
        <f t="shared" si="37"/>
        <v>#DIV/0!</v>
      </c>
      <c r="E501" s="108" t="e">
        <f t="shared" si="38"/>
        <v>#DIV/0!</v>
      </c>
      <c r="F501" s="108" t="e">
        <f t="shared" si="39"/>
        <v>#DIV/0!</v>
      </c>
    </row>
    <row r="502" spans="1:6" x14ac:dyDescent="0.2">
      <c r="A502" s="109">
        <v>491</v>
      </c>
      <c r="B502" s="108" t="e">
        <f t="shared" si="40"/>
        <v>#DIV/0!</v>
      </c>
      <c r="C502" s="108" t="e">
        <f t="shared" si="41"/>
        <v>#DIV/0!</v>
      </c>
      <c r="D502" s="108" t="e">
        <f t="shared" si="37"/>
        <v>#DIV/0!</v>
      </c>
      <c r="E502" s="108" t="e">
        <f t="shared" si="38"/>
        <v>#DIV/0!</v>
      </c>
      <c r="F502" s="108" t="e">
        <f t="shared" si="39"/>
        <v>#DIV/0!</v>
      </c>
    </row>
    <row r="503" spans="1:6" x14ac:dyDescent="0.2">
      <c r="A503" s="109">
        <v>492</v>
      </c>
      <c r="B503" s="108" t="e">
        <f t="shared" si="40"/>
        <v>#DIV/0!</v>
      </c>
      <c r="C503" s="108" t="e">
        <f t="shared" si="41"/>
        <v>#DIV/0!</v>
      </c>
      <c r="D503" s="108" t="e">
        <f t="shared" si="37"/>
        <v>#DIV/0!</v>
      </c>
      <c r="E503" s="108" t="e">
        <f t="shared" si="38"/>
        <v>#DIV/0!</v>
      </c>
      <c r="F503" s="108" t="e">
        <f t="shared" si="39"/>
        <v>#DIV/0!</v>
      </c>
    </row>
    <row r="504" spans="1:6" x14ac:dyDescent="0.2">
      <c r="A504" s="109">
        <v>493</v>
      </c>
      <c r="B504" s="108" t="e">
        <f t="shared" si="40"/>
        <v>#DIV/0!</v>
      </c>
      <c r="C504" s="108" t="e">
        <f t="shared" si="41"/>
        <v>#DIV/0!</v>
      </c>
      <c r="D504" s="108" t="e">
        <f t="shared" si="37"/>
        <v>#DIV/0!</v>
      </c>
      <c r="E504" s="108" t="e">
        <f t="shared" si="38"/>
        <v>#DIV/0!</v>
      </c>
      <c r="F504" s="108" t="e">
        <f t="shared" si="39"/>
        <v>#DIV/0!</v>
      </c>
    </row>
    <row r="505" spans="1:6" x14ac:dyDescent="0.2">
      <c r="A505" s="109">
        <v>494</v>
      </c>
      <c r="B505" s="108" t="e">
        <f t="shared" si="40"/>
        <v>#DIV/0!</v>
      </c>
      <c r="C505" s="108" t="e">
        <f t="shared" si="41"/>
        <v>#DIV/0!</v>
      </c>
      <c r="D505" s="108" t="e">
        <f t="shared" si="37"/>
        <v>#DIV/0!</v>
      </c>
      <c r="E505" s="108" t="e">
        <f t="shared" si="38"/>
        <v>#DIV/0!</v>
      </c>
      <c r="F505" s="108" t="e">
        <f t="shared" si="39"/>
        <v>#DIV/0!</v>
      </c>
    </row>
    <row r="506" spans="1:6" x14ac:dyDescent="0.2">
      <c r="A506" s="109">
        <v>495</v>
      </c>
      <c r="B506" s="108" t="e">
        <f t="shared" si="40"/>
        <v>#DIV/0!</v>
      </c>
      <c r="C506" s="108" t="e">
        <f t="shared" si="41"/>
        <v>#DIV/0!</v>
      </c>
      <c r="D506" s="108" t="e">
        <f t="shared" si="37"/>
        <v>#DIV/0!</v>
      </c>
      <c r="E506" s="108" t="e">
        <f t="shared" si="38"/>
        <v>#DIV/0!</v>
      </c>
      <c r="F506" s="108" t="e">
        <f t="shared" si="39"/>
        <v>#DIV/0!</v>
      </c>
    </row>
    <row r="507" spans="1:6" x14ac:dyDescent="0.2">
      <c r="A507" s="109">
        <v>496</v>
      </c>
      <c r="B507" s="108" t="e">
        <f t="shared" si="40"/>
        <v>#DIV/0!</v>
      </c>
      <c r="C507" s="108" t="e">
        <f t="shared" si="41"/>
        <v>#DIV/0!</v>
      </c>
      <c r="D507" s="108" t="e">
        <f t="shared" si="37"/>
        <v>#DIV/0!</v>
      </c>
      <c r="E507" s="108" t="e">
        <f t="shared" si="38"/>
        <v>#DIV/0!</v>
      </c>
      <c r="F507" s="108" t="e">
        <f t="shared" si="39"/>
        <v>#DIV/0!</v>
      </c>
    </row>
    <row r="508" spans="1:6" x14ac:dyDescent="0.2">
      <c r="A508" s="109">
        <v>497</v>
      </c>
      <c r="B508" s="108" t="e">
        <f t="shared" si="40"/>
        <v>#DIV/0!</v>
      </c>
      <c r="C508" s="108" t="e">
        <f t="shared" si="41"/>
        <v>#DIV/0!</v>
      </c>
      <c r="D508" s="108" t="e">
        <f t="shared" si="37"/>
        <v>#DIV/0!</v>
      </c>
      <c r="E508" s="108" t="e">
        <f t="shared" si="38"/>
        <v>#DIV/0!</v>
      </c>
      <c r="F508" s="108" t="e">
        <f t="shared" si="39"/>
        <v>#DIV/0!</v>
      </c>
    </row>
    <row r="509" spans="1:6" x14ac:dyDescent="0.2">
      <c r="A509" s="109">
        <v>498</v>
      </c>
      <c r="B509" s="108" t="e">
        <f t="shared" si="40"/>
        <v>#DIV/0!</v>
      </c>
      <c r="C509" s="108" t="e">
        <f t="shared" si="41"/>
        <v>#DIV/0!</v>
      </c>
      <c r="D509" s="108" t="e">
        <f t="shared" si="37"/>
        <v>#DIV/0!</v>
      </c>
      <c r="E509" s="108" t="e">
        <f t="shared" si="38"/>
        <v>#DIV/0!</v>
      </c>
      <c r="F509" s="108" t="e">
        <f t="shared" si="39"/>
        <v>#DIV/0!</v>
      </c>
    </row>
    <row r="510" spans="1:6" x14ac:dyDescent="0.2">
      <c r="A510" s="109">
        <v>499</v>
      </c>
      <c r="B510" s="108" t="e">
        <f t="shared" si="40"/>
        <v>#DIV/0!</v>
      </c>
      <c r="C510" s="108" t="e">
        <f t="shared" si="41"/>
        <v>#DIV/0!</v>
      </c>
      <c r="D510" s="108" t="e">
        <f t="shared" si="37"/>
        <v>#DIV/0!</v>
      </c>
      <c r="E510" s="108" t="e">
        <f t="shared" si="38"/>
        <v>#DIV/0!</v>
      </c>
      <c r="F510" s="108" t="e">
        <f t="shared" si="39"/>
        <v>#DIV/0!</v>
      </c>
    </row>
    <row r="511" spans="1:6" x14ac:dyDescent="0.2">
      <c r="A511" s="109">
        <v>500</v>
      </c>
      <c r="B511" s="108" t="e">
        <f t="shared" si="40"/>
        <v>#DIV/0!</v>
      </c>
      <c r="C511" s="108" t="e">
        <f t="shared" si="41"/>
        <v>#DIV/0!</v>
      </c>
      <c r="D511" s="108" t="e">
        <f t="shared" si="37"/>
        <v>#DIV/0!</v>
      </c>
      <c r="E511" s="108" t="e">
        <f t="shared" si="38"/>
        <v>#DIV/0!</v>
      </c>
      <c r="F511" s="108" t="e">
        <f t="shared" si="39"/>
        <v>#DIV/0!</v>
      </c>
    </row>
    <row r="512" spans="1:6" x14ac:dyDescent="0.2">
      <c r="A512" s="109">
        <v>501</v>
      </c>
      <c r="B512" s="108" t="e">
        <f t="shared" si="40"/>
        <v>#DIV/0!</v>
      </c>
      <c r="C512" s="108" t="e">
        <f t="shared" si="41"/>
        <v>#DIV/0!</v>
      </c>
      <c r="D512" s="108" t="e">
        <f t="shared" si="37"/>
        <v>#DIV/0!</v>
      </c>
      <c r="E512" s="108" t="e">
        <f t="shared" si="38"/>
        <v>#DIV/0!</v>
      </c>
      <c r="F512" s="108" t="e">
        <f t="shared" si="39"/>
        <v>#DIV/0!</v>
      </c>
    </row>
    <row r="513" spans="1:6" x14ac:dyDescent="0.2">
      <c r="A513" s="109">
        <v>502</v>
      </c>
      <c r="B513" s="108" t="e">
        <f t="shared" si="40"/>
        <v>#DIV/0!</v>
      </c>
      <c r="C513" s="108" t="e">
        <f t="shared" si="41"/>
        <v>#DIV/0!</v>
      </c>
      <c r="D513" s="108" t="e">
        <f t="shared" si="37"/>
        <v>#DIV/0!</v>
      </c>
      <c r="E513" s="108" t="e">
        <f t="shared" si="38"/>
        <v>#DIV/0!</v>
      </c>
      <c r="F513" s="108" t="e">
        <f t="shared" si="39"/>
        <v>#DIV/0!</v>
      </c>
    </row>
    <row r="514" spans="1:6" x14ac:dyDescent="0.2">
      <c r="A514" s="109">
        <v>503</v>
      </c>
      <c r="B514" s="108" t="e">
        <f t="shared" si="40"/>
        <v>#DIV/0!</v>
      </c>
      <c r="C514" s="108" t="e">
        <f t="shared" si="41"/>
        <v>#DIV/0!</v>
      </c>
      <c r="D514" s="108" t="e">
        <f t="shared" si="37"/>
        <v>#DIV/0!</v>
      </c>
      <c r="E514" s="108" t="e">
        <f t="shared" si="38"/>
        <v>#DIV/0!</v>
      </c>
      <c r="F514" s="108" t="e">
        <f t="shared" si="39"/>
        <v>#DIV/0!</v>
      </c>
    </row>
    <row r="515" spans="1:6" x14ac:dyDescent="0.2">
      <c r="A515" s="109">
        <v>504</v>
      </c>
      <c r="B515" s="108" t="e">
        <f t="shared" si="40"/>
        <v>#DIV/0!</v>
      </c>
      <c r="C515" s="108" t="e">
        <f t="shared" si="41"/>
        <v>#DIV/0!</v>
      </c>
      <c r="D515" s="108" t="e">
        <f t="shared" si="37"/>
        <v>#DIV/0!</v>
      </c>
      <c r="E515" s="108" t="e">
        <f t="shared" si="38"/>
        <v>#DIV/0!</v>
      </c>
      <c r="F515" s="108" t="e">
        <f t="shared" si="39"/>
        <v>#DIV/0!</v>
      </c>
    </row>
    <row r="516" spans="1:6" x14ac:dyDescent="0.2">
      <c r="A516" s="109">
        <v>505</v>
      </c>
      <c r="B516" s="108" t="e">
        <f t="shared" si="40"/>
        <v>#DIV/0!</v>
      </c>
      <c r="C516" s="108" t="e">
        <f t="shared" si="41"/>
        <v>#DIV/0!</v>
      </c>
      <c r="D516" s="108" t="e">
        <f t="shared" si="37"/>
        <v>#DIV/0!</v>
      </c>
      <c r="E516" s="108" t="e">
        <f t="shared" si="38"/>
        <v>#DIV/0!</v>
      </c>
      <c r="F516" s="108" t="e">
        <f t="shared" si="39"/>
        <v>#DIV/0!</v>
      </c>
    </row>
    <row r="517" spans="1:6" x14ac:dyDescent="0.2">
      <c r="A517" s="109">
        <v>506</v>
      </c>
      <c r="B517" s="108" t="e">
        <f t="shared" si="40"/>
        <v>#DIV/0!</v>
      </c>
      <c r="C517" s="108" t="e">
        <f t="shared" si="41"/>
        <v>#DIV/0!</v>
      </c>
      <c r="D517" s="108" t="e">
        <f t="shared" si="37"/>
        <v>#DIV/0!</v>
      </c>
      <c r="E517" s="108" t="e">
        <f t="shared" si="38"/>
        <v>#DIV/0!</v>
      </c>
      <c r="F517" s="108" t="e">
        <f t="shared" si="39"/>
        <v>#DIV/0!</v>
      </c>
    </row>
    <row r="518" spans="1:6" x14ac:dyDescent="0.2">
      <c r="A518" s="109">
        <v>507</v>
      </c>
      <c r="B518" s="108" t="e">
        <f t="shared" si="40"/>
        <v>#DIV/0!</v>
      </c>
      <c r="C518" s="108" t="e">
        <f t="shared" si="41"/>
        <v>#DIV/0!</v>
      </c>
      <c r="D518" s="108" t="e">
        <f t="shared" si="37"/>
        <v>#DIV/0!</v>
      </c>
      <c r="E518" s="108" t="e">
        <f t="shared" si="38"/>
        <v>#DIV/0!</v>
      </c>
      <c r="F518" s="108" t="e">
        <f t="shared" si="39"/>
        <v>#DIV/0!</v>
      </c>
    </row>
    <row r="519" spans="1:6" x14ac:dyDescent="0.2">
      <c r="A519" s="109">
        <v>508</v>
      </c>
      <c r="B519" s="108" t="e">
        <f t="shared" si="40"/>
        <v>#DIV/0!</v>
      </c>
      <c r="C519" s="108" t="e">
        <f t="shared" si="41"/>
        <v>#DIV/0!</v>
      </c>
      <c r="D519" s="108" t="e">
        <f t="shared" si="37"/>
        <v>#DIV/0!</v>
      </c>
      <c r="E519" s="108" t="e">
        <f t="shared" si="38"/>
        <v>#DIV/0!</v>
      </c>
      <c r="F519" s="108" t="e">
        <f t="shared" si="39"/>
        <v>#DIV/0!</v>
      </c>
    </row>
    <row r="520" spans="1:6" x14ac:dyDescent="0.2">
      <c r="A520" s="109">
        <v>509</v>
      </c>
      <c r="B520" s="108" t="e">
        <f t="shared" si="40"/>
        <v>#DIV/0!</v>
      </c>
      <c r="C520" s="108" t="e">
        <f t="shared" si="41"/>
        <v>#DIV/0!</v>
      </c>
      <c r="D520" s="108" t="e">
        <f t="shared" si="37"/>
        <v>#DIV/0!</v>
      </c>
      <c r="E520" s="108" t="e">
        <f t="shared" si="38"/>
        <v>#DIV/0!</v>
      </c>
      <c r="F520" s="108" t="e">
        <f t="shared" si="39"/>
        <v>#DIV/0!</v>
      </c>
    </row>
    <row r="521" spans="1:6" x14ac:dyDescent="0.2">
      <c r="A521" s="109">
        <v>510</v>
      </c>
      <c r="B521" s="108" t="e">
        <f t="shared" si="40"/>
        <v>#DIV/0!</v>
      </c>
      <c r="C521" s="108" t="e">
        <f t="shared" si="41"/>
        <v>#DIV/0!</v>
      </c>
      <c r="D521" s="108" t="e">
        <f t="shared" si="37"/>
        <v>#DIV/0!</v>
      </c>
      <c r="E521" s="108" t="e">
        <f t="shared" si="38"/>
        <v>#DIV/0!</v>
      </c>
      <c r="F521" s="108" t="e">
        <f t="shared" si="39"/>
        <v>#DIV/0!</v>
      </c>
    </row>
    <row r="522" spans="1:6" x14ac:dyDescent="0.2">
      <c r="A522" s="109">
        <v>511</v>
      </c>
      <c r="B522" s="108" t="e">
        <f t="shared" si="40"/>
        <v>#DIV/0!</v>
      </c>
      <c r="C522" s="108" t="e">
        <f t="shared" si="41"/>
        <v>#DIV/0!</v>
      </c>
      <c r="D522" s="108" t="e">
        <f t="shared" si="37"/>
        <v>#DIV/0!</v>
      </c>
      <c r="E522" s="108" t="e">
        <f t="shared" si="38"/>
        <v>#DIV/0!</v>
      </c>
      <c r="F522" s="108" t="e">
        <f t="shared" si="39"/>
        <v>#DIV/0!</v>
      </c>
    </row>
    <row r="523" spans="1:6" x14ac:dyDescent="0.2">
      <c r="A523" s="109">
        <v>512</v>
      </c>
      <c r="B523" s="108" t="e">
        <f t="shared" si="40"/>
        <v>#DIV/0!</v>
      </c>
      <c r="C523" s="108" t="e">
        <f t="shared" si="41"/>
        <v>#DIV/0!</v>
      </c>
      <c r="D523" s="108" t="e">
        <f t="shared" si="37"/>
        <v>#DIV/0!</v>
      </c>
      <c r="E523" s="108" t="e">
        <f t="shared" si="38"/>
        <v>#DIV/0!</v>
      </c>
      <c r="F523" s="108" t="e">
        <f t="shared" si="39"/>
        <v>#DIV/0!</v>
      </c>
    </row>
    <row r="524" spans="1:6" x14ac:dyDescent="0.2">
      <c r="A524" s="109">
        <v>513</v>
      </c>
      <c r="B524" s="108" t="e">
        <f t="shared" si="40"/>
        <v>#DIV/0!</v>
      </c>
      <c r="C524" s="108" t="e">
        <f t="shared" si="41"/>
        <v>#DIV/0!</v>
      </c>
      <c r="D524" s="108" t="e">
        <f t="shared" ref="D524:D551" si="42">SUM(B524+C524)</f>
        <v>#DIV/0!</v>
      </c>
      <c r="E524" s="108" t="e">
        <f t="shared" ref="E524:E551" si="43">SUM(E523-B524)</f>
        <v>#DIV/0!</v>
      </c>
      <c r="F524" s="108" t="e">
        <f t="shared" si="39"/>
        <v>#DIV/0!</v>
      </c>
    </row>
    <row r="525" spans="1:6" x14ac:dyDescent="0.2">
      <c r="A525" s="109">
        <v>514</v>
      </c>
      <c r="B525" s="108" t="e">
        <f t="shared" si="40"/>
        <v>#DIV/0!</v>
      </c>
      <c r="C525" s="108" t="e">
        <f t="shared" si="41"/>
        <v>#DIV/0!</v>
      </c>
      <c r="D525" s="108" t="e">
        <f t="shared" si="42"/>
        <v>#DIV/0!</v>
      </c>
      <c r="E525" s="108" t="e">
        <f t="shared" si="43"/>
        <v>#DIV/0!</v>
      </c>
      <c r="F525" s="108" t="e">
        <f t="shared" si="39"/>
        <v>#DIV/0!</v>
      </c>
    </row>
    <row r="526" spans="1:6" x14ac:dyDescent="0.2">
      <c r="A526" s="109">
        <v>515</v>
      </c>
      <c r="B526" s="108" t="e">
        <f t="shared" si="40"/>
        <v>#DIV/0!</v>
      </c>
      <c r="C526" s="108" t="e">
        <f t="shared" si="41"/>
        <v>#DIV/0!</v>
      </c>
      <c r="D526" s="108" t="e">
        <f t="shared" si="42"/>
        <v>#DIV/0!</v>
      </c>
      <c r="E526" s="108" t="e">
        <f t="shared" si="43"/>
        <v>#DIV/0!</v>
      </c>
      <c r="F526" s="108" t="e">
        <f t="shared" si="39"/>
        <v>#DIV/0!</v>
      </c>
    </row>
    <row r="527" spans="1:6" x14ac:dyDescent="0.2">
      <c r="A527" s="109">
        <v>516</v>
      </c>
      <c r="B527" s="108" t="e">
        <f t="shared" si="40"/>
        <v>#DIV/0!</v>
      </c>
      <c r="C527" s="108" t="e">
        <f t="shared" si="41"/>
        <v>#DIV/0!</v>
      </c>
      <c r="D527" s="108" t="e">
        <f t="shared" si="42"/>
        <v>#DIV/0!</v>
      </c>
      <c r="E527" s="108" t="e">
        <f t="shared" si="43"/>
        <v>#DIV/0!</v>
      </c>
      <c r="F527" s="108" t="e">
        <f t="shared" si="39"/>
        <v>#DIV/0!</v>
      </c>
    </row>
    <row r="528" spans="1:6" x14ac:dyDescent="0.2">
      <c r="A528" s="109">
        <v>517</v>
      </c>
      <c r="B528" s="108" t="e">
        <f t="shared" si="40"/>
        <v>#DIV/0!</v>
      </c>
      <c r="C528" s="108" t="e">
        <f t="shared" si="41"/>
        <v>#DIV/0!</v>
      </c>
      <c r="D528" s="108" t="e">
        <f t="shared" si="42"/>
        <v>#DIV/0!</v>
      </c>
      <c r="E528" s="108" t="e">
        <f t="shared" si="43"/>
        <v>#DIV/0!</v>
      </c>
      <c r="F528" s="108" t="e">
        <f t="shared" si="39"/>
        <v>#DIV/0!</v>
      </c>
    </row>
    <row r="529" spans="1:6" x14ac:dyDescent="0.2">
      <c r="A529" s="109">
        <v>518</v>
      </c>
      <c r="B529" s="108" t="e">
        <f t="shared" si="40"/>
        <v>#DIV/0!</v>
      </c>
      <c r="C529" s="108" t="e">
        <f t="shared" si="41"/>
        <v>#DIV/0!</v>
      </c>
      <c r="D529" s="108" t="e">
        <f t="shared" si="42"/>
        <v>#DIV/0!</v>
      </c>
      <c r="E529" s="108" t="e">
        <f t="shared" si="43"/>
        <v>#DIV/0!</v>
      </c>
      <c r="F529" s="108" t="e">
        <f t="shared" si="39"/>
        <v>#DIV/0!</v>
      </c>
    </row>
    <row r="530" spans="1:6" x14ac:dyDescent="0.2">
      <c r="A530" s="109">
        <v>519</v>
      </c>
      <c r="B530" s="108" t="e">
        <f t="shared" si="40"/>
        <v>#DIV/0!</v>
      </c>
      <c r="C530" s="108" t="e">
        <f t="shared" si="41"/>
        <v>#DIV/0!</v>
      </c>
      <c r="D530" s="108" t="e">
        <f t="shared" si="42"/>
        <v>#DIV/0!</v>
      </c>
      <c r="E530" s="108" t="e">
        <f t="shared" si="43"/>
        <v>#DIV/0!</v>
      </c>
      <c r="F530" s="108" t="e">
        <f t="shared" si="39"/>
        <v>#DIV/0!</v>
      </c>
    </row>
    <row r="531" spans="1:6" x14ac:dyDescent="0.2">
      <c r="A531" s="109">
        <v>520</v>
      </c>
      <c r="B531" s="108" t="e">
        <f t="shared" si="40"/>
        <v>#DIV/0!</v>
      </c>
      <c r="C531" s="108" t="e">
        <f t="shared" si="41"/>
        <v>#DIV/0!</v>
      </c>
      <c r="D531" s="108" t="e">
        <f t="shared" si="42"/>
        <v>#DIV/0!</v>
      </c>
      <c r="E531" s="108" t="e">
        <f t="shared" si="43"/>
        <v>#DIV/0!</v>
      </c>
      <c r="F531" s="108" t="e">
        <f t="shared" si="39"/>
        <v>#DIV/0!</v>
      </c>
    </row>
    <row r="532" spans="1:6" x14ac:dyDescent="0.2">
      <c r="A532" s="109">
        <v>521</v>
      </c>
      <c r="B532" s="108" t="e">
        <f t="shared" si="40"/>
        <v>#DIV/0!</v>
      </c>
      <c r="C532" s="108" t="e">
        <f t="shared" si="41"/>
        <v>#DIV/0!</v>
      </c>
      <c r="D532" s="108" t="e">
        <f t="shared" si="42"/>
        <v>#DIV/0!</v>
      </c>
      <c r="E532" s="108" t="e">
        <f t="shared" si="43"/>
        <v>#DIV/0!</v>
      </c>
      <c r="F532" s="108" t="e">
        <f t="shared" si="39"/>
        <v>#DIV/0!</v>
      </c>
    </row>
    <row r="533" spans="1:6" x14ac:dyDescent="0.2">
      <c r="A533" s="109">
        <v>522</v>
      </c>
      <c r="B533" s="108" t="e">
        <f t="shared" si="40"/>
        <v>#DIV/0!</v>
      </c>
      <c r="C533" s="108" t="e">
        <f t="shared" si="41"/>
        <v>#DIV/0!</v>
      </c>
      <c r="D533" s="108" t="e">
        <f t="shared" si="42"/>
        <v>#DIV/0!</v>
      </c>
      <c r="E533" s="108" t="e">
        <f t="shared" si="43"/>
        <v>#DIV/0!</v>
      </c>
      <c r="F533" s="108" t="e">
        <f t="shared" si="39"/>
        <v>#DIV/0!</v>
      </c>
    </row>
    <row r="534" spans="1:6" x14ac:dyDescent="0.2">
      <c r="A534" s="109">
        <v>523</v>
      </c>
      <c r="B534" s="108" t="e">
        <f t="shared" si="40"/>
        <v>#DIV/0!</v>
      </c>
      <c r="C534" s="108" t="e">
        <f t="shared" si="41"/>
        <v>#DIV/0!</v>
      </c>
      <c r="D534" s="108" t="e">
        <f t="shared" si="42"/>
        <v>#DIV/0!</v>
      </c>
      <c r="E534" s="108" t="e">
        <f t="shared" si="43"/>
        <v>#DIV/0!</v>
      </c>
      <c r="F534" s="108" t="e">
        <f t="shared" si="39"/>
        <v>#DIV/0!</v>
      </c>
    </row>
    <row r="535" spans="1:6" x14ac:dyDescent="0.2">
      <c r="A535" s="109">
        <v>524</v>
      </c>
      <c r="B535" s="108" t="e">
        <f t="shared" si="40"/>
        <v>#DIV/0!</v>
      </c>
      <c r="C535" s="108" t="e">
        <f t="shared" si="41"/>
        <v>#DIV/0!</v>
      </c>
      <c r="D535" s="108" t="e">
        <f t="shared" si="42"/>
        <v>#DIV/0!</v>
      </c>
      <c r="E535" s="108" t="e">
        <f t="shared" si="43"/>
        <v>#DIV/0!</v>
      </c>
      <c r="F535" s="108" t="e">
        <f t="shared" si="39"/>
        <v>#DIV/0!</v>
      </c>
    </row>
    <row r="536" spans="1:6" x14ac:dyDescent="0.2">
      <c r="A536" s="109">
        <v>525</v>
      </c>
      <c r="B536" s="108" t="e">
        <f t="shared" si="40"/>
        <v>#DIV/0!</v>
      </c>
      <c r="C536" s="108" t="e">
        <f t="shared" si="41"/>
        <v>#DIV/0!</v>
      </c>
      <c r="D536" s="108" t="e">
        <f t="shared" si="42"/>
        <v>#DIV/0!</v>
      </c>
      <c r="E536" s="108" t="e">
        <f t="shared" si="43"/>
        <v>#DIV/0!</v>
      </c>
      <c r="F536" s="108" t="e">
        <f t="shared" si="39"/>
        <v>#DIV/0!</v>
      </c>
    </row>
    <row r="537" spans="1:6" x14ac:dyDescent="0.2">
      <c r="A537" s="109">
        <v>526</v>
      </c>
      <c r="B537" s="108" t="e">
        <f t="shared" si="40"/>
        <v>#DIV/0!</v>
      </c>
      <c r="C537" s="108" t="e">
        <f t="shared" si="41"/>
        <v>#DIV/0!</v>
      </c>
      <c r="D537" s="108" t="e">
        <f t="shared" si="42"/>
        <v>#DIV/0!</v>
      </c>
      <c r="E537" s="108" t="e">
        <f t="shared" si="43"/>
        <v>#DIV/0!</v>
      </c>
      <c r="F537" s="108" t="e">
        <f t="shared" si="39"/>
        <v>#DIV/0!</v>
      </c>
    </row>
    <row r="538" spans="1:6" x14ac:dyDescent="0.2">
      <c r="A538" s="109">
        <v>527</v>
      </c>
      <c r="B538" s="108" t="e">
        <f t="shared" si="40"/>
        <v>#DIV/0!</v>
      </c>
      <c r="C538" s="108" t="e">
        <f t="shared" si="41"/>
        <v>#DIV/0!</v>
      </c>
      <c r="D538" s="108" t="e">
        <f t="shared" si="42"/>
        <v>#DIV/0!</v>
      </c>
      <c r="E538" s="108" t="e">
        <f t="shared" si="43"/>
        <v>#DIV/0!</v>
      </c>
      <c r="F538" s="108" t="e">
        <f t="shared" si="39"/>
        <v>#DIV/0!</v>
      </c>
    </row>
    <row r="539" spans="1:6" x14ac:dyDescent="0.2">
      <c r="A539" s="109">
        <v>528</v>
      </c>
      <c r="B539" s="108" t="e">
        <f t="shared" si="40"/>
        <v>#DIV/0!</v>
      </c>
      <c r="C539" s="108" t="e">
        <f t="shared" si="41"/>
        <v>#DIV/0!</v>
      </c>
      <c r="D539" s="108" t="e">
        <f t="shared" si="42"/>
        <v>#DIV/0!</v>
      </c>
      <c r="E539" s="108" t="e">
        <f t="shared" si="43"/>
        <v>#DIV/0!</v>
      </c>
      <c r="F539" s="108" t="e">
        <f t="shared" si="39"/>
        <v>#DIV/0!</v>
      </c>
    </row>
    <row r="540" spans="1:6" x14ac:dyDescent="0.2">
      <c r="A540" s="109">
        <v>529</v>
      </c>
      <c r="B540" s="108" t="e">
        <f t="shared" si="40"/>
        <v>#DIV/0!</v>
      </c>
      <c r="C540" s="108" t="e">
        <f t="shared" si="41"/>
        <v>#DIV/0!</v>
      </c>
      <c r="D540" s="108" t="e">
        <f t="shared" si="42"/>
        <v>#DIV/0!</v>
      </c>
      <c r="E540" s="108" t="e">
        <f t="shared" si="43"/>
        <v>#DIV/0!</v>
      </c>
      <c r="F540" s="108" t="e">
        <f t="shared" si="39"/>
        <v>#DIV/0!</v>
      </c>
    </row>
    <row r="541" spans="1:6" x14ac:dyDescent="0.2">
      <c r="A541" s="109">
        <v>530</v>
      </c>
      <c r="B541" s="108" t="e">
        <f t="shared" si="40"/>
        <v>#DIV/0!</v>
      </c>
      <c r="C541" s="108" t="e">
        <f t="shared" si="41"/>
        <v>#DIV/0!</v>
      </c>
      <c r="D541" s="108" t="e">
        <f t="shared" si="42"/>
        <v>#DIV/0!</v>
      </c>
      <c r="E541" s="108" t="e">
        <f t="shared" si="43"/>
        <v>#DIV/0!</v>
      </c>
      <c r="F541" s="108" t="e">
        <f t="shared" si="39"/>
        <v>#DIV/0!</v>
      </c>
    </row>
    <row r="542" spans="1:6" x14ac:dyDescent="0.2">
      <c r="A542" s="109">
        <v>531</v>
      </c>
      <c r="B542" s="108" t="e">
        <f t="shared" si="40"/>
        <v>#DIV/0!</v>
      </c>
      <c r="C542" s="108" t="e">
        <f t="shared" si="41"/>
        <v>#DIV/0!</v>
      </c>
      <c r="D542" s="108" t="e">
        <f t="shared" si="42"/>
        <v>#DIV/0!</v>
      </c>
      <c r="E542" s="108" t="e">
        <f t="shared" si="43"/>
        <v>#DIV/0!</v>
      </c>
      <c r="F542" s="108" t="e">
        <f t="shared" si="39"/>
        <v>#DIV/0!</v>
      </c>
    </row>
    <row r="543" spans="1:6" x14ac:dyDescent="0.2">
      <c r="A543" s="109">
        <v>532</v>
      </c>
      <c r="B543" s="108" t="e">
        <f t="shared" si="40"/>
        <v>#DIV/0!</v>
      </c>
      <c r="C543" s="108" t="e">
        <f t="shared" si="41"/>
        <v>#DIV/0!</v>
      </c>
      <c r="D543" s="108" t="e">
        <f t="shared" si="42"/>
        <v>#DIV/0!</v>
      </c>
      <c r="E543" s="108" t="e">
        <f t="shared" si="43"/>
        <v>#DIV/0!</v>
      </c>
      <c r="F543" s="108" t="e">
        <f t="shared" si="39"/>
        <v>#DIV/0!</v>
      </c>
    </row>
    <row r="544" spans="1:6" x14ac:dyDescent="0.2">
      <c r="A544" s="109">
        <v>533</v>
      </c>
      <c r="B544" s="108" t="e">
        <f t="shared" si="40"/>
        <v>#DIV/0!</v>
      </c>
      <c r="C544" s="108" t="e">
        <f t="shared" si="41"/>
        <v>#DIV/0!</v>
      </c>
      <c r="D544" s="108" t="e">
        <f t="shared" si="42"/>
        <v>#DIV/0!</v>
      </c>
      <c r="E544" s="108" t="e">
        <f t="shared" si="43"/>
        <v>#DIV/0!</v>
      </c>
      <c r="F544" s="108" t="e">
        <f t="shared" si="39"/>
        <v>#DIV/0!</v>
      </c>
    </row>
    <row r="545" spans="1:6" x14ac:dyDescent="0.2">
      <c r="A545" s="109">
        <v>534</v>
      </c>
      <c r="B545" s="108" t="e">
        <f t="shared" si="40"/>
        <v>#DIV/0!</v>
      </c>
      <c r="C545" s="108" t="e">
        <f t="shared" si="41"/>
        <v>#DIV/0!</v>
      </c>
      <c r="D545" s="108" t="e">
        <f t="shared" si="42"/>
        <v>#DIV/0!</v>
      </c>
      <c r="E545" s="108" t="e">
        <f t="shared" si="43"/>
        <v>#DIV/0!</v>
      </c>
      <c r="F545" s="108" t="e">
        <f t="shared" si="39"/>
        <v>#DIV/0!</v>
      </c>
    </row>
    <row r="546" spans="1:6" x14ac:dyDescent="0.2">
      <c r="A546" s="109">
        <v>535</v>
      </c>
      <c r="B546" s="108" t="e">
        <f t="shared" si="40"/>
        <v>#DIV/0!</v>
      </c>
      <c r="C546" s="108" t="e">
        <f t="shared" si="41"/>
        <v>#DIV/0!</v>
      </c>
      <c r="D546" s="108" t="e">
        <f t="shared" si="42"/>
        <v>#DIV/0!</v>
      </c>
      <c r="E546" s="108" t="e">
        <f t="shared" si="43"/>
        <v>#DIV/0!</v>
      </c>
      <c r="F546" s="108" t="e">
        <f t="shared" si="39"/>
        <v>#DIV/0!</v>
      </c>
    </row>
    <row r="547" spans="1:6" x14ac:dyDescent="0.2">
      <c r="A547" s="109">
        <v>536</v>
      </c>
      <c r="B547" s="108" t="e">
        <f t="shared" si="40"/>
        <v>#DIV/0!</v>
      </c>
      <c r="C547" s="108" t="e">
        <f t="shared" si="41"/>
        <v>#DIV/0!</v>
      </c>
      <c r="D547" s="108" t="e">
        <f t="shared" si="42"/>
        <v>#DIV/0!</v>
      </c>
      <c r="E547" s="108" t="e">
        <f t="shared" si="43"/>
        <v>#DIV/0!</v>
      </c>
      <c r="F547" s="108" t="e">
        <f t="shared" si="39"/>
        <v>#DIV/0!</v>
      </c>
    </row>
    <row r="548" spans="1:6" x14ac:dyDescent="0.2">
      <c r="A548" s="109">
        <v>537</v>
      </c>
      <c r="B548" s="108" t="e">
        <f t="shared" si="40"/>
        <v>#DIV/0!</v>
      </c>
      <c r="C548" s="108" t="e">
        <f t="shared" si="41"/>
        <v>#DIV/0!</v>
      </c>
      <c r="D548" s="108" t="e">
        <f t="shared" si="42"/>
        <v>#DIV/0!</v>
      </c>
      <c r="E548" s="108" t="e">
        <f t="shared" si="43"/>
        <v>#DIV/0!</v>
      </c>
      <c r="F548" s="108" t="e">
        <f t="shared" si="39"/>
        <v>#DIV/0!</v>
      </c>
    </row>
    <row r="549" spans="1:6" x14ac:dyDescent="0.2">
      <c r="A549" s="109">
        <v>538</v>
      </c>
      <c r="B549" s="108" t="e">
        <f t="shared" si="40"/>
        <v>#DIV/0!</v>
      </c>
      <c r="C549" s="108" t="e">
        <f t="shared" si="41"/>
        <v>#DIV/0!</v>
      </c>
      <c r="D549" s="108" t="e">
        <f t="shared" si="42"/>
        <v>#DIV/0!</v>
      </c>
      <c r="E549" s="108" t="e">
        <f t="shared" si="43"/>
        <v>#DIV/0!</v>
      </c>
      <c r="F549" s="108" t="e">
        <f t="shared" ref="F549:F551" si="44">E549*0.00025</f>
        <v>#DIV/0!</v>
      </c>
    </row>
    <row r="550" spans="1:6" x14ac:dyDescent="0.2">
      <c r="A550" s="109">
        <v>539</v>
      </c>
      <c r="B550" s="108" t="e">
        <f t="shared" si="40"/>
        <v>#DIV/0!</v>
      </c>
      <c r="C550" s="108" t="e">
        <f t="shared" si="41"/>
        <v>#DIV/0!</v>
      </c>
      <c r="D550" s="108" t="e">
        <f t="shared" si="42"/>
        <v>#DIV/0!</v>
      </c>
      <c r="E550" s="108" t="e">
        <f t="shared" si="43"/>
        <v>#DIV/0!</v>
      </c>
      <c r="F550" s="108" t="e">
        <f t="shared" si="44"/>
        <v>#DIV/0!</v>
      </c>
    </row>
    <row r="551" spans="1:6" x14ac:dyDescent="0.2">
      <c r="A551" s="109">
        <v>540</v>
      </c>
      <c r="B551" s="108" t="e">
        <f t="shared" si="40"/>
        <v>#DIV/0!</v>
      </c>
      <c r="C551" s="108" t="e">
        <f t="shared" si="41"/>
        <v>#DIV/0!</v>
      </c>
      <c r="D551" s="108" t="e">
        <f t="shared" si="42"/>
        <v>#DIV/0!</v>
      </c>
      <c r="E551" s="108" t="e">
        <f t="shared" si="43"/>
        <v>#DIV/0!</v>
      </c>
      <c r="F551" s="108" t="e">
        <f t="shared" si="44"/>
        <v>#DIV/0!</v>
      </c>
    </row>
  </sheetData>
  <sheetProtection algorithmName="SHA-512" hashValue="2A+dOyuLhvU51koDneBBuo6mGWh/oBtpUgwf6AughhWfaPbS6olSphL7rACPvDk297an5TGG0uBTka4lAORecQ==" saltValue="P2fEoU4VKOkNSImxqCgr2w==" spinCount="100000" sheet="1" objects="1" scenarios="1"/>
  <protectedRanges>
    <protectedRange sqref="B3:B5" name="Oblast1"/>
  </protectedRanges>
  <mergeCells count="1">
    <mergeCell ref="A7:F7"/>
  </mergeCells>
  <pageMargins left="0.7" right="0.7" top="0.78740157499999996" bottom="0.78740157499999996" header="0.3" footer="0.3"/>
  <pageSetup paperSize="9" orientation="portrait" horizontalDpi="300" verticalDpi="300" r:id="rId1"/>
  <headerFooter>
    <oddHeader>&amp;L&amp;"Calibri"&amp;8&amp;K000000 Podmiot z Grupy mBank - Służbowe do użytku wewnętrznego | mBank Group entity - Business for internal use&amp;1#_x000D_</oddHeader>
    <oddFooter>&amp;L_x000D_&amp;1#&amp;"Calibri"&amp;8&amp;K000000 Informacje podmiotu z Grupy mBank - objęte ochroną | mBank Group's entity information - protected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11</vt:i4>
      </vt:variant>
      <vt:variant>
        <vt:lpstr>Pojmenované oblasti</vt:lpstr>
      </vt:variant>
      <vt:variant>
        <vt:i4>27</vt:i4>
      </vt:variant>
    </vt:vector>
  </HeadingPairs>
  <TitlesOfParts>
    <vt:vector size="38" baseType="lpstr">
      <vt:lpstr>Úrokový lístok</vt:lpstr>
      <vt:lpstr>prijem - EUR</vt:lpstr>
      <vt:lpstr>RPSN</vt:lpstr>
      <vt:lpstr>prijem -inna mena</vt:lpstr>
      <vt:lpstr>RPSN_zahranicie</vt:lpstr>
      <vt:lpstr>prijem - EUR-viac-domacnosti</vt:lpstr>
      <vt:lpstr>RPMN - prijem - EUR-vice-domac</vt:lpstr>
      <vt:lpstr>prijem_zahranicie - viac-dom</vt:lpstr>
      <vt:lpstr>RPMN - prijem_zah- EUR-vice-dom</vt:lpstr>
      <vt:lpstr>rovne_splatky</vt:lpstr>
      <vt:lpstr>klesajuce_splatky</vt:lpstr>
      <vt:lpstr>_splatka</vt:lpstr>
      <vt:lpstr>doba_m</vt:lpstr>
      <vt:lpstr>doba_m_z</vt:lpstr>
      <vt:lpstr>hladaj</vt:lpstr>
      <vt:lpstr>hladaj_ks</vt:lpstr>
      <vt:lpstr>ks_splatka</vt:lpstr>
      <vt:lpstr>ltv_high</vt:lpstr>
      <vt:lpstr>ltv_high_z</vt:lpstr>
      <vt:lpstr>poplatok_t0</vt:lpstr>
      <vt:lpstr>pv_splatok</vt:lpstr>
      <vt:lpstr>pv_splatok_ks</vt:lpstr>
      <vt:lpstr>rpmn</vt:lpstr>
      <vt:lpstr>rpmn_ks</vt:lpstr>
      <vt:lpstr>rpmn_ks_z</vt:lpstr>
      <vt:lpstr>rpmn_z</vt:lpstr>
      <vt:lpstr>splatka</vt:lpstr>
      <vt:lpstr>splatka_ks</vt:lpstr>
      <vt:lpstr>splatka_ks_z</vt:lpstr>
      <vt:lpstr>splatka_z</vt:lpstr>
      <vt:lpstr>urokova_sadzba</vt:lpstr>
      <vt:lpstr>urokova_sadzba_z</vt:lpstr>
      <vt:lpstr>vyska_uveru</vt:lpstr>
      <vt:lpstr>vyska_uveru_LI</vt:lpstr>
      <vt:lpstr>vyska_uveru_LI_z</vt:lpstr>
      <vt:lpstr>vyska_uveru_z</vt:lpstr>
      <vt:lpstr>zabezpecenie</vt:lpstr>
      <vt:lpstr>zabezpecenie_z</vt:lpstr>
    </vt:vector>
  </TitlesOfParts>
  <Company>BRE Bank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pp7321</dc:creator>
  <cp:lastModifiedBy>Ambroz, Jakub (mBank/DRZ)</cp:lastModifiedBy>
  <cp:lastPrinted>2021-02-12T08:34:05Z</cp:lastPrinted>
  <dcterms:created xsi:type="dcterms:W3CDTF">2007-12-03T09:11:11Z</dcterms:created>
  <dcterms:modified xsi:type="dcterms:W3CDTF">2026-01-08T13:51:10Z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e8ace-e71c-4ab5-916c-1f2127a5e379_Enabled">
    <vt:lpwstr>true</vt:lpwstr>
  </property>
  <property fmtid="{D5CDD505-2E9C-101B-9397-08002B2CF9AE}" pid="3" name="MSIP_Label_ec3e8ace-e71c-4ab5-916c-1f2127a5e379_SetDate">
    <vt:lpwstr>2022-02-11T11:36:26Z</vt:lpwstr>
  </property>
  <property fmtid="{D5CDD505-2E9C-101B-9397-08002B2CF9AE}" pid="4" name="MSIP_Label_ec3e8ace-e71c-4ab5-916c-1f2127a5e379_Method">
    <vt:lpwstr>Privileged</vt:lpwstr>
  </property>
  <property fmtid="{D5CDD505-2E9C-101B-9397-08002B2CF9AE}" pid="5" name="MSIP_Label_ec3e8ace-e71c-4ab5-916c-1f2127a5e379_Name">
    <vt:lpwstr>RMSProd01</vt:lpwstr>
  </property>
  <property fmtid="{D5CDD505-2E9C-101B-9397-08002B2CF9AE}" pid="6" name="MSIP_Label_ec3e8ace-e71c-4ab5-916c-1f2127a5e379_SiteId">
    <vt:lpwstr>870a70bc-da20-400b-a46d-2df3fe44e4f3</vt:lpwstr>
  </property>
  <property fmtid="{D5CDD505-2E9C-101B-9397-08002B2CF9AE}" pid="7" name="MSIP_Label_ec3e8ace-e71c-4ab5-916c-1f2127a5e379_ActionId">
    <vt:lpwstr>9437dd3e-aba7-4d93-bdeb-60a830a4b2d4</vt:lpwstr>
  </property>
  <property fmtid="{D5CDD505-2E9C-101B-9397-08002B2CF9AE}" pid="8" name="MSIP_Label_ec3e8ace-e71c-4ab5-916c-1f2127a5e379_ContentBits">
    <vt:lpwstr>3</vt:lpwstr>
  </property>
</Properties>
</file>