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miroslavpobijak/Desktop/Sprostredkovanie/"/>
    </mc:Choice>
  </mc:AlternateContent>
  <xr:revisionPtr revIDLastSave="0" documentId="8_{42CE2D1A-AFD7-3448-BC50-2BB92B4FF79D}" xr6:coauthVersionLast="47" xr6:coauthVersionMax="47" xr10:uidLastSave="{00000000-0000-0000-0000-000000000000}"/>
  <bookViews>
    <workbookView xWindow="0" yWindow="0" windowWidth="25600" windowHeight="16000" xr2:uid="{91070425-ED16-8846-8063-1F4156DFDEF5}"/>
  </bookViews>
  <sheets>
    <sheet name="PRÍJEM" sheetId="1" r:id="rId1"/>
    <sheet name="ÚČEL" sheetId="2" r:id="rId2"/>
    <sheet name="ZABEZPEČENI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 r="K13" i="1"/>
  <c r="E13" i="1"/>
  <c r="L13" i="1"/>
  <c r="I13" i="1"/>
  <c r="H13" i="1"/>
  <c r="E12" i="1"/>
  <c r="H12" i="1"/>
  <c r="I12" i="1"/>
  <c r="K12" i="1"/>
  <c r="L12" i="1"/>
  <c r="K11" i="1"/>
  <c r="E11" i="1"/>
  <c r="E9" i="1"/>
  <c r="L8" i="1"/>
  <c r="L21" i="1"/>
  <c r="K21" i="1"/>
  <c r="J21" i="1"/>
  <c r="H21" i="1"/>
  <c r="G21" i="1"/>
  <c r="D21" i="1"/>
  <c r="D10" i="1"/>
  <c r="L10" i="1"/>
  <c r="K10" i="1"/>
  <c r="J10" i="1"/>
  <c r="I10" i="1"/>
  <c r="H10" i="1"/>
  <c r="G10" i="1"/>
  <c r="L7" i="1"/>
  <c r="K7" i="1"/>
  <c r="J7" i="1"/>
  <c r="I7" i="1"/>
  <c r="H7" i="1"/>
  <c r="G7" i="1"/>
  <c r="F7" i="1"/>
  <c r="E7" i="1"/>
  <c r="D7" i="1"/>
  <c r="J15" i="1"/>
  <c r="K17" i="1"/>
  <c r="J17" i="1"/>
  <c r="I17" i="1"/>
  <c r="H17" i="1"/>
  <c r="F17" i="1"/>
  <c r="E17" i="1"/>
  <c r="L17" i="1"/>
  <c r="L9" i="1"/>
  <c r="K9" i="1"/>
  <c r="J9" i="1"/>
  <c r="I9" i="1"/>
  <c r="G9" i="1"/>
  <c r="F9" i="1"/>
  <c r="H9" i="1"/>
  <c r="I11" i="1"/>
  <c r="K14" i="1"/>
  <c r="L11" i="1"/>
  <c r="H11" i="1"/>
  <c r="K8" i="1"/>
  <c r="J8" i="1"/>
  <c r="I8" i="1"/>
  <c r="H8" i="1"/>
  <c r="G8" i="1"/>
  <c r="F8" i="1"/>
  <c r="E8" i="1"/>
  <c r="L18" i="1"/>
  <c r="K18" i="1"/>
  <c r="J18" i="1"/>
  <c r="I18" i="1"/>
  <c r="H18" i="1"/>
  <c r="F18" i="1"/>
  <c r="D18" i="1"/>
  <c r="E18" i="1"/>
  <c r="K29" i="1" l="1"/>
  <c r="G29" i="1"/>
  <c r="F29" i="1"/>
  <c r="J29" i="1"/>
  <c r="I29" i="1"/>
  <c r="H29" i="1"/>
  <c r="L29" i="1"/>
  <c r="E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tc={EF82EC3A-7AAE-EE44-8EDE-6C673EF948BC}</author>
    <author>tc={3A2D971A-4A59-8E40-B502-55B975222C5C}</author>
    <author>tc={94B1C877-7D10-084B-8B40-5515B8B676A4}</author>
    <author>tc={53956D4D-B827-D448-862A-93CF0323A958}</author>
    <author>tc={E49144C0-5E3E-9449-8E83-EDE803B20C62}</author>
    <author>tc={2577CE39-72F8-3544-9498-8113392CCA04}</author>
    <author>tc={9359EC83-77E7-2248-973B-B5A9C8540343}</author>
    <author>tc={F9E22A3C-5F5D-9147-82A9-57FD631E1B70}</author>
    <author>tc={AF65762A-0149-5F43-A1CC-6E011FBDC02C}</author>
    <author>tc={EE6F5217-22B9-294C-889E-3DCB32C86F88}</author>
    <author>tc={70682B19-5207-3C47-B3F2-A565BC67CA8F}</author>
    <author>tc={CBF2489E-F208-B144-92C7-6EB41CCC9433}</author>
    <author>tc={5C7AEF7B-74CE-A842-8D8A-4517F7470A1A}</author>
    <author>tc={8C99523B-FC56-1646-88D0-12B45D540D12}</author>
    <author>tc={F37CC885-BEB4-B543-AC02-47CE696DC0B7}</author>
    <author>tc={233A6ECC-9B9A-B04D-93C9-BD4A91145E4E}</author>
    <author>tc={330351A6-DAB0-FF47-93C5-E89D99263E3A}</author>
    <author>tc={4B37E6F9-816A-494C-9776-31FCB87CB88D}</author>
    <author>tc={6909A6FB-B0E6-D046-9A3D-D0DEFDA00891}</author>
    <author>tc={E0115DB9-353F-3E4B-9351-DA888DA739CD}</author>
    <author>tc={CB5315CA-D7F7-A64B-8494-84BDAB629FEE}</author>
    <author>tc={B895F787-0EB7-3644-9BA8-538EB7D674FD}</author>
    <author>tc={79344C96-3D82-A24A-8B09-D672708F5B91}</author>
    <author>tc={4E694DFB-51ED-F142-BD60-6ED27A21F423}</author>
    <author>tc={18A399E0-6667-DD4E-AB37-1A091A05A50F}</author>
    <author>tc={39EC3440-B4AC-6342-B6A5-23AD5F597558}</author>
    <author>tc={1545D5B8-9A88-4149-A82F-0A29F1BAE404}</author>
    <author>tc={EF5B4A39-5FF6-984C-827F-32758AEF05EC}</author>
    <author>tc={BEE07E3F-5A0A-334F-89C4-FBC78C0CAA6E}</author>
    <author>tc={CD1AE391-9230-294C-8F17-C302E654D7D6}</author>
    <author>tc={7D337B82-B11D-8A45-88D8-CDEFF5EA7CA1}</author>
    <author>tc={79EBE1E5-DE13-9642-A95A-E3E658215CFC}</author>
    <author>tc={BDC2C206-FB3A-FF46-9809-000D344A0ADD}</author>
    <author>tc={73E6A24C-B9A6-8E43-898A-47073B22D530}</author>
    <author>tc={A6D07A24-B1BF-5642-840D-5EA319E0A882}</author>
    <author>tc={D9D1D25B-4077-AC47-BD06-74278FEBCA25}</author>
    <author>tc={92B89436-0ECB-EA4A-A96A-83435875A403}</author>
    <author>tc={F194F552-B87D-4247-A40E-98890EA1D9B7}</author>
    <author>tc={44F3CD3B-A141-3242-93C1-9A97018A2097}</author>
    <author>tc={FD55CDBD-9A53-AA48-A937-F9D4D9887FC9}</author>
    <author>tc={E09099CE-75DB-8A45-AD90-7E1501C3C0A8}</author>
    <author>tc={D9E5F4E2-B84C-0048-84C8-EB29B2C8B9CB}</author>
    <author>tc={C895EDCE-1584-964F-9A60-40AC07E0FB45}</author>
    <author>tc={1DA6E989-C645-C843-BD31-B314D1E25D4F}</author>
    <author>tc={9A712D4A-4561-7949-BEE3-30CEFC22EAAA}</author>
    <author>tc={1A9D9E98-18FF-B042-8C58-80D34846C193}</author>
    <author>tc={B5DA6171-C1D5-3645-8325-E0197CD263CD}</author>
    <author>tc={FACE306A-901E-4142-82BE-01BBF8982475}</author>
    <author>tc={72228CD0-EC08-6A42-8E9C-E80D8DEA329C}</author>
    <author>tc={5CEA631D-F201-BA48-99D0-ABD1E5F8F76D}</author>
    <author>tc={EDF9A973-0E37-7C4B-853B-FB2F0287DCF2}</author>
    <author>tc={D0E7DF20-659A-B346-8A73-A225E1F1F1CE}</author>
    <author>tc={079936B8-2C05-2D41-A165-3E79026CFF2A}</author>
    <author>tc={503869EC-23C5-0044-BA49-ECD000DF6D85}</author>
    <author>tc={81C81A80-1617-1447-87C6-08F81E6D0744}</author>
    <author>tc={3401D153-ECAA-9E42-A54F-030113ECA520}</author>
    <author>tc={1BBF38BF-9129-C845-867A-EEA40B71156D}</author>
    <author>tc={385A825A-BEB7-784B-896E-59A7284A9C7D}</author>
    <author>tc={4F624872-A98E-2A4B-B3CB-AB5645BAB728}</author>
    <author>tc={79084560-4469-4041-9B81-A6AFF7B3AAFD}</author>
    <author>tc={17801B18-4540-6C4C-A457-1CE9DD32E346}</author>
    <author>tc={21F85614-16C4-5B4B-B9BC-264F05DD1A36}</author>
    <author>tc={EB3E6E39-72F8-B24A-A970-9F581EE8246B}</author>
    <author>tc={EBD3C12C-F368-2E4C-B46B-8249A548291A}</author>
    <author>tc={DD5768A9-09E1-C545-AEA8-EA2FBC974679}</author>
    <author>tc={3599D8B0-B6B3-B249-A62D-0711D8B3B03C}</author>
    <author>tc={FEC0656C-177F-5045-B547-99D84EDBF9C8}</author>
    <author>tc={494A5FCC-9EB6-7541-91BE-D0DA681054C3}</author>
    <author>tc={4E287B19-C453-BD40-9208-7AB860F7AB73}</author>
  </authors>
  <commentList>
    <comment ref="G8" authorId="0" shapeId="0" xr:uid="{EF82EC3A-7AAE-EE44-8EDE-6C673EF948BC}">
      <text>
        <t>[Zreťazený komentár]
Vaša verzia programu Excel vám umožňuje čítať tento zreťazený komentár, avšak akékoľvek jeho zmeny sa odstránia, ak sa súbor otvorí v novšej verzii programu Excel. Ďalšie informácie: https://go.microsoft.com/fwlink/?linkid=870924
Komentár:
    Max. 70% celkových príjmov</t>
      </text>
    </comment>
    <comment ref="H8" authorId="1" shapeId="0" xr:uid="{3A2D971A-4A59-8E40-B502-55B975222C5C}">
      <text>
        <t>[Zreťazený komentár]
Vaša verzia programu Excel vám umožňuje čítať tento zreťazený komentár, avšak akékoľvek jeho zmeny sa odstránia, ak sa súbor otvorí v novšej verzii programu Excel. Ďalšie informácie: https://go.microsoft.com/fwlink/?linkid=870924
Komentár:
    Max 500</t>
      </text>
    </comment>
    <comment ref="I8" authorId="2" shapeId="0" xr:uid="{94B1C877-7D10-084B-8B40-5515B8B676A4}">
      <text>
        <t>[Zreťazený komentár]
Vaša verzia programu Excel vám umožňuje čítať tento zreťazený komentár, avšak akékoľvek jeho zmeny sa odstránia, ak sa súbor otvorí v novšej verzii programu Excel. Ďalšie informácie: https://go.microsoft.com/fwlink/?linkid=870924
Komentár:
    Max 30% celkových príjmov</t>
      </text>
    </comment>
    <comment ref="J8" authorId="3" shapeId="0" xr:uid="{53956D4D-B827-D448-862A-93CF0323A958}">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DIÉTY iba vodiči kamiónov, 50% za posledných 6M PP min 12M, doba neurčitá, diéty na účet.	</t>
      </text>
    </comment>
    <comment ref="K8" authorId="4" shapeId="0" xr:uid="{E49144C0-5E3E-9449-8E83-EDE803B20C62}">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do 100%, pokiaľ sú vyplácané bezhotovostne na účet (je potrebné potvrdenie od zamestnávateľa na tlačive banky); od 04.06.2024 platí, že ak klient má vo svojom príjme z trvalého pracovného pomeru variabilnú časť mzdy (spravidla ide o diéty), tak výška variabilnej časti príjmu klienta sa zníži o 12%.	</t>
      </text>
    </comment>
    <comment ref="L8" authorId="5" shapeId="0" xr:uid="{2577CE39-72F8-3544-9498-8113392CCA04}">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zamestnávateľ vykonáva podnikateľskú činnosť min. 12M (neakceptujú personálne agentúry ako zamestnávateľa); 2) diéty akceptujú vo výške (60%), ak sú pravidelne (mesačne) vyplácané na bankovy účet a potvrdené zamestnávateľom (do poľa Diéty v žiadosti je potrebné uviesť 100% z priemeru vyšky vyplatenych diét za min. 6 mesiacov uvedenych na predloženom Potvrdení o vyške príjmu zo závislej činnosti; 3) neakceptujú diéty zo zahraničia. Predkladané doklady: 1) Potvrdenie o vyške príjmu zo závislej činnosti (na tlačive Banky) s uvedením mesačnej vyšky diét za poslednych 6 mesiacov, nie staršie ako 30 dní (originál); 2) Vypis z osobného účtu žiadateľa za poslednych 6 mesiacov, preukazujúci vyplatenie diét.
</t>
      </text>
    </comment>
    <comment ref="D9" authorId="6" shapeId="0" xr:uid="{9359EC83-77E7-2248-973B-B5A9C8540343}">
      <text>
        <t>[Zreťazený komentár]
Vaša verzia programu Excel vám umožňuje čítať tento zreťazený komentár, avšak akékoľvek jeho zmeny sa odstránia, ak sa súbor otvorí v novšej verzii programu Excel. Ďalšie informácie: https://go.microsoft.com/fwlink/?linkid=870924
Komentár:
    Individuálne posúdenie</t>
      </text>
    </comment>
    <comment ref="E9" authorId="7" shapeId="0" xr:uid="{F9E22A3C-5F5D-9147-82A9-57FD631E1B70}">
      <text>
        <t>[Zreťazený komentár]
Vaša verzia programu Excel vám umožňuje čítať tento zreťazený komentár, avšak akékoľvek jeho zmeny sa odstránia, ak sa súbor otvorí v novšej verzii programu Excel. Ďalšie informácie: https://go.microsoft.com/fwlink/?linkid=870924
Komentár:
    1) pri obrate do 50.000 € akceptujú 50% z obratu; 2) pri obrate nad 50.000 € akceptujú 40% z obratu; 3) príjem SZČO sa vypočíta ako príslušné % z obratu/12; 4) akceptujú maximálny čistý mesačný príjem zo živnosti vo výške 20.000 €; 5) pri príjme z viacerých živností akceptujú maximálnu hranicu čistého príjmu 20.000 € jednotlivo pre každú živnosť.</t>
      </text>
    </comment>
    <comment ref="F9" authorId="8" shapeId="0" xr:uid="{AF65762A-0149-5F43-A1CC-6E011FBDC02C}">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V prípade mHypotéky nad 50% LTV akceptácia obratov až do výšky 40% z obratu z DP (v prípade mPôžičky Plus akceptácia 40% z obratu), pričom živnosť musí byť vykonávaná nepretržite 12 mesiacov. 2. Ak je LTV do 50%, klientovi banka môže akceptovať príjem vo výške 60% z obratu z výpisov z účtu v priemere za posledných 6 kalendárnych mesiacov. Pri tomto spôsobe dokladovania príjmu maximálna výška účelového úveru a celková úverová angažovanosť v banke môže byť max. 165000 Eur a 75000 Eur pri neúčelovom úvere. Pri neúčelovom úvere musí vstúpiť do úveru spoludlžník. Príjem musí byť pravidelný. V prípade, že sú v mesačných príjmoch výraznejšie rozdiely, môže byť vylúčený najvyšší a najnižší príjem a vydelí sa 4 mesiacmi.	</t>
      </text>
    </comment>
    <comment ref="H9" authorId="9" shapeId="0" xr:uid="{EE6F5217-22B9-294C-889E-3DCB32C86F88}">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Štandardne 10% z tržieb; resp.20% až 40% tržieb v prípade týchto povolaní: notár, advokát, súdny exekútor, audítor (overovateľ), daňový poradca, znalec a tlmočník, lekár, zubný lekár, veterinárny lekár, autorizovaný geodet a kartograf, autorizovaný architekt a stavebný inžinier, sprostredkovateľ obchodu s nehnuteľnosťami, opatrovateľka v Rakúsku, profesionálny športovec; resp. 60% z tržieb v prípade uplatnenia paušálnych výdavkov v daňovom priznaní. Vždy je maximálne možné akceptovať 4.000,- EUR mesačne, pričom pri súčte z viacerych zdrojoch príjmu nie je možné maximálnu hranicu 4.000,- EUR prekročiť. Individuálne posúdenie príjmov finančnych agentov, pričom v individuálnych prípadoch bude možné akceptovať max. 60% obratov z daňového priznania (viac informácií nájdete v záložke Akceptácia príjmu z provízií finančných sprostredkovateľov).	</t>
      </text>
    </comment>
    <comment ref="I9" authorId="10" shapeId="0" xr:uid="{70682B19-5207-3C47-B3F2-A565BC67CA8F}">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20% z tržieb a max. 5.500,- Eur/mes. (výška % je vždy na individuálnom posúdení schvaľovateľa); min. doba podnikania je 24 mesiacov; max. strata 3.500,- Eur; nesmie byť záporné vlastné imanie, t. j. záporný rozdiel majetku a záväzkov; max. LTV 80%, pri americkej hypotéke 70% LTV. Okrem štandardných dokladov je potrebné vždy doložiť aj výpisy z podnikateľského účtu za obdobie posledných 6 mesiacov (neplatí pre klientov s firemným účtom v Tatra banke).	</t>
      </text>
    </comment>
    <comment ref="J9" authorId="11" shapeId="0" xr:uid="{CBF2489E-F208-B144-92C7-6EB41CCC9433}">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Podnikanie musí trvať celych 12 mesiacov v predchádzajúcom kalendárnom roku; 2) Ak priemerný obrat na účte za poslednych 6 mesiacov dosahuje 1,5 násobok príjmu podľa vzorca (základ dane - daň) / 12, tak akceptujú 50% z príjmu v DP (posudzujú vždy individuálne); 3) V prípade Slobodných povolaní akceptujú 60% z hrubého príjmu v DP; 4) Maximálna vyška LTV 80%; Maximálny podiel dlhu 60%; 5) Záporny vlastny kapitál a záporny hospodársky vysledok je K.O. kritérium. DP, doklad o úhrade dane, P z DÚ, výpis z účtu za 3M, resp. 6M.	</t>
      </text>
    </comment>
    <comment ref="K9" authorId="12" shapeId="0" xr:uid="{5C7AEF7B-74CE-A842-8D8A-4517F7470A1A}">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55% ročného príjmu z DP/12 - platí v prípade ročného príjmu do 80 tis. € vrátane; 12% ročného príjmu z DP/12 - platí v prípade ročného príjmu nad 80 tis. €.	</t>
      </text>
    </comment>
    <comment ref="L9" authorId="13" shapeId="0" xr:uid="{8C99523B-FC56-1646-88D0-12B45D540D12}">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v prípade vykonávania podnik. činnosti min. 18 mesiacov nepretržite, pričom Banka akceptuje vždy vyššiu výšku príjmu na základe výpočtu: a) (Základ dane - Daň)/12 alebo b) 20% z ročných tržieb/12. Pri slobodných povolaniach Advokát, Aktuár, Architekt, Audítor, Autor, Certifikovaný účtovník, Daňový poradca, Lekárnik, Notár, Ortopedický technik, Patentový zástupca, Psychológ, Reštaurátor, Stavebný inžinier, Súdny exekútor, Súkromný lekár, Veterinárny lekár, Znalec, Tlmočník, Prekladateľ Banka akceptuje 40% z ročných tržieb/12. Živnostníci z donútenia sú akceptovaní za nasledovných podmienok: 1) žiadateľ je živnostník s pridelenym IČO, podnikateľskú činnosť vykonáva viac ako 3M ale menej ako 18M, pričom je splnená podmienka, že sa jedná o plynuly prechod žiadateľa zo zamestnaneckého pomeru na živnosť a žiadateľ ďalej spolupracuje so zamestnávateľom v zmysle zmluvy, dohody, objednávky a pod.; 2) súčasne je splnená podmienka, že byvaly zamestnávateľ vykonával pred zmenou podnikateľskú činnosť neprerušovane min. 12M; 3) príjem je vyplácany na bankovy účet. Doklady k posúdeniu príjmu živnostníka z donútenia: 1) Doklad preukazujúci ukončenie pracovného pomeru (Vypoveď alebo Dohoda o zmene pracovnej zmluvy), nie starší ako 2 roky; 2) Zmluva, dohoda, objednávka a pod. podpísaná s byvalym zamestnávateľom, na základe ktorej je aktuálne vyplácany príjem, nie staršia ako 2 roky; 3) Vypisy z účtu žiadateľa za posledné 3 mesiace zamestnania, preukazujúce vyplatenie príjmu od byvalého zamestnávateľa; 4) Vypisy z účtu žiadateľa za poslednych 6 mesiacov, preukazujúce pravidelné príjmy z podnikania, resp. Vypisy z účtu žiadateľa za posledné min. 3 mesiace, ak žiadateľ podniká menej ako 6 mesiacov. Príjmy profesionálneho športovca Banka akceptuje nasledovne: 1) činnosť športovca je vykonávaná min. 18M; 2) príjem je vyplácany na bankovy účet. Predkladané doklady: 1) Hráčska zmluva; 2) Potvrdenie o vyške dane na základe podaného daňového priznania; 3) Potvrdenie o zaplatení dane, nie staršie ako 30 dní (originál); 4) Vypisy z účtu žiadateľa preukazujúce pravidelné príjmy z podnikania za poslednych 6 mesiacov. Mesačné uzávierky z elektronickej registračnej pokladnice za posledných 6 mesiacov, resp. iné doklady za posledných 6 mesiacov preukazujúce príjem malého živnostníka.
</t>
      </text>
    </comment>
    <comment ref="D11" authorId="14" shapeId="0" xr:uid="{F37CC885-BEB4-B543-AC02-47CE696DC0B7}">
      <text>
        <t>[Zreťazený komentár]
Vaša verzia programu Excel vám umožňuje čítať tento zreťazený komentár, avšak akékoľvek jeho zmeny sa odstránia, ak sa súbor otvorí v novšej verzii programu Excel. Ďalšie informácie: https://go.microsoft.com/fwlink/?linkid=870924
Komentár:
    Individuálne posúdenie</t>
      </text>
    </comment>
    <comment ref="E11" authorId="15" shapeId="0" xr:uid="{233A6ECC-9B9A-B04D-93C9-BD4A91145E4E}">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Akceptácia v novom systéme Banky: 1) pri obrate do 50.000 € akceptujú 50% z obratu; 2) pri obrate nad 50.000 € akceptujú 30% z obratu; 3) príjem spoločníka sa vypočíta ako príslušné % z obratu / 12 x podiel spoločníka v spoločnosti; 4) akceptujú maximálny čistý mesačný príjem vo výške 20.000 €; 5) pri príjme z viacerých spoločností akceptujú maximálnu hranicu čistého príjmu 20.000 € jednotlivo z každej spoločnosti. Akceptácia v starom systéme Banky (účel kúpa nehnuteľnosti v Dev. projekte Banky a výstavba nehnuteľnosti): 15% z tržieb s.r.o. (tržby akceptované max. 1 500 000 EUR), t. j. 15% z tržieb / 12 x podiel v s.r.o.. Tržby sa berú z riadku 01 (Tržby z predaja tovaru) alebo 05 (Tržby z predaja vlastnych vyrobkov a služieb), resp. ich súčtu z Vykazu ziskov a strát Účtovnej závierky podnikateľov.</t>
      </text>
    </comment>
    <comment ref="H11" authorId="16" shapeId="0" xr:uid="{330351A6-DAB0-FF47-93C5-E89D99263E3A}">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Štandardne 10% z tržieb, resp. 20 až 40% tržieb v prípade týchto povolaní: notár, advokát, súdny exekútor, audítor (overovateľ), daňový poradca, znalec a tlmočník, lekár, zubný lekár, veterinárny lekár, autorizovaný geodet a kartograf, autorizovaný architekt a stavebný inžinier, sprostredkovateľ obchodu s nehnuteľnosťami, opatrovateľka v Rakúsku. Vždy je maximálne možné akceptovať 4.000, EUR mesačne, pričom pri súčte z viacerych zdrojoch príjmu na základe tržieb (z viacerych s.r.o.) nie je možné maximálnu hranicu 4.000,- EUR prekročiť. Individuálne posúdenie príjmov finančnych agentov, pričom v individuálnych prípadoch bude možné akceptovať max. 60% obratov z daňového priznania (viac informácií nájdete v záložke Akceptácia príjmu z provízií finančných sprostredkovateľov).	</t>
      </text>
    </comment>
    <comment ref="I11" authorId="17" shapeId="0" xr:uid="{4B37E6F9-816A-494C-9776-31FCB87CB88D}">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vždy na individuálnom posúdení: 20% z tržieb a max. 5.500,- Eur/mes. (výška % je vždy na posúdení schvaľovateľa); min. podiel v spoločnosti je 50%; min. doba existencie spoločnosti je 24 mesiacov; max. strata 3.500,- Eur; spoločnosť nesmie mať nedoplatky voči daňovému úradu a nesmie mať záporné vlastné imanie (platí pre podvojné účtovníctvo), resp. záporný rozdiel majetku a záväzkov (platí pre jednoduché účtovníctvo); max. LTV 80%, pri americkej hypotéke 70% LTV. Okrem štandardných dokladov je potrebné vždy doložiť aj výpisy z podnikateľského účtu za obdobie posledných 6 mesiacov (neplatí pre klientov s firemným účtom v Tatra banke).	</t>
      </text>
    </comment>
    <comment ref="K11" authorId="18" shapeId="0" xr:uid="{6909A6FB-B0E6-D046-9A3D-D0DEFDA00891}">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55% ročných tržieb z účtovnej závierky/12 v prípade ročných tržieb do 80 tis. € (vrátane) - klient je 100% vlastník s.r.o.; 12% ročných tržieb z účtovnej závierky/12 v prípade ročných tržieb nad 80 tis. € - klient je vlastníkom aspoň 50% spoločnosti, resp. s manželkou/manželom nemajú rozdelené BSM a sú výluční vlastníci spoločnosti. Predkladané doklady: 1) Potvrdenie o výške dane na základe podaného daňového priznania a potvrdenie o zaplatení dane PO; 2) Daňové výkazy za firmu, súvaha, výkaz ziskov a strát (nie je potrebné predkladať pokiaľ sa nachádzajú v Registri účtovných závierok,); 3) Doklad preukazujúci príjem/obrat za obdobie, ktoré nie je pokryté daňovým priznaním - t. j. od ukončenia zdaňovacieho obdobia do dátumu podania žiadosti o hypotéku. Ide o nasledovné doklady, stačí predloženie jedného z nich: (výpisy z podnikateľského účtu, faktúry, mesačné závierky z el. registračnej pokladne, zmluvy uzatvorené s treťou stranou a pod.).	</t>
      </text>
    </comment>
    <comment ref="L11" authorId="19" shapeId="0" xr:uid="{E0115DB9-353F-3E4B-9351-DA888DA739CD}">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20% z obratu spoločnosti, pričom vo výpočte je potrebné zohľadniť podiel žiadateľa v spoločnosti; Musia byť splnené tieto podmienky: pridelené IČO a podnikateľská činnosť vykonáva neprerušovane min. 18M; podané Daňové priznanie za predchádzajúci rok a zaplatená daň; zisk 0; príjem je vyplácaný na bankový účet.
</t>
      </text>
    </comment>
    <comment ref="E12" authorId="20" shapeId="0" xr:uid="{CB5315CA-D7F7-A64B-8494-84BDAB629FEE}">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Akceptácia v novom systéme Banky: 1) pri obrate do 50.000 € akceptujú 50% z obratu; 2) pri obrate nad 50.000 € akceptujú 30% z obratu; 3) príjem spoločníka sa vypočíta ako príslušné % z obratu / 12 x podiel spoločníka v spoločnosti; 4) akceptujú maximálny čistý mesačný príjem vo výške 20.000 €; 5) pri príjme z viacerých spoločností akceptujú maximálnu hranicu čistého príjmu 20.000 € jednotlivo z každej spoločnosti. Akceptácia v starom systéme Banky (účel kúpa nehnuteľnosti v Dev. projekte Banky a výstavba nehnuteľnosti): 15% z tržieb s.r.o. (tržby akceptované max. 1 500 000 EUR), t. j. 15% z tržieb / 12 x podiel v s.r.o.. Tržby sa berú z riadku 01 (Tržby z predaja tovaru) alebo 05 (Tržby z predaja vlastnych vyrobkov a služieb), resp. ich súčtu z Vykazu ziskov a strát Účtovnej závierky podnikateľov.
</t>
      </text>
    </comment>
    <comment ref="E13" authorId="21" shapeId="0" xr:uid="{B895F787-0EB7-3644-9BA8-538EB7D674FD}">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Akceptácia v novom systéme Banky: 1) pri obrate do 50.000 € akceptujú 50% z obratu; 2) pri obrate nad 50.000 € akceptujú 30% z obratu; 3) príjem spoločníka sa vypočíta ako príslušné % z obratu / 12 x podiel spoločníka v spoločnosti; 4) akceptujú maximálny čistý mesačný príjem vo výške 20.000 €; 5) pri príjme z viacerých spoločností akceptujú maximálnu hranicu čistého príjmu 20.000 € jednotlivo z každej spoločnosti. Akceptácia v starom systéme Banky (účel kúpa nehnuteľnosti v Dev. projekte Banky a výstavba nehnuteľnosti): 15% z tržieb s.r.o. (tržby akceptované max. 1 500 000 EUR), t. j. 15% z tržieb / 12 x podiel v s.r.o.. Tržby sa berú z riadku 01 (Tržby z predaja tovaru) alebo 05 (Tržby z predaja vlastnych vyrobkov a služieb), resp. ich súčtu z Vykazu ziskov a strát Účtovnej závierky podnikateľov.</t>
      </text>
    </comment>
    <comment ref="B14" authorId="22" shapeId="0" xr:uid="{79344C96-3D82-A24A-8B09-D672708F5B91}">
      <text>
        <t>[Zreťazený komentár]
Vaša verzia programu Excel vám umožňuje čítať tento zreťazený komentár, avšak akékoľvek jeho zmeny sa odstránia, ak sa súbor otvorí v novšej verzii programu Excel. Ďalšie informácie: https://go.microsoft.com/fwlink/?linkid=870924
Komentár:
    VH= vysledok hopodárenia po zdanení</t>
      </text>
    </comment>
    <comment ref="D14" authorId="23" shapeId="0" xr:uid="{4E694DFB-51ED-F142-BD60-6ED27A21F423}">
      <text>
        <t>[Zreťazený komentár]
Vaša verzia programu Excel vám umožňuje čítať tento zreťazený komentár, avšak akékoľvek jeho zmeny sa odstránia, ak sa súbor otvorí v novšej verzii programu Excel. Ďalšie informácie: https://go.microsoft.com/fwlink/?linkid=870924
Komentár:
    Individuálne posúdenie</t>
      </text>
    </comment>
    <comment ref="F14" authorId="24" shapeId="0" xr:uid="{18A399E0-6667-DD4E-AB37-1A091A05A50F}">
      <text>
        <t>[Zreťazený komentár]
Vaša verzia programu Excel vám umožňuje čítať tento zreťazený komentár, avšak akékoľvek jeho zmeny sa odstránia, ak sa súbor otvorí v novšej verzii programu Excel. Ďalšie informácie: https://go.microsoft.com/fwlink/?linkid=870924
Komentár:
    Musí byť na účet</t>
      </text>
    </comment>
    <comment ref="H14" authorId="25" shapeId="0" xr:uid="{39EC3440-B4AC-6342-B6A5-23AD5F597558}">
      <text>
        <t>[Zreťazený komentár]
Vaša verzia programu Excel vám umožňuje čítať tento zreťazený komentár, avšak akékoľvek jeho zmeny sa odstránia, ak sa súbor otvorí v novšej verzii programu Excel. Ďalšie informácie: https://go.microsoft.com/fwlink/?linkid=870924
Komentár:
    Nemusí byť na účet</t>
      </text>
    </comment>
    <comment ref="I14" authorId="26" shapeId="0" xr:uid="{1545D5B8-9A88-4149-A82F-0A29F1BAE404}">
      <text>
        <t>[Zreťazený komentár]
Vaša verzia programu Excel vám umožňuje čítať tento zreťazený komentár, avšak akékoľvek jeho zmeny sa odstránia, ak sa súbor otvorí v novšej verzii programu Excel. Ďalšie informácie: https://go.microsoft.com/fwlink/?linkid=870924
Komentár:
    Nemusí byť prerozdelený</t>
      </text>
    </comment>
    <comment ref="J14" authorId="27" shapeId="0" xr:uid="{EF5B4A39-5FF6-984C-827F-32758AEF05EC}">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v prípade vlastnej spoločnosti alebo spoločnosti vo vlastníctve blízkej osoby, pričom podiel vlastníctva musí byť nad 33%. Maximálna vyška LTV 80%. Maximálny podiel dlhu 60%. Akceptujú 100% v prípade rozdeleného a vyplateného podielu na zisku = súčet skutočne vyplateného podielu na zisku za posledné 3 roky/36 mesiacov. Požadované doklady: Rozhodnutie o vyplate podielu na zisku + vypis z bežného účtu žiadateľa o smerovaní vyplaty na účet každého vyplateného podielu za posledné 3 roky. Individuálne posúdenie v prípade, že zisk je akumulovany vo firme a nie je vyplácany žiadnym spôsobom (podmienkou akceptácie je, že spoločnosť je úverovanym klientom Banky). K.O. kritérium: záporny vlastny kapitál spoločnosti a záporny hospodársky vysledok.	</t>
      </text>
    </comment>
    <comment ref="K14" authorId="28" shapeId="0" xr:uid="{BEE07E3F-5A0A-334F-89C4-FBC78C0CAA6E}">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príjem spoločníka s. r. o. = (hospodársky výsledok po zdanení za posledné účtovné obdobie / 12) x spoluvlastnícky podiel žiadateľa v spoločnosti. Pri určení hodnoty hospodárskeho výsledku sa bude vychádzať z poľa Výsledok hospodárenia za účtovné obdobie po zdanení z Výkazu ziskov a strát spoločnosti, kde je žiadateľ spoločníkom. Zároveň klient musí byť vlastníkom aspoň 50% spoločnosti, resp. s manželkou/manželom nemajú rozdelené BSM a sú výluční vlastníci spoločnosti. Výnimka z uvedeného je v kompetencii odborného útvaru Banky - Risku. Zároveň platí, že vždy sa akceptuje vyššia z hodnôt z príjmu podľa hospodárskeho výsledku alebo z tržieb spoločnosti. Predkladané doklady: 1) Potvrdenie o výške dane na základe podaného daňového priznania a potvrdenie o zaplatení dane PO; 2) Daňové výkazy za firmu, súvaha, výkaz ziskov a strát (nie je potrebné predkladať pokiaľ sa nachádzajú v Registri účtovných závierok,); 3) Doklad preukazujúci príjem/obrat za obdobie, ktoré nie je pokryté daňovým priznaním - t. j. od ukončenia zdaňovacieho obdobia do dátumu podania žiadosti o hypotéku. Ide o nasledovné doklady, stačí predloženie jedného z nich: (výpisy z podnikateľského účtu, faktúry, mesačné závierky z el. registračnej pokladne, zmluvy uzatvorené s treťou stranou a pod.).	</t>
      </text>
    </comment>
    <comment ref="D15" authorId="29" shapeId="0" xr:uid="{CD1AE391-9230-294C-8F17-C302E654D7D6}">
      <text>
        <t>[Zreťazený komentár]
Vaša verzia programu Excel vám umožňuje čítať tento zreťazený komentár, avšak akékoľvek jeho zmeny sa odstránia, ak sa súbor otvorí v novšej verzii programu Excel. Ďalšie informácie: https://go.microsoft.com/fwlink/?linkid=870924
Komentár:
    Individuálne posúdenie</t>
      </text>
    </comment>
    <comment ref="H15" authorId="30" shapeId="0" xr:uid="{7D337B82-B11D-8A45-88D8-CDEFF5EA7CA1}">
      <text>
        <t>[Zreťazený komentár]
Vaša verzia programu Excel vám umožňuje čítať tento zreťazený komentár, avšak akékoľvek jeho zmeny sa odstránia, ak sa súbor otvorí v novšej verzii programu Excel. Ďalšie informácie: https://go.microsoft.com/fwlink/?linkid=870924
Komentár:
    Individually výška</t>
      </text>
    </comment>
    <comment ref="J15" authorId="31" shapeId="0" xr:uid="{79EBE1E5-DE13-9642-A95A-E3E658215CFC}">
      <text>
        <t>[Zreťazený komentár]
Vaša verzia programu Excel vám umožňuje čítať tento zreťazený komentár, avšak akékoľvek jeho zmeny sa odstránia, ak sa súbor otvorí v novšej verzii programu Excel. Ďalšie informácie: https://go.microsoft.com/fwlink/?linkid=870924
Komentár:
    60%</t>
      </text>
    </comment>
    <comment ref="L15" authorId="32" shapeId="0" xr:uid="{BDC2C206-FB3A-FF46-9809-000D344A0ADD}">
      <text>
        <t>[Zreťazený komentár]
Vaša verzia programu Excel vám umožňuje čítať tento zreťazený komentár, avšak akékoľvek jeho zmeny sa odstránia, ak sa súbor otvorí v novšej verzii programu Excel. Ďalšie informácie: https://go.microsoft.com/fwlink/?linkid=870924
Komentár:
    Individuálne posudenie</t>
      </text>
    </comment>
    <comment ref="E16" authorId="33" shapeId="0" xr:uid="{73E6A24C-B9A6-8E43-898A-47073B22D530}">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Vzťahuje sa na: Slovenská advokátska komora, Slovenská lekárska komora, Slovenská komora zubnych lekárov, Slovenská komora psychológov, Slovenská lekárnická komora, Komora veterinárnych lekárov, Slovenská komora daňovych poradcov, Slovenská komora audítorov, Slovenská komora architektov, Komora reštaurátorov, Notárska komora, Slovenská komora exekútorov, Komora geodetov a kartografov. Fyzická osoba - podnikateľ (SZČO, živnosť) musí nepretržite úspešne podnikať minimálne 6 mesiacov v uplynulom zdaňovacom období (t.j. podnikateľ nevykázal stratu, záporné vlastné imanie/resp. záporny rozdiel medzi majetkom a záväzkami, nemal nulovú hodnotu vydavkov) a jeho podnikateľská činnosť musí trvať nepretržite aj naďalej. Predkladané doklady: doklad preukazujúci členstvo v komore, kópia daňového priznania a finančné vykazy, doklady preukazujúce príjmy v období medzi podaním posledného daňového priznania a posúdením schopnosti splácať úver (napr. vypisy z podnikateľského účtu minimálne za posledny mesiac, potvrdenie o neexistencii záväzkov voči DÚ (predkladá sa k čerpaniu). Výpočet príjmu: a) Existujúca úverová angažovanosť v ČSOB + novy úver 301 500 EUR: priemerny mesačny príjem = 50 % príjmov (príjmy akceptované max. 1 500 000 EUR)/12 (50 % príjmov podľa 6 zákona o dani z príjmov uvedenych v daňovom priznaní FO); b) Existujúca úverová angažovanosť v ČSOB + novy úver 301 500 EUR: štandardné dokladovanie príjmu. Ak si člen komory otvorí s.r.o. príjem je potrebné započítať v zmysle pravidiel platnych pre s.r.o. t.j. 15 % z tržieb.	</t>
      </text>
    </comment>
    <comment ref="F16" authorId="34" shapeId="0" xr:uid="{A6D07A24-B1BF-5642-840D-5EA319E0A882}">
      <text>
        <t>[Zreťazený komentár]
Vaša verzia programu Excel vám umožňuje čítať tento zreťazený komentár, avšak akékoľvek jeho zmeny sa odstránia, ak sa súbor otvorí v novšej verzii programu Excel. Ďalšie informácie: https://go.microsoft.com/fwlink/?linkid=870924
Komentár:
    40%</t>
      </text>
    </comment>
    <comment ref="H16" authorId="35" shapeId="0" xr:uid="{D9D1D25B-4077-AC47-BD06-74278FEBCA25}">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Vychádzajú z daňového priznania, pričom v prípade akceptácie tržieb platí nasledovné: a) 30% tržieb (DP 2019) resp. 40% tržieb (DP 2020) v prípade týchto povolaní: notár, advokát, súdny exekútor, audítor (overovateľ), daňovy poradca, znalec a tlmočník, lekár, zubny lekár, veterinárny lekár, autorizovany geodet a kartograf, autorizovany architekt a stavebny inžinier, sprostredkovateľ finančnych služieb, maklérska činnosť, sprostredkovateľ obchodu s nehnuteľnosťami, opatrovateľka v Rakúsku, prof. športovec (SZČO); b) 40% z tržieb (DP 2019), resp. 60% z tržieb (DP 2020) v prípade uplatnenia paušálnych výdavkov v daňovom priznaní SZČO. Vždy je maximálne možné akceptovať 4.000,- EUR mesačne, pričom pri súčte z viacerych zdrojoch príjmu nie je možné maximálnu hranicu 4.000,- EUR prekročiť.	</t>
      </text>
    </comment>
    <comment ref="I16" authorId="36" shapeId="0" xr:uid="{92B89436-0ECB-EA4A-A96A-83435875A403}">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Vychádzajú z daňového priznania, pričom v prípade akceptácie tržieb platí nasledovné: a) 30% tržieb (DP 2019) resp. 40% tržieb (DP 2020) v prípade týchto povolaní: notár, advokát, súdny exekútor, audítor (overovateľ), daňovy poradca, znalec a tlmočník, lekár, zubny lekár, veterinárny lekár, autorizovany geodet a kartograf, autorizovany architekt a stavebny inžinier, sprostredkovateľ finančnych služieb, maklérska činnosť, sprostredkovateľ obchodu s nehnuteľnosťami, opatrovateľka v Rakúsku, prof. športovec (SZČO); b) 40% z tržieb (DP 2019), resp. 60% z tržieb (DP 2020) v prípade uplatnenia paušálnych výdavkov v daňovom priznaní SZČO. Vždy je maximálne možné akceptovať 4.000,- EUR mesačne, pričom pri súčte z viacerych zdrojoch príjmu nie je možné maximálnu hranicu 4.000,- EUR prekročiť.	</t>
      </text>
    </comment>
    <comment ref="J16" authorId="37" shapeId="0" xr:uid="{F194F552-B87D-4247-A40E-98890EA1D9B7}">
      <text>
        <t>[Zreťazený komentár]
Vaša verzia programu Excel vám umožňuje čítať tento zreťazený komentár, avšak akékoľvek jeho zmeny sa odstránia, ak sa súbor otvorí v novšej verzii programu Excel. Ďalšie informácie: https://go.microsoft.com/fwlink/?linkid=870924
Komentár:
    60%</t>
      </text>
    </comment>
    <comment ref="K16" authorId="38" shapeId="0" xr:uid="{44F3CD3B-A141-3242-93C1-9A97018A2097}">
      <text>
        <t>[Zreťazený komentár]
Vaša verzia programu Excel vám umožňuje čítať tento zreťazený komentár, avšak akékoľvek jeho zmeny sa odstránia, ak sa súbor otvorí v novšej verzii programu Excel. Ďalšie informácie: https://go.microsoft.com/fwlink/?linkid=870924
Komentár:
    55%</t>
      </text>
    </comment>
    <comment ref="L16" authorId="39" shapeId="0" xr:uid="{FD55CDBD-9A53-AA48-A937-F9D4D9887FC9}">
      <text>
        <t>[Zreťazený komentár]
Vaša verzia programu Excel vám umožňuje čítať tento zreťazený komentár, avšak akékoľvek jeho zmeny sa odstránia, ak sa súbor otvorí v novšej verzii programu Excel. Ďalšie informácie: https://go.microsoft.com/fwlink/?linkid=870924
Komentár:
    40%</t>
      </text>
    </comment>
    <comment ref="E17" authorId="40" shapeId="0" xr:uid="{E09099CE-75DB-8A45-AD90-7E1501C3C0A8}">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akceptácia 70% vyplatených provízii za posledných 12 mesiacov, resp. za odpracované obdobie (min. 6 mesiacov), pričom priemerná výška vyplatených provízií musí byť min. 1.500,- Eur; 2) akceptácia len v prípade FO a jednoosobových PO (individuálne posúdenie v prípade akciovej spoločnosti); 3) zmluvný vzťah s Finportal, a. s. musí ku dňu vystavenia potvrdenia trvať minimálne 12 mesiacov; 4) existujúca úverová angažovanosť v ČSOB + novy úver môže byť maximálne 301.500 EUR (ak je úverová angažovanosť v ČSOB vyššia, príjem sa dokladuje štandardnym spôsobom); 5) vyplácané provízie musia byť najneskôr po schválení úveru presmerované na účet v ČSOB. Predkladané dokumenty: 1) Potvrdenie o priemernej vyške vyplatených provízií na tlačive Banky vystavené a potvrdené centrálou Finportal, a. s.; 2) Kópia daňového priznania a finančné vykazy (v prípade konateľa s.r.o. sa predkladajú podklady za s.r.o.); 3) Potvrdenie o neexistencii záväzkov voči DÚ (predkladá sa k čerpaniu úveru).	</t>
      </text>
    </comment>
    <comment ref="F17" authorId="41" shapeId="0" xr:uid="{D9E5F4E2-B84C-0048-84C8-EB29B2C8B9CB}">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akceptujú 60% z priemeru provízií potvrdených centrálou spoločnosti Finportal, a. s.; 2) priemer vyplatených provízií sa počíta nasledovne - je očistený o najvyššiu a najnižšiu províziu za posledných 12 mesiacov a delí sa 10-timi; 3) finančný agent musí s mBank spolupracovať, t. j. musí byť evidovaný v Broker portáli mBank; 4) finančný agent nemusí mať aktívnu produkciu; 5) akceptujú SZČO aj jednoosobové SRO (dvojosobové SRO len v prípade manželov); 6) v prípade mHypotéky je maximálna úverová angažovanosť 400.000 € (na vynimku sa dá požiadať o vyššiu sumu); 7) finančný agent nesmie mať dlh na zdravotnom a/alebo sociálnom poistení a zároveň jeho spoločnosť musí mať kladný hospodársky výsledok za posledné zdaňovacie obdobie (nesmie byť v strate); 8) predkladané doklady: potvrdenie o vyške vyplatenych provízií vystavené a potvrdené centrálou spoločnosti Finportal, a. s. a Výpisy za posledných 6 mesiacov.	
</t>
      </text>
    </comment>
    <comment ref="H17" authorId="42" shapeId="0" xr:uid="{C895EDCE-1584-964F-9A60-40AC07E0FB45}">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Štandardne 40 %, v individuálnych prípadoch je možné akceptovať max. 60% obratov z daňového priznania. Príjem je akceptovateľný, ak subjekt nie je za posudzované zdaňovacie obdobie v strate, resp. strata nepresiahne Bankou stanovenú akceptovanú hranicu (max. 5 % z tržieb/hrubých príjmov). Zároveň platí podmienka kladného základného imania. Predkladané doklady: 1) Kópia daňového priznania spolu s vykazmi, 2) Doklad o zaplatení dane z príjmov. V prípade, ak bude preukázany nárast priemernej vyšky provízií o min. 40 % za obdobie 6 mesiacov, je možné posúdiť príjem na základe províznych lístkov, pričom je potrebné predložiť: 1) provízne lístky, resp. potvrdenie o výške vyplatených provízií vystavené centrálou spoločnosti Finportal, a. s.; 2) výpisy z účtu za posledných 6 mesiacov. Percento akceptácie provízií bude stanovené individuálne (vyška % závisí okrem iného aj od vyšky LTV, ratingu úveru, profilu klienta...), maximálne však do výšky 60% vyplatených provízií.	</t>
      </text>
    </comment>
    <comment ref="I17" authorId="43" shapeId="0" xr:uid="{1DA6E989-C645-C843-BD31-B314D1E25D4F}">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akceptácia 30% z tržieb (v individuálnych prípadoch až 60%), max. 5.500,- Eur/mes.; 2) podmienkou akceptácie je min. doba podnikania 24 mesiacov, min. ročné tržby vo výške 35.000,- Eur, kladné vlastné imanie (platí pre podvojné účtovníctvo), resp. kladný rozdiel majetku a záväzkov (platí pre jednoduché účtovníctvo), max. strata 3.500,- Eur, bez nedoplatkov voči daňovému úradu; 3) akceptácia v prípade FO a PO s min. 50%-tným spoluvlastníckym podielom (individuálne posúdenie v prípade akciovej spoločnosti). Okrem štandardných dokladov je potrebné vždy doložiť aj výpisy z podnikateľského účtu za obdobie posledných 6 mesiacov (neplatí pre klientov s firemným účtom v Tatra banke).	</t>
      </text>
    </comment>
    <comment ref="J17" authorId="44" shapeId="0" xr:uid="{9A712D4A-4561-7949-BEE3-30CEFC22EAAA}">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Podmienkou akceptácie provízií je registrácia PFA v Banke (PFA má v Banke pridelené provízne číslo) a zároveň finančné sprostredkovanie je jedinou činnosťou PFA. Príjmy vykázané v DP musia zodpovedať 80-100% príjmov uvedených v potvrdení o vyplatených províziach. V prípade SZČO akceptácia 60% vyplatených provízií za posledných 12 mesiacov. V prípade jednoosobovej SRO individuálne posúdenie vyplatených provízií za posledných 12 mesiacov za týchto podmienok: 1) žiadateľ je jediným vlastníkom spoločnosti a zároveň jediným konateľom spoločnosti; 2) jeho vlastné osobné daňové priznanie nevykazuje stratu; 3) spoločnosť existuje aspoň 2 zdaňovacie obdobia; 4) spoločnosť nepodniká v neakceptovanom odvetví; 5) K.O. kritériá: poskytnuté súkromné pôžičky voči fyzickym osobám a inym právnickym osobám (bankové úvery sú OK), záväzky po splatnosti, konkurz, exekúcie na osobu konateľa/vlastníka s.r.o., daňová strata spoločnosti, alebo jej jediného vlastník ako FO podnikateľa, spoločnosť má iného konateľa ako vlastníka, keďže konatelia majú vplyv na fungovanie firmy a trestnoprávna zodpovednosť je prenesená na konateľov.	</t>
      </text>
    </comment>
    <comment ref="K17" authorId="45" shapeId="0" xr:uid="{1A9D9E98-18FF-B042-8C58-80D34846C193}">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akceptácia 30% z provízii za posledných 18 mesiacov; 2) doba spolupráce so spoločnosťou Finportal, a. s. minimálne 18 mesiacov (kratšie obdobie sa posudzuje individuálne na výnimku); 3) finančný agent musí mať pridelené provízne číslo Banky; 4) akceptácia provízií len v prípade FO (jednoosobové s.r.o. sa posudzujú individuálne na výnimku); 5) Predkladané doklady: Potvrdenie o výške dane na základe podaného daňového priznania a potvrdenie o zaplatení dane (nesmie byť strata) a Potvrdenie o výške vyplatených provízií za posledných 18 mesiacov na tlačive Banky vystavené a potvrdené centrálou Finportal, a. s.	</t>
      </text>
    </comment>
    <comment ref="L17" authorId="46" shapeId="0" xr:uid="{B5DA6171-C1D5-3645-8325-E0197CD263CD}">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1) akceptácia 50% provízií v prípade, že finančný agent vykonáva činnosť nepretržite min. 18 mesiacov ; 2) príjem je vyplácany na bankový účet; 3) Doklady k posúdeniu: Potvrdenie o vyške vyplatených provízií za obdobie posledných 12 mesiacov (vrátane) vystavené a potvrdené centrálou Finportal, a. s. (akceptovaný je nielen originál na tlačive Banky, ale aj originál na tlačive Finportal, a. s.) a Výpisy z účtu za posledné 3 mesiace, preukazujúce pravidelné vyplácanie provízií z Finportal, a. s.
</t>
      </text>
    </comment>
    <comment ref="E18" authorId="47" shapeId="0" xr:uid="{FACE306A-901E-4142-82BE-01BBF8982475}">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len ako doplnkový príjem, a to vo výške 70% z priemernej výšky prenájmu za posledné 3 mesiace. V čase podania žiadosti o úver musí nájomny vzťah k rovnakej nehnuteľnosti trvať nepretržite min. od októbra predchádzajúceho zdaňovacieho obdobia, zároveň musí byť Dlžník/Spoludlžník celé toto obdobie vlastníkom nehnuteľnosti. Akceptovaná vyška príjmu z prenájmu nesmie presiahnuť súčet všetkych ostatnych príjmov započítanych do finančnej analyzy klientov. Predkladané dokumenty: 1) vypis z bežného účtu za posledné 3 mesiace, na ktory sú poukazované príjmy z prenájmu; 2) vypis z listu vlastníctva k prenajímanej nehnuteľnosti (nie starší ako 3 mesiace, môže byť stiahnuty z katasterportálu) aspoň jeden zo spolužiadateľov musí byť jej vlastníkom; 3) nájomná zmluva/zmluva o prenájme (nie je akceptovaná zmluva o budúcej zmluve o prenájme k prenajímanej nehnuteľnosti); 4) kópia daňového priznania k dani z príjmov fyzickych osôb za posledné zdaňovacie obdobie spolu s vykazmi; 5) potvrdenie o neexistencii záväzkov voči DÚ (nesmie byť staršie ako 60 dní v deň podania Žiadosti o úver). Príjem v hotovosti sa neakceptuje.	</t>
      </text>
    </comment>
    <comment ref="F18" authorId="48" shapeId="0" xr:uid="{72228CD0-EC08-6A42-8E9C-E80D8DEA329C}">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- 1. príjem z prenájmu bytových jednotiek a RD sa počíta ako max. 70% čistého nájomného; predkladá sa LV k prenajímanej nehnuteľností + aktuálna nájomná zmluva + vypis z BU za posledných 6M, nie je potrebné dokladovať DP. Pokiaľ nie je nájomné v nájomnej zmluve rozdelené na čistý nájom a čiastku za služby, akceptujú 60 % z celkového nájomného podľa nájomnej zmluvy alebo výpisu z BÚ. V prípade rozdielu akceptujú nižšiu z čiastok. Žiadateľ je zároveň aj vlastníkom prenajímanej nehnuteľnosti, akceptujú max. 5 nájmov. 2. Príjmy z prenájmu iných nehnuteľností než bytových jednotiek a RD, príjem z krátkodobých prenájmov (Airbnb), prenájmov osobám ekonomicky alebo inak prepojeným - výpočet príjmu sa vykonáva podľa daňového priznania prostredníctvom kalkulačky na výpočet príjmov z daňového priznania.	</t>
      </text>
    </comment>
    <comment ref="H18" authorId="49" shapeId="0" xr:uid="{5CEA631D-F201-BA48-99D0-ABD1E5F8F76D}">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pričom sa vychádza z daňového priznania alebo akceptujú 50% z výšky nájmu (platí v prípade, ak klientovi ešte nevznikla povinnosť podať daňové priznanie)	</t>
      </text>
    </comment>
    <comment ref="I18" authorId="50" shapeId="0" xr:uid="{EDF9A973-0E37-7C4B-853B-FB2F0287DCF2}">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len ako doplnkový príjem, pričom príjem plynie z prenájmu rezidenčnej nehnuteľnosti a je vyplácaný na účet. Podľa DP .... základ dane - daň / 12	</t>
      </text>
    </comment>
    <comment ref="J18" authorId="51" shapeId="0" xr:uid="{D0E7DF20-659A-B346-8A73-A225E1F1F1CE}">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100% z daňového základu - daň / 12. Nie je možné akceptovať príjmy z prenájmu za nehnuteľnosť, ktorá je predmetom zabezpečenia za úver pre tretiu osobu.	</t>
      </text>
    </comment>
    <comment ref="K18" authorId="52" shapeId="0" xr:uid="{079936B8-2C05-2D41-A165-3E79026CFF2A}">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príjem z prenájmu nehnuteľnosti môže byť akceptovaný dvoma spôsobmi: 1) pokiaľ klient ešte nemá príjmy z prenájmu zahrnuté v daňovom priznaní, tak akceptujú príjem vo výške 50% z obratov na účte (vo VÚB alebo inej banke) za posledných 6 mesiacov; 2) ak klient má príjmy z prenájmu zahrnuté v daňovom priznaní, tak akceptujú vyššiu z hodnôt 50% z príjmov z prenájmu v poslednom daňovom priznaní, alebo 50% z obratov na účte (vo VÚB alebo inej banke) za posledných 6 mesiacov; podľa spôsobu akceptovania príjmu klient predkladá výpisy z účtu alebo daňové priznanie (v prípade, že je prenájom zasielaný na účet vo VÚB, tak sa výpisy nepredkladajú).	</t>
      </text>
    </comment>
    <comment ref="L18" authorId="53" shapeId="0" xr:uid="{503869EC-23C5-0044-BA49-ECD000DF6D85}">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ako doplnkový príjem k hlavnému príjmu za týchto podmienok: 1) Žiadateľ je vylučnym vlastníkom prenajímanej nehnuteľnosti, resp. nehnuteľnosť je v BSM a obaja manželia vstupujú do úverovej žiadosti; 2) na prenajímanej nehnuteľnosti môže byť aj ťarcha inej banky, bez ťarchy 365.bank 3) Neakceptujú príjem z prenájmu komerčnej nehnuteľnosti, resp. príjem z prenájmu nehnuteľnosti právnickej osobe. Akceptujú príjem z prenájmu nehnuteľností určených na bývanie (rodinný dom/byt, resp. nebytový priestor určený na bývanie) a nájomca je FO. Výpočet príjmu: 1) bez ohľadu na to či podával DP alebo nie akceptujú 60% z mesačného prenájmu. 1) príjem sa akceptuje a dokladuje sa ako príjem zo živnosti, resp. príjem z vlastnej spoločnosti (PO); 2) nájomná zmluva je platná a podpísaná na min. 12M, platná min. 6M a nesmie skončiť skôr ako 3M pred odoslaním žiadosti o úver na posúdenie; 3) list vlastníctva k prenajímanej nehnuteľnosti (www.katasterportal.sk); 4) Vypisy z účtu žiadateľa za poslednych 6 mesiacov, preukazujúce pravidelny príjem z prenájmu s jasnou identifikáciou na účte, že sa jedná o prenájom. Doklady k posúdeniu žiadosti, ak klient nepodával DP: 1) Osvedčenie o registrácii a pridelení DIČ; 2) Nájomná zmluva je platná a podpísaná na min. 12M, platná min. 6M a nesmie skončiť skôr ako 3M pred odoslaním žiadosti o úver na posúdenie; 3) List vlastníctva k prenajímanej nehnuteľnosti (www.katasterportal.sk); 4) Vypisy z účtu žiadateľa za poslednych 6 mesiacov, preukazujúce pravidelny príjem z prenájmu s jasnou identifikáciou na účte, že sa jedná o prenájom.
</t>
      </text>
    </comment>
    <comment ref="E19" authorId="54" shapeId="0" xr:uid="{81C81A80-1617-1447-87C6-08F81E6D0744}">
      <text>
        <t>[Zreťazený komentár]
Vaša verzia programu Excel vám umožňuje čítať tento zreťazený komentár, avšak akékoľvek jeho zmeny sa odstránia, ak sa súbor otvorí v novšej verzii programu Excel. Ďalšie informácie: https://go.microsoft.com/fwlink/?linkid=870924
Komentár:
    pre akceptáciu vyššej sumy rodičovského príspevku t.j. 473,30 € je potrebné doložiť k štandardným dokladom o príjme aj nový výmer so zvýšenou sumou príspevku. Rodičovský príspevok poberaný z ČR sa akceptuje maximálne do výšky nižšieho rodičovského príspevku poberaného v SR t.j vo výške 345,20 € (uvedené platí len pre žiadosti o úver na bývanie). Neakceptujú súbežne s iným príjmom.</t>
      </text>
    </comment>
    <comment ref="H19" authorId="55" shapeId="0" xr:uid="{3401D153-ECAA-9E42-A54F-030113ECA520}">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vo výške 473,30 EUR (na jedno dieťa) má rodič, ktorý poberal materské, alebo 345,20 EUR (na jedno dieťa) má rodič, ktorý materské nepoberal. Rodičovský príspevok je možné akceptovať iba v prípade, že na úvere vystupuje ďalší dlžník s iným akceptovateľným príjmom. Štandardne ho neakceptujú súbežne s iným príjmom.</t>
      </text>
    </comment>
    <comment ref="J19" authorId="56" shapeId="0" xr:uid="{1BBF38BF-9129-C845-867A-EEA40B71156D}">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100%. V prípade súbehu rodičovského príspevku a príjmu zo závislej činnosti sa rodičovsky príspevok akceptuje len vo vyške 50%.</t>
      </text>
    </comment>
    <comment ref="K19" authorId="57" shapeId="0" xr:uid="{385A825A-BEB7-784B-896E-59A7284A9C7D}">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Akceptuje. Rodičovsky príspevok nie je akceptovateľny súbežne s iným príjmom z TPP alebo z podnikania. Klient s rodičovskym príspevkom môže byť na žiadosti v pozícii spolužiadateľa a v takomto prípade je zadaný tento ako hlavný príjem. V kombinácii s inými príjmami, napr. invalidný dôchodok ekonomicky neaktívne príjmy sa to posudzuje individuálne.</t>
      </text>
    </comment>
    <comment ref="F20" authorId="58" shapeId="0" xr:uid="{4F624872-A98E-2A4B-B3CB-AB5645BAB728}">
      <text>
        <t>[Zreťazený komentár]
Vaša verzia programu Excel vám umožňuje čítať tento zreťazený komentár, avšak akékoľvek jeho zmeny sa odstránia, ak sa súbor otvorí v novšej verzii programu Excel. Ďalšie informácie: https://go.microsoft.com/fwlink/?linkid=870924
Komentár:
    Ako príjem neakceptujú. Avšak overená výška výživného (dohoda manželov alebo rozhodnutie súdu) sa použije na krytie životných nákladov na vyživované osoby klienta.</t>
      </text>
    </comment>
    <comment ref="H20" authorId="59" shapeId="0" xr:uid="{79084560-4469-4041-9B81-A6AFF7B3AAFD}">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 ak je výživne vyplácané na účet; max. akceptovateľná vyška je 50% zo súdom stanovenej sumy, maximálne však 500 EUR</t>
      </text>
    </comment>
    <comment ref="K20" authorId="60" shapeId="0" xr:uid="{17801B18-4540-6C4C-A457-1CE9DD32E346}">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Od 1.4.2022 akceptujú, pričom pre výživné je potrebné doložiť rozhodnutie súdu o priznanom výživnom od partnera a výpisy z účtu za posledných 6 mesiacov, kde má klient zasielané výživné ; Od 1.3.2022 akceptujú pri VÚB Pôžičke na investíciu do domácnosti ako dodatočný príjem. Je potrebné doložiť rozhodnutie súdu o priznanom vyživnom od partnera a vypisy z účtu za posledné 3 mesiace, kde má klient zasielané výživné.	</t>
      </text>
    </comment>
    <comment ref="L20" authorId="61" shapeId="0" xr:uid="{21F85614-16C4-5B4B-B9BC-264F05DD1A36}">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ako doplnkový príjem k hlavnému príjmu; akceptujú len výživné, ktoré stanovil súd; akceptujú 60% z vyšky pravidelného mesačného vyživného vyplácaného do 18 rokov veku; akceptujú vyplácanie na bankový účet aj v hotovosti; neakceptujú dobrovoľné výživné, výživné zo zahraničia a výživné vyplácané štátom. Doklady k posúdeniu: 1) právoplatné rozhodnutie súdu o určenom vyživnom, 2) výpisy z účtu žiadateľa za posledné 3 mesiace, preukazujúce pravidelný príjem vyživného s jasnou identifikáciou na účte, resp. iny doklad preukazujúci prevzatie príspevku.
</t>
      </text>
    </comment>
    <comment ref="K25" authorId="62" shapeId="0" xr:uid="{EB3E6E39-72F8-B24A-A970-9F581EE8246B}">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pričom k žiadosti o úver je potrebné predložiť: 1) vymer z odboru sociálneho zabezpečenia sekcie personálnych a sociálnych činností a osobného úradu MV SR; 2) ak klient predloží aktuálny vymer (nie starší ako 3 mesiace), nie je potrebné dokladovať vypisy z účtu, na ktory je dôchodok zasielany; 3) pokiaľ je vymer starší ako 3 mesiace, požaduje sa od klienta aj predloženie vypisov z účtu, na ktory je dôchodok zasielany za poslednych 6 mesiacov (netyka sa prípadov, kedy je dôchodok zasielany na VÚB účet).	</t>
      </text>
    </comment>
    <comment ref="L25" authorId="63" shapeId="0" xr:uid="{EBD3C12C-F368-2E4C-B46B-8249A548291A}">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ak je vek poberateľa minimálne 35 rokov a vyška dôchodku je min. 133 €</t>
      </text>
    </comment>
    <comment ref="F27" authorId="64" shapeId="0" xr:uid="{DD5768A9-09E1-C545-AEA8-EA2FBC974679}">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Doplnkový príjem </t>
      </text>
    </comment>
    <comment ref="G27" authorId="65" shapeId="0" xr:uid="{3599D8B0-B6B3-B249-A62D-0711D8B3B03C}">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Doplnkový príjem </t>
      </text>
    </comment>
    <comment ref="J27" authorId="66" shapeId="0" xr:uid="{FEC0656C-177F-5045-B547-99D84EDBF9C8}">
      <text>
        <t>[Zreťazený komentár]
Vaša verzia programu Excel vám umožňuje čítať tento zreťazený komentár, avšak akékoľvek jeho zmeny sa odstránia, ak sa súbor otvorí v novšej verzii programu Excel. Ďalšie informácie: https://go.microsoft.com/fwlink/?linkid=870924
Komentár:
    Vdovský dôchodok akceptujú vo výške 60% z výmeru, max. do výšky 300 EUR. Vdovský dôchodok nemôže byť jediným príjmom v žiadosti.</t>
      </text>
    </comment>
    <comment ref="K27" authorId="67" shapeId="0" xr:uid="{494A5FCC-9EB6-7541-91BE-D0DA681054C3}">
      <text>
        <t xml:space="preserve">[Zreťazený komentár]
Vaša verzia programu Excel vám umožňuje čítať tento zreťazený komentár, avšak akékoľvek jeho zmeny sa odstránia, ak sa súbor otvorí v novšej verzii programu Excel. Ďalšie informácie: https://go.microsoft.com/fwlink/?linkid=870924
Komentár:
    Doplnkový príjem </t>
      </text>
    </comment>
    <comment ref="L27" authorId="68" shapeId="0" xr:uid="{4E287B19-C453-BD40-9208-7AB860F7AB73}">
      <text>
        <t>[Zreťazený komentár]
Vaša verzia programu Excel vám umožňuje čítať tento zreťazený komentár, avšak akékoľvek jeho zmeny sa odstránia, ak sa súbor otvorí v novšej verzii programu Excel. Ďalšie informácie: https://go.microsoft.com/fwlink/?linkid=870924
Komentár:
    akceptujú, ak je vek poberateľa minimálne 52 rokov a vyška dôchodku je min. 133 €</t>
      </text>
    </comment>
  </commentList>
</comments>
</file>

<file path=xl/sharedStrings.xml><?xml version="1.0" encoding="utf-8"?>
<sst xmlns="http://schemas.openxmlformats.org/spreadsheetml/2006/main" count="131" uniqueCount="68">
  <si>
    <t>Typ príjmu</t>
  </si>
  <si>
    <t>sro podiel na zisku</t>
  </si>
  <si>
    <t>najomne</t>
  </si>
  <si>
    <t xml:space="preserve">vyživné </t>
  </si>
  <si>
    <t xml:space="preserve">daňový bonus na dieťa </t>
  </si>
  <si>
    <t>zamestnanie čistý príjem</t>
  </si>
  <si>
    <t xml:space="preserve">diéty </t>
  </si>
  <si>
    <t>SZCO obrat</t>
  </si>
  <si>
    <t>SZCO zisk</t>
  </si>
  <si>
    <t>SLSP</t>
  </si>
  <si>
    <t>CSOB</t>
  </si>
  <si>
    <t>VUB</t>
  </si>
  <si>
    <t>TATRA</t>
  </si>
  <si>
    <t>materská/RD</t>
  </si>
  <si>
    <t>PRIMA</t>
  </si>
  <si>
    <t>UNICREDIT</t>
  </si>
  <si>
    <t>MBANK</t>
  </si>
  <si>
    <t>BKS</t>
  </si>
  <si>
    <t>suma mesačne</t>
  </si>
  <si>
    <t>hrubý základ dane (t. j. príjmy-výdavky) - daň / 12</t>
  </si>
  <si>
    <t>invalidný dôchodok</t>
  </si>
  <si>
    <t>výsluhový dôchodok</t>
  </si>
  <si>
    <t xml:space="preserve">rodinné prídavky </t>
  </si>
  <si>
    <t>starobný dôchodok</t>
  </si>
  <si>
    <t>vdovský dôchodok</t>
  </si>
  <si>
    <t>suma 473,3 alebo 345,2</t>
  </si>
  <si>
    <t>komory</t>
  </si>
  <si>
    <t xml:space="preserve">mandátna zmluva </t>
  </si>
  <si>
    <t>ako zadávať vstup</t>
  </si>
  <si>
    <t>podiel vo firme x VH/12</t>
  </si>
  <si>
    <t>DP</t>
  </si>
  <si>
    <t>bez DP</t>
  </si>
  <si>
    <t>zmluva na 12 mes, vznik pred 3 mes</t>
  </si>
  <si>
    <t>podľa potvrd soc poist</t>
  </si>
  <si>
    <t>podľa DP / ročné zúčt.dane</t>
  </si>
  <si>
    <t>rozhodnutie súdu/účet</t>
  </si>
  <si>
    <t>podla potvrd UPSVAR</t>
  </si>
  <si>
    <t>DP/obrat na učte</t>
  </si>
  <si>
    <t>z ročného obratu</t>
  </si>
  <si>
    <t>PFA Finportal aj sro</t>
  </si>
  <si>
    <t>kontaktná osoba:</t>
  </si>
  <si>
    <t>kontakt:</t>
  </si>
  <si>
    <t>0910818045</t>
  </si>
  <si>
    <t>0910818047</t>
  </si>
  <si>
    <t>Iveta Bokroš Siváková BA</t>
  </si>
  <si>
    <t>Romana Sláviková TN</t>
  </si>
  <si>
    <t>0901910960</t>
  </si>
  <si>
    <t>0901979423</t>
  </si>
  <si>
    <t>0910685393</t>
  </si>
  <si>
    <t>0915754533</t>
  </si>
  <si>
    <t>0905592272</t>
  </si>
  <si>
    <t>Matej Janoviak TN</t>
  </si>
  <si>
    <t>Zuzana Frňová južanka</t>
  </si>
  <si>
    <t>Emília Bridová Laugo</t>
  </si>
  <si>
    <t>Lenka Mináriková TN Legio</t>
  </si>
  <si>
    <t>Monika Krajčová TN Legio</t>
  </si>
  <si>
    <t>Jana Kamenárová TN Laugo</t>
  </si>
  <si>
    <t>Lubka Maršálková TN Laugo</t>
  </si>
  <si>
    <t>0902845 352</t>
  </si>
  <si>
    <t>0904750381</t>
  </si>
  <si>
    <t>Bankou akceptovaný príjem:</t>
  </si>
  <si>
    <t>suma:</t>
  </si>
  <si>
    <t>príjmy (r.39 DPFO)</t>
  </si>
  <si>
    <t>tržby podľa DP/podiel vo firme</t>
  </si>
  <si>
    <t>SEM ZADAJ VSTUP</t>
  </si>
  <si>
    <t>sro obrat do 50000</t>
  </si>
  <si>
    <t>sro obrat nad 50000</t>
  </si>
  <si>
    <t>sro obrat nad 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</si>
</sst>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charset val="238"/>
      <scheme val="minor"/>
    </font>
    <font>
      <sz val="8"/>
      <name val="Aptos Narrow"/>
      <family val="2"/>
      <charset val="238"/>
      <scheme val="minor"/>
    </font>
    <font>
      <sz val="20"/>
      <color theme="1"/>
      <name val="Aptos Narrow"/>
      <family val="2"/>
      <charset val="238"/>
      <scheme val="minor"/>
    </font>
    <font>
      <sz val="20"/>
      <color theme="1"/>
      <name val="Calibri"/>
      <family val="2"/>
    </font>
    <font>
      <b/>
      <sz val="24"/>
      <color theme="1"/>
      <name val="Aptos Narrow"/>
      <scheme val="minor"/>
    </font>
    <font>
      <b/>
      <sz val="20"/>
      <color rgb="FFFF0000"/>
      <name val="Aptos Narrow"/>
      <family val="2"/>
      <charset val="238"/>
      <scheme val="minor"/>
    </font>
    <font>
      <b/>
      <sz val="24"/>
      <color rgb="FFFF0000"/>
      <name val="Aptos Narrow"/>
      <scheme val="minor"/>
    </font>
    <font>
      <b/>
      <sz val="20"/>
      <color rgb="FFFF0000"/>
      <name val="Calibri"/>
      <family val="2"/>
      <charset val="238"/>
    </font>
  </fonts>
  <fills count="16">
    <fill>
      <patternFill patternType="none"/>
    </fill>
    <fill>
      <patternFill patternType="gray125"/>
    </fill>
    <fill>
      <patternFill patternType="solid">
        <fgColor rgb="FF92D050"/>
        <bgColor indexed="64"/>
      </patternFill>
    </fill>
    <fill>
      <patternFill patternType="solid">
        <fgColor theme="0" tint="-0.499984740745262"/>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3" tint="0.499984740745262"/>
        <bgColor indexed="64"/>
      </patternFill>
    </fill>
    <fill>
      <patternFill patternType="solid">
        <fgColor rgb="FFFFFF00"/>
        <bgColor indexed="64"/>
      </patternFill>
    </fill>
    <fill>
      <patternFill patternType="solid">
        <fgColor rgb="FF00B050"/>
        <bgColor indexed="64"/>
      </patternFill>
    </fill>
    <fill>
      <patternFill patternType="solid">
        <fgColor theme="3" tint="0.89999084444715716"/>
        <bgColor indexed="64"/>
      </patternFill>
    </fill>
    <fill>
      <patternFill patternType="solid">
        <fgColor theme="3" tint="0.249977111117893"/>
        <bgColor indexed="64"/>
      </patternFill>
    </fill>
    <fill>
      <patternFill patternType="solid">
        <fgColor rgb="FFFF5B41"/>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3" tint="0.74999237037263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59">
    <xf numFmtId="0" fontId="0" fillId="0" borderId="0" xfId="0"/>
    <xf numFmtId="0" fontId="2" fillId="0" borderId="0" xfId="0" applyFont="1"/>
    <xf numFmtId="49" fontId="2" fillId="6" borderId="0" xfId="0" applyNumberFormat="1" applyFont="1" applyFill="1"/>
    <xf numFmtId="49" fontId="2" fillId="7" borderId="0" xfId="0" applyNumberFormat="1" applyFont="1" applyFill="1"/>
    <xf numFmtId="49" fontId="2" fillId="8" borderId="0" xfId="0" applyNumberFormat="1" applyFont="1" applyFill="1"/>
    <xf numFmtId="49" fontId="2" fillId="9" borderId="0" xfId="0" applyNumberFormat="1" applyFont="1" applyFill="1"/>
    <xf numFmtId="49" fontId="2" fillId="10" borderId="0" xfId="0" applyNumberFormat="1" applyFont="1" applyFill="1"/>
    <xf numFmtId="49" fontId="2" fillId="11" borderId="0" xfId="0" applyNumberFormat="1" applyFont="1" applyFill="1"/>
    <xf numFmtId="49" fontId="2" fillId="12" borderId="0" xfId="0" applyNumberFormat="1" applyFont="1" applyFill="1"/>
    <xf numFmtId="49" fontId="2" fillId="13" borderId="0" xfId="0" applyNumberFormat="1" applyFont="1" applyFill="1"/>
    <xf numFmtId="49" fontId="2" fillId="14" borderId="0" xfId="0" applyNumberFormat="1" applyFont="1" applyFill="1"/>
    <xf numFmtId="0" fontId="2" fillId="0" borderId="0" xfId="0" applyFont="1" applyAlignment="1">
      <alignment horizontal="left"/>
    </xf>
    <xf numFmtId="0" fontId="2" fillId="0" borderId="1" xfId="0" applyFont="1" applyBorder="1" applyAlignment="1">
      <alignment horizontal="left"/>
    </xf>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wrapText="1"/>
    </xf>
    <xf numFmtId="0" fontId="2" fillId="0" borderId="1" xfId="0" applyFont="1" applyBorder="1"/>
    <xf numFmtId="0" fontId="2" fillId="5" borderId="1" xfId="0" applyFont="1" applyFill="1" applyBorder="1"/>
    <xf numFmtId="0" fontId="2" fillId="5" borderId="0" xfId="0" applyFont="1" applyFill="1"/>
    <xf numFmtId="0" fontId="2" fillId="2" borderId="0" xfId="0" applyFont="1" applyFill="1"/>
    <xf numFmtId="0" fontId="4" fillId="0" borderId="0" xfId="0" applyFont="1"/>
    <xf numFmtId="0" fontId="4" fillId="6" borderId="0" xfId="0" applyFont="1" applyFill="1"/>
    <xf numFmtId="0" fontId="4" fillId="7" borderId="0" xfId="0" applyFont="1" applyFill="1"/>
    <xf numFmtId="0" fontId="4" fillId="8" borderId="0" xfId="0" applyFont="1" applyFill="1"/>
    <xf numFmtId="0" fontId="4" fillId="9" borderId="0" xfId="0" applyFont="1" applyFill="1"/>
    <xf numFmtId="0" fontId="4" fillId="10" borderId="0" xfId="0" applyFont="1" applyFill="1"/>
    <xf numFmtId="0" fontId="4" fillId="11" borderId="0" xfId="0" applyFont="1" applyFill="1"/>
    <xf numFmtId="0" fontId="4" fillId="12" borderId="0" xfId="0" applyFont="1" applyFill="1"/>
    <xf numFmtId="0" fontId="4" fillId="13" borderId="0" xfId="0" applyFont="1" applyFill="1"/>
    <xf numFmtId="0" fontId="4" fillId="14" borderId="0" xfId="0" applyFont="1" applyFill="1" applyAlignment="1">
      <alignment horizontal="left"/>
    </xf>
    <xf numFmtId="0" fontId="2" fillId="0" borderId="0" xfId="0" applyFont="1" applyAlignment="1">
      <alignment wrapText="1"/>
    </xf>
    <xf numFmtId="0" fontId="4" fillId="0" borderId="0" xfId="0" applyFont="1" applyAlignment="1">
      <alignment wrapText="1"/>
    </xf>
    <xf numFmtId="0" fontId="2" fillId="0" borderId="1" xfId="0" applyFont="1" applyBorder="1" applyAlignment="1">
      <alignment wrapText="1"/>
    </xf>
    <xf numFmtId="49" fontId="2" fillId="6" borderId="1" xfId="0" applyNumberFormat="1" applyFont="1" applyFill="1" applyBorder="1"/>
    <xf numFmtId="49" fontId="2" fillId="7" borderId="1" xfId="0" applyNumberFormat="1" applyFont="1" applyFill="1" applyBorder="1"/>
    <xf numFmtId="49" fontId="2" fillId="8" borderId="1" xfId="0" applyNumberFormat="1" applyFont="1" applyFill="1" applyBorder="1"/>
    <xf numFmtId="49" fontId="2" fillId="9" borderId="1" xfId="0" applyNumberFormat="1" applyFont="1" applyFill="1" applyBorder="1"/>
    <xf numFmtId="49" fontId="2" fillId="10" borderId="1" xfId="0" applyNumberFormat="1" applyFont="1" applyFill="1" applyBorder="1"/>
    <xf numFmtId="49" fontId="2" fillId="11" borderId="1" xfId="0" applyNumberFormat="1" applyFont="1" applyFill="1" applyBorder="1"/>
    <xf numFmtId="49" fontId="2" fillId="12" borderId="1" xfId="0" applyNumberFormat="1" applyFont="1" applyFill="1" applyBorder="1"/>
    <xf numFmtId="49" fontId="2" fillId="13" borderId="1" xfId="0" applyNumberFormat="1" applyFont="1" applyFill="1" applyBorder="1"/>
    <xf numFmtId="49" fontId="2" fillId="14" borderId="1" xfId="0" applyNumberFormat="1" applyFont="1"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2" fillId="0" borderId="2" xfId="0" applyFont="1" applyBorder="1" applyAlignment="1">
      <alignment wrapText="1"/>
    </xf>
    <xf numFmtId="0" fontId="2" fillId="0" borderId="3" xfId="0" applyFont="1" applyBorder="1" applyAlignment="1">
      <alignment wrapText="1"/>
    </xf>
    <xf numFmtId="0" fontId="2" fillId="15" borderId="3" xfId="0" applyFont="1" applyFill="1" applyBorder="1"/>
    <xf numFmtId="0" fontId="5" fillId="0" borderId="1" xfId="0" applyFont="1" applyBorder="1" applyAlignment="1">
      <alignment wrapText="1"/>
    </xf>
    <xf numFmtId="0" fontId="5" fillId="0" borderId="0" xfId="0" applyFont="1" applyAlignment="1">
      <alignment wrapText="1"/>
    </xf>
    <xf numFmtId="0" fontId="6" fillId="0" borderId="0" xfId="0" applyFont="1" applyAlignment="1">
      <alignment wrapText="1"/>
    </xf>
    <xf numFmtId="0" fontId="7" fillId="0" borderId="1" xfId="0" applyFont="1" applyBorder="1" applyAlignment="1">
      <alignment wrapText="1"/>
    </xf>
  </cellXfs>
  <cellStyles count="1">
    <cellStyle name="Normálna" xfId="0" builtinId="0"/>
  </cellStyles>
  <dxfs count="0"/>
  <tableStyles count="0" defaultTableStyle="TableStyleMedium2" defaultPivotStyle="PivotStyleLight16"/>
  <colors>
    <mruColors>
      <color rgb="FFFF5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529167</xdr:colOff>
      <xdr:row>5</xdr:row>
      <xdr:rowOff>84666</xdr:rowOff>
    </xdr:from>
    <xdr:to>
      <xdr:col>2</xdr:col>
      <xdr:colOff>1185334</xdr:colOff>
      <xdr:row>5</xdr:row>
      <xdr:rowOff>592666</xdr:rowOff>
    </xdr:to>
    <xdr:sp macro="" textlink="">
      <xdr:nvSpPr>
        <xdr:cNvPr id="2" name="Šípka nadol 1">
          <a:extLst>
            <a:ext uri="{FF2B5EF4-FFF2-40B4-BE49-F238E27FC236}">
              <a16:creationId xmlns:a16="http://schemas.microsoft.com/office/drawing/2014/main" id="{C575C0F7-3821-287D-1525-BCB5ECB555A9}"/>
            </a:ext>
          </a:extLst>
        </xdr:cNvPr>
        <xdr:cNvSpPr/>
      </xdr:nvSpPr>
      <xdr:spPr>
        <a:xfrm>
          <a:off x="6688667" y="2772833"/>
          <a:ext cx="656167" cy="508000"/>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k-SK" sz="1100"/>
        </a:p>
      </xdr:txBody>
    </xdr:sp>
    <xdr:clientData/>
  </xdr:twoCellAnchor>
</xdr:wsDr>
</file>

<file path=xl/persons/person.xml><?xml version="1.0" encoding="utf-8"?>
<personList xmlns="http://schemas.microsoft.com/office/spreadsheetml/2018/threadedcomments" xmlns:x="http://schemas.openxmlformats.org/spreadsheetml/2006/main">
  <person displayName="Silvia Rakus" id="{9ECD401C-4E33-C445-BBC8-8930426A13C0}" userId="5c3a260f4b30adfe" providerId="Windows Live"/>
</personList>
</file>

<file path=xl/theme/theme1.xml><?xml version="1.0" encoding="utf-8"?>
<a:theme xmlns:a="http://schemas.openxmlformats.org/drawingml/2006/main" name="Motí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8" dT="2024-07-23T10:11:32.22" personId="{9ECD401C-4E33-C445-BBC8-8930426A13C0}" id="{EF82EC3A-7AAE-EE44-8EDE-6C673EF948BC}">
    <text>Max. 70% celkových príjmov</text>
  </threadedComment>
  <threadedComment ref="H8" dT="2024-07-23T10:10:27.87" personId="{9ECD401C-4E33-C445-BBC8-8930426A13C0}" id="{3A2D971A-4A59-8E40-B502-55B975222C5C}">
    <text>Max 500</text>
  </threadedComment>
  <threadedComment ref="I8" dT="2024-07-23T10:10:49.41" personId="{9ECD401C-4E33-C445-BBC8-8930426A13C0}" id="{94B1C877-7D10-084B-8B40-5515B8B676A4}">
    <text>Max 30% celkových príjmov</text>
  </threadedComment>
  <threadedComment ref="J8" dT="2024-07-23T10:13:26.46" personId="{9ECD401C-4E33-C445-BBC8-8930426A13C0}" id="{53956D4D-B827-D448-862A-93CF0323A958}">
    <text xml:space="preserve">DIÉTY iba vodiči kamiónov, 50% za posledných 6M PP min 12M, doba neurčitá, diéty na účet.	</text>
  </threadedComment>
  <threadedComment ref="K8" dT="2024-07-23T10:13:39.37" personId="{9ECD401C-4E33-C445-BBC8-8930426A13C0}" id="{E49144C0-5E3E-9449-8E83-EDE803B20C62}">
    <text xml:space="preserve">akceptujú do 100%, pokiaľ sú vyplácané bezhotovostne na účet (je potrebné potvrdenie od zamestnávateľa na tlačive banky); od 04.06.2024 platí, že ak klient má vo svojom príjme z trvalého pracovného pomeru variabilnú časť mzdy (spravidla ide o diéty), tak výška variabilnej časti príjmu klienta sa zníži o 12%.	</text>
  </threadedComment>
  <threadedComment ref="L8" dT="2024-07-23T10:13:53.80" personId="{9ECD401C-4E33-C445-BBC8-8930426A13C0}" id="{2577CE39-72F8-3544-9498-8113392CCA04}">
    <text xml:space="preserve">1) zamestnávateľ vykonáva podnikateľskú činnosť min. 12M (neakceptujú personálne agentúry ako zamestnávateľa); 2) diéty akceptujú vo výške (60%), ak sú pravidelne (mesačne) vyplácané na bankovy účet a potvrdené zamestnávateľom (do poľa Diéty v žiadosti je potrebné uviesť 100% z priemeru vyšky vyplatenych diét za min. 6 mesiacov uvedenych na predloženom Potvrdení o vyške príjmu zo závislej činnosti; 3) neakceptujú diéty zo zahraničia. Predkladané doklady: 1) Potvrdenie o vyške príjmu zo závislej činnosti (na tlačive Banky) s uvedením mesačnej vyšky diét za poslednych 6 mesiacov, nie staršie ako 30 dní (originál); 2) Vypis z osobného účtu žiadateľa za poslednych 6 mesiacov, preukazujúci vyplatenie diét.
</text>
  </threadedComment>
  <threadedComment ref="D9" dT="2024-07-23T10:16:35.39" personId="{9ECD401C-4E33-C445-BBC8-8930426A13C0}" id="{9359EC83-77E7-2248-973B-B5A9C8540343}">
    <text>Individuálne posúdenie</text>
  </threadedComment>
  <threadedComment ref="E9" dT="2024-07-23T10:04:21.47" personId="{9ECD401C-4E33-C445-BBC8-8930426A13C0}" id="{F9E22A3C-5F5D-9147-82A9-57FD631E1B70}">
    <text>1) pri obrate do 50.000 € akceptujú 50% z obratu; 2) pri obrate nad 50.000 € akceptujú 40% z obratu; 3) príjem SZČO sa vypočíta ako príslušné % z obratu/12; 4) akceptujú maximálny čistý mesačný príjem zo živnosti vo výške 20.000 €; 5) pri príjme z viacerých živností akceptujú maximálnu hranicu čistého príjmu 20.000 € jednotlivo pre každú živnosť.</text>
  </threadedComment>
  <threadedComment ref="F9" dT="2024-07-23T10:05:44.04" personId="{9ECD401C-4E33-C445-BBC8-8930426A13C0}" id="{AF65762A-0149-5F43-A1CC-6E011FBDC02C}">
    <text xml:space="preserve">1. V prípade mHypotéky nad 50% LTV akceptácia obratov až do výšky 40% z obratu z DP (v prípade mPôžičky Plus akceptácia 40% z obratu), pričom živnosť musí byť vykonávaná nepretržite 12 mesiacov. 2. Ak je LTV do 50%, klientovi banka môže akceptovať príjem vo výške 60% z obratu z výpisov z účtu v priemere za posledných 6 kalendárnych mesiacov. Pri tomto spôsobe dokladovania príjmu maximálna výška účelového úveru a celková úverová angažovanosť v banke môže byť max. 165000 Eur a 75000 Eur pri neúčelovom úvere. Pri neúčelovom úvere musí vstúpiť do úveru spoludlžník. Príjem musí byť pravidelný. V prípade, že sú v mesačných príjmoch výraznejšie rozdiely, môže byť vylúčený najvyšší a najnižší príjem a vydelí sa 4 mesiacmi.	</text>
  </threadedComment>
  <threadedComment ref="H9" dT="2024-07-23T10:06:02.49" personId="{9ECD401C-4E33-C445-BBC8-8930426A13C0}" id="{EE6F5217-22B9-294C-889E-3DCB32C86F88}">
    <text xml:space="preserve">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Štandardne 10% z tržieb; resp.20% až 40% tržieb v prípade týchto povolaní: notár, advokát, súdny exekútor, audítor (overovateľ), daňový poradca, znalec a tlmočník, lekár, zubný lekár, veterinárny lekár, autorizovaný geodet a kartograf, autorizovaný architekt a stavebný inžinier, sprostredkovateľ obchodu s nehnuteľnosťami, opatrovateľka v Rakúsku, profesionálny športovec; resp. 60% z tržieb v prípade uplatnenia paušálnych výdavkov v daňovom priznaní. Vždy je maximálne možné akceptovať 4.000,- EUR mesačne, pričom pri súčte z viacerych zdrojoch príjmu nie je možné maximálnu hranicu 4.000,- EUR prekročiť. Individuálne posúdenie príjmov finančnych agentov, pričom v individuálnych prípadoch bude možné akceptovať max. 60% obratov z daňového priznania (viac informácií nájdete v záložke Akceptácia príjmu z provízií finančných sprostredkovateľov).	</text>
  </threadedComment>
  <threadedComment ref="I9" dT="2024-07-23T10:06:19.29" personId="{9ECD401C-4E33-C445-BBC8-8930426A13C0}" id="{70682B19-5207-3C47-B3F2-A565BC67CA8F}">
    <text xml:space="preserve">20% z tržieb a max. 5.500,- Eur/mes. (výška % je vždy na individuálnom posúdení schvaľovateľa); min. doba podnikania je 24 mesiacov; max. strata 3.500,- Eur; nesmie byť záporné vlastné imanie, t. j. záporný rozdiel majetku a záväzkov; max. LTV 80%, pri americkej hypotéke 70% LTV. Okrem štandardných dokladov je potrebné vždy doložiť aj výpisy z podnikateľského účtu za obdobie posledných 6 mesiacov (neplatí pre klientov s firemným účtom v Tatra banke).	</text>
  </threadedComment>
  <threadedComment ref="J9" dT="2024-07-23T10:06:35.95" personId="{9ECD401C-4E33-C445-BBC8-8930426A13C0}" id="{CBF2489E-F208-B144-92C7-6EB41CCC9433}">
    <text xml:space="preserve">1) Podnikanie musí trvať celych 12 mesiacov v predchádzajúcom kalendárnom roku; 2) Ak priemerný obrat na účte za poslednych 6 mesiacov dosahuje 1,5 násobok príjmu podľa vzorca (základ dane - daň) / 12, tak akceptujú 50% z príjmu v DP (posudzujú vždy individuálne); 3) V prípade Slobodných povolaní akceptujú 60% z hrubého príjmu v DP; 4) Maximálna vyška LTV 80%; Maximálny podiel dlhu 60%; 5) Záporny vlastny kapitál a záporny hospodársky vysledok je K.O. kritérium. DP, doklad o úhrade dane, P z DÚ, výpis z účtu za 3M, resp. 6M.	</text>
  </threadedComment>
  <threadedComment ref="K9" dT="2024-07-23T10:06:53.85" personId="{9ECD401C-4E33-C445-BBC8-8930426A13C0}" id="{5C7AEF7B-74CE-A842-8D8A-4517F7470A1A}">
    <text xml:space="preserve">55% ročného príjmu z DP/12 - platí v prípade ročného príjmu do 80 tis. € vrátane; 12% ročného príjmu z DP/12 - platí v prípade ročného príjmu nad 80 tis. €.	</text>
  </threadedComment>
  <threadedComment ref="L9" dT="2024-07-23T10:07:37.34" personId="{9ECD401C-4E33-C445-BBC8-8930426A13C0}" id="{8C99523B-FC56-1646-88D0-12B45D540D12}">
    <text xml:space="preserve">Akceptujú v prípade vykonávania podnik. činnosti min. 18 mesiacov nepretržite, pričom Banka akceptuje vždy vyššiu výšku príjmu na základe výpočtu: a) (Základ dane - Daň)/12 alebo b) 20% z ročných tržieb/12. Pri slobodných povolaniach Advokát, Aktuár, Architekt, Audítor, Autor, Certifikovaný účtovník, Daňový poradca, Lekárnik, Notár, Ortopedický technik, Patentový zástupca, Psychológ, Reštaurátor, Stavebný inžinier, Súdny exekútor, Súkromný lekár, Veterinárny lekár, Znalec, Tlmočník, Prekladateľ Banka akceptuje 40% z ročných tržieb/12. Živnostníci z donútenia sú akceptovaní za nasledovných podmienok: 1) žiadateľ je živnostník s pridelenym IČO, podnikateľskú činnosť vykonáva viac ako 3M ale menej ako 18M, pričom je splnená podmienka, že sa jedná o plynuly prechod žiadateľa zo zamestnaneckého pomeru na živnosť a žiadateľ ďalej spolupracuje so zamestnávateľom v zmysle zmluvy, dohody, objednávky a pod.; 2) súčasne je splnená podmienka, že byvaly zamestnávateľ vykonával pred zmenou podnikateľskú činnosť neprerušovane min. 12M; 3) príjem je vyplácany na bankovy účet. Doklady k posúdeniu príjmu živnostníka z donútenia: 1) Doklad preukazujúci ukončenie pracovného pomeru (Vypoveď alebo Dohoda o zmene pracovnej zmluvy), nie starší ako 2 roky; 2) Zmluva, dohoda, objednávka a pod. podpísaná s byvalym zamestnávateľom, na základe ktorej je aktuálne vyplácany príjem, nie staršia ako 2 roky; 3) Vypisy z účtu žiadateľa za posledné 3 mesiace zamestnania, preukazujúce vyplatenie príjmu od byvalého zamestnávateľa; 4) Vypisy z účtu žiadateľa za poslednych 6 mesiacov, preukazujúce pravidelné príjmy z podnikania, resp. Vypisy z účtu žiadateľa za posledné min. 3 mesiace, ak žiadateľ podniká menej ako 6 mesiacov. Príjmy profesionálneho športovca Banka akceptuje nasledovne: 1) činnosť športovca je vykonávaná min. 18M; 2) príjem je vyplácany na bankovy účet. Predkladané doklady: 1) Hráčska zmluva; 2) Potvrdenie o vyške dane na základe podaného daňového priznania; 3) Potvrdenie o zaplatení dane, nie staršie ako 30 dní (originál); 4) Vypisy z účtu žiadateľa preukazujúce pravidelné príjmy z podnikania za poslednych 6 mesiacov. Mesačné uzávierky z elektronickej registračnej pokladnice za posledných 6 mesiacov, resp. iné doklady za posledných 6 mesiacov preukazujúce príjem malého živnostníka.
</text>
  </threadedComment>
  <threadedComment ref="D11" dT="2024-07-23T10:16:47.96" personId="{9ECD401C-4E33-C445-BBC8-8930426A13C0}" id="{F37CC885-BEB4-B543-AC02-47CE696DC0B7}">
    <text>Individuálne posúdenie</text>
  </threadedComment>
  <threadedComment ref="E11" dT="2024-07-23T07:49:55.18" personId="{9ECD401C-4E33-C445-BBC8-8930426A13C0}" id="{233A6ECC-9B9A-B04D-93C9-BD4A91145E4E}">
    <text>Akceptácia v novom systéme Banky: 1) pri obrate do 50.000 € akceptujú 50% z obratu; 2) pri obrate nad 50.000 € akceptujú 30% z obratu; 3) príjem spoločníka sa vypočíta ako príslušné % z obratu / 12 x podiel spoločníka v spoločnosti; 4) akceptujú maximálny čistý mesačný príjem vo výške 20.000 €; 5) pri príjme z viacerých spoločností akceptujú maximálnu hranicu čistého príjmu 20.000 € jednotlivo z každej spoločnosti. Akceptácia v starom systéme Banky (účel kúpa nehnuteľnosti v Dev. projekte Banky a výstavba nehnuteľnosti): 15% z tržieb s.r.o. (tržby akceptované max. 1 500 000 EUR), t. j. 15% z tržieb / 12 x podiel v s.r.o.. Tržby sa berú z riadku 01 (Tržby z predaja tovaru) alebo 05 (Tržby z predaja vlastnych vyrobkov a služieb), resp. ich súčtu z Vykazu ziskov a strát Účtovnej závierky podnikateľov.</text>
  </threadedComment>
  <threadedComment ref="H11" dT="2024-07-23T08:00:50.83" personId="{9ECD401C-4E33-C445-BBC8-8930426A13C0}" id="{330351A6-DAB0-FF47-93C5-E89D99263E3A}">
    <text xml:space="preserve">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Štandardne 10% z tržieb, resp. 20 až 40% tržieb v prípade týchto povolaní: notár, advokát, súdny exekútor, audítor (overovateľ), daňový poradca, znalec a tlmočník, lekár, zubný lekár, veterinárny lekár, autorizovaný geodet a kartograf, autorizovaný architekt a stavebný inžinier, sprostredkovateľ obchodu s nehnuteľnosťami, opatrovateľka v Rakúsku. Vždy je maximálne možné akceptovať 4.000, EUR mesačne, pričom pri súčte z viacerych zdrojoch príjmu na základe tržieb (z viacerych s.r.o.) nie je možné maximálnu hranicu 4.000,- EUR prekročiť. Individuálne posúdenie príjmov finančnych agentov, pričom v individuálnych prípadoch bude možné akceptovať max. 60% obratov z daňového priznania (viac informácií nájdete v záložke Akceptácia príjmu z provízií finančných sprostredkovateľov).	</text>
  </threadedComment>
  <threadedComment ref="I11" dT="2024-07-23T08:01:06.76" personId="{9ECD401C-4E33-C445-BBC8-8930426A13C0}" id="{4B37E6F9-816A-494C-9776-31FCB87CB88D}">
    <text xml:space="preserve">vždy na individuálnom posúdení: 20% z tržieb a max. 5.500,- Eur/mes. (výška % je vždy na posúdení schvaľovateľa); min. podiel v spoločnosti je 50%; min. doba existencie spoločnosti je 24 mesiacov; max. strata 3.500,- Eur; spoločnosť nesmie mať nedoplatky voči daňovému úradu a nesmie mať záporné vlastné imanie (platí pre podvojné účtovníctvo), resp. záporný rozdiel majetku a záväzkov (platí pre jednoduché účtovníctvo); max. LTV 80%, pri americkej hypotéke 70% LTV. Okrem štandardných dokladov je potrebné vždy doložiť aj výpisy z podnikateľského účtu za obdobie posledných 6 mesiacov (neplatí pre klientov s firemným účtom v Tatra banke).	</text>
  </threadedComment>
  <threadedComment ref="K11" dT="2024-07-23T08:03:09.36" personId="{9ECD401C-4E33-C445-BBC8-8930426A13C0}" id="{6909A6FB-B0E6-D046-9A3D-D0DEFDA00891}">
    <text xml:space="preserve">55% ročných tržieb z účtovnej závierky/12 v prípade ročných tržieb do 80 tis. € (vrátane) - klient je 100% vlastník s.r.o.; 12% ročných tržieb z účtovnej závierky/12 v prípade ročných tržieb nad 80 tis. € - klient je vlastníkom aspoň 50% spoločnosti, resp. s manželkou/manželom nemajú rozdelené BSM a sú výluční vlastníci spoločnosti. Predkladané doklady: 1) Potvrdenie o výške dane na základe podaného daňového priznania a potvrdenie o zaplatení dane PO; 2) Daňové výkazy za firmu, súvaha, výkaz ziskov a strát (nie je potrebné predkladať pokiaľ sa nachádzajú v Registri účtovných závierok,); 3) Doklad preukazujúci príjem/obrat za obdobie, ktoré nie je pokryté daňovým priznaním - t. j. od ukončenia zdaňovacieho obdobia do dátumu podania žiadosti o hypotéku. Ide o nasledovné doklady, stačí predloženie jedného z nich: (výpisy z podnikateľského účtu, faktúry, mesačné závierky z el. registračnej pokladne, zmluvy uzatvorené s treťou stranou a pod.).	</text>
  </threadedComment>
  <threadedComment ref="L11" dT="2024-07-23T08:03:27.46" personId="{9ECD401C-4E33-C445-BBC8-8930426A13C0}" id="{E0115DB9-353F-3E4B-9351-DA888DA739CD}">
    <text xml:space="preserve">akceptujú 20% z obratu spoločnosti, pričom vo výpočte je potrebné zohľadniť podiel žiadateľa v spoločnosti; Musia byť splnené tieto podmienky: pridelené IČO a podnikateľská činnosť vykonáva neprerušovane min. 18M; podané Daňové priznanie za predchádzajúci rok a zaplatená daň; zisk 0; príjem je vyplácaný na bankový účet.
</text>
  </threadedComment>
  <threadedComment ref="E12" dT="2025-09-10T06:03:17.22" personId="{9ECD401C-4E33-C445-BBC8-8930426A13C0}" id="{CB5315CA-D7F7-A64B-8494-84BDAB629FEE}">
    <text xml:space="preserve">Akceptácia v novom systéme Banky: 1) pri obrate do 50.000 € akceptujú 50% z obratu; 2) pri obrate nad 50.000 € akceptujú 30% z obratu; 3) príjem spoločníka sa vypočíta ako príslušné % z obratu / 12 x podiel spoločníka v spoločnosti; 4) akceptujú maximálny čistý mesačný príjem vo výške 20.000 €; 5) pri príjme z viacerých spoločností akceptujú maximálnu hranicu čistého príjmu 20.000 € jednotlivo z každej spoločnosti. Akceptácia v starom systéme Banky (účel kúpa nehnuteľnosti v Dev. projekte Banky a výstavba nehnuteľnosti): 15% z tržieb s.r.o. (tržby akceptované max. 1 500 000 EUR), t. j. 15% z tržieb / 12 x podiel v s.r.o.. Tržby sa berú z riadku 01 (Tržby z predaja tovaru) alebo 05 (Tržby z predaja vlastnych vyrobkov a služieb), resp. ich súčtu z Vykazu ziskov a strát Účtovnej závierky podnikateľov.
</text>
  </threadedComment>
  <threadedComment ref="E13" dT="2025-09-10T06:03:32.18" personId="{9ECD401C-4E33-C445-BBC8-8930426A13C0}" id="{B895F787-0EB7-3644-9BA8-538EB7D674FD}">
    <text>Akceptácia v novom systéme Banky: 1) pri obrate do 50.000 € akceptujú 50% z obratu; 2) pri obrate nad 50.000 € akceptujú 30% z obratu; 3) príjem spoločníka sa vypočíta ako príslušné % z obratu / 12 x podiel spoločníka v spoločnosti; 4) akceptujú maximálny čistý mesačný príjem vo výške 20.000 €; 5) pri príjme z viacerých spoločností akceptujú maximálnu hranicu čistého príjmu 20.000 € jednotlivo z každej spoločnosti. Akceptácia v starom systéme Banky (účel kúpa nehnuteľnosti v Dev. projekte Banky a výstavba nehnuteľnosti): 15% z tržieb s.r.o. (tržby akceptované max. 1 500 000 EUR), t. j. 15% z tržieb / 12 x podiel v s.r.o.. Tržby sa berú z riadku 01 (Tržby z predaja tovaru) alebo 05 (Tržby z predaja vlastnych vyrobkov a služieb), resp. ich súčtu z Vykazu ziskov a strát Účtovnej závierky podnikateľov.</text>
  </threadedComment>
  <threadedComment ref="B14" dT="2024-07-23T08:24:20.93" personId="{9ECD401C-4E33-C445-BBC8-8930426A13C0}" id="{79344C96-3D82-A24A-8B09-D672708F5B91}">
    <text>VH= vysledok hopodárenia po zdanení</text>
  </threadedComment>
  <threadedComment ref="D14" dT="2024-07-23T10:16:47.96" personId="{9ECD401C-4E33-C445-BBC8-8930426A13C0}" id="{4E694DFB-51ED-F142-BD60-6ED27A21F423}">
    <text>Individuálne posúdenie</text>
  </threadedComment>
  <threadedComment ref="F14" dT="2024-07-23T08:24:53.24" personId="{9ECD401C-4E33-C445-BBC8-8930426A13C0}" id="{18A399E0-6667-DD4E-AB37-1A091A05A50F}">
    <text>Musí byť na účet</text>
  </threadedComment>
  <threadedComment ref="H14" dT="2024-07-23T08:25:41.15" personId="{9ECD401C-4E33-C445-BBC8-8930426A13C0}" id="{39EC3440-B4AC-6342-B6A5-23AD5F597558}">
    <text>Nemusí byť na účet</text>
  </threadedComment>
  <threadedComment ref="I14" dT="2024-07-23T08:26:10.04" personId="{9ECD401C-4E33-C445-BBC8-8930426A13C0}" id="{1545D5B8-9A88-4149-A82F-0A29F1BAE404}">
    <text>Nemusí byť prerozdelený</text>
  </threadedComment>
  <threadedComment ref="J14" dT="2024-07-23T08:26:41.81" personId="{9ECD401C-4E33-C445-BBC8-8930426A13C0}" id="{EF5B4A39-5FF6-984C-827F-32758AEF05EC}">
    <text xml:space="preserve">Akceptujú v prípade vlastnej spoločnosti alebo spoločnosti vo vlastníctve blízkej osoby, pričom podiel vlastníctva musí byť nad 33%. Maximálna vyška LTV 80%. Maximálny podiel dlhu 60%. Akceptujú 100% v prípade rozdeleného a vyplateného podielu na zisku = súčet skutočne vyplateného podielu na zisku za posledné 3 roky/36 mesiacov. Požadované doklady: Rozhodnutie o vyplate podielu na zisku + vypis z bežného účtu žiadateľa o smerovaní vyplaty na účet každého vyplateného podielu za posledné 3 roky. Individuálne posúdenie v prípade, že zisk je akumulovany vo firme a nie je vyplácany žiadnym spôsobom (podmienkou akceptácie je, že spoločnosť je úverovanym klientom Banky). K.O. kritérium: záporny vlastny kapitál spoločnosti a záporny hospodársky vysledok.	</text>
  </threadedComment>
  <threadedComment ref="K14" dT="2024-07-23T08:27:31.02" personId="{9ECD401C-4E33-C445-BBC8-8930426A13C0}" id="{BEE07E3F-5A0A-334F-89C4-FBC78C0CAA6E}">
    <text xml:space="preserve">príjem spoločníka s. r. o. = (hospodársky výsledok po zdanení za posledné účtovné obdobie / 12) x spoluvlastnícky podiel žiadateľa v spoločnosti. Pri určení hodnoty hospodárskeho výsledku sa bude vychádzať z poľa Výsledok hospodárenia za účtovné obdobie po zdanení z Výkazu ziskov a strát spoločnosti, kde je žiadateľ spoločníkom. Zároveň klient musí byť vlastníkom aspoň 50% spoločnosti, resp. s manželkou/manželom nemajú rozdelené BSM a sú výluční vlastníci spoločnosti. Výnimka z uvedeného je v kompetencii odborného útvaru Banky - Risku. Zároveň platí, že vždy sa akceptuje vyššia z hodnôt z príjmu podľa hospodárskeho výsledku alebo z tržieb spoločnosti. Predkladané doklady: 1) Potvrdenie o výške dane na základe podaného daňového priznania a potvrdenie o zaplatení dane PO; 2) Daňové výkazy za firmu, súvaha, výkaz ziskov a strát (nie je potrebné predkladať pokiaľ sa nachádzajú v Registri účtovných závierok,); 3) Doklad preukazujúci príjem/obrat za obdobie, ktoré nie je pokryté daňovým priznaním - t. j. od ukončenia zdaňovacieho obdobia do dátumu podania žiadosti o hypotéku. Ide o nasledovné doklady, stačí predloženie jedného z nich: (výpisy z podnikateľského účtu, faktúry, mesačné závierky z el. registračnej pokladne, zmluvy uzatvorené s treťou stranou a pod.).	</text>
  </threadedComment>
  <threadedComment ref="D15" dT="2024-07-23T10:16:47.96" personId="{9ECD401C-4E33-C445-BBC8-8930426A13C0}" id="{CD1AE391-9230-294C-8F17-C302E654D7D6}">
    <text>Individuálne posúdenie</text>
  </threadedComment>
  <threadedComment ref="H15" dT="2024-07-23T07:46:22.44" personId="{9ECD401C-4E33-C445-BBC8-8930426A13C0}" id="{7D337B82-B11D-8A45-88D8-CDEFF5EA7CA1}">
    <text>Individually výška</text>
  </threadedComment>
  <threadedComment ref="J15" dT="2024-07-23T07:45:49.54" personId="{9ECD401C-4E33-C445-BBC8-8930426A13C0}" id="{79EBE1E5-DE13-9642-A95A-E3E658215CFC}">
    <text>60%</text>
  </threadedComment>
  <threadedComment ref="L15" dT="2024-07-23T07:47:04.67" personId="{9ECD401C-4E33-C445-BBC8-8930426A13C0}" id="{BDC2C206-FB3A-FF46-9809-000D344A0ADD}">
    <text>Individuálne posudenie</text>
  </threadedComment>
  <threadedComment ref="E16" dT="2024-07-23T07:40:28.01" personId="{9ECD401C-4E33-C445-BBC8-8930426A13C0}" id="{73E6A24C-B9A6-8E43-898A-47073B22D530}">
    <text xml:space="preserve">Vzťahuje sa na: Slovenská advokátska komora, Slovenská lekárska komora, Slovenská komora zubnych lekárov, Slovenská komora psychológov, Slovenská lekárnická komora, Komora veterinárnych lekárov, Slovenská komora daňovych poradcov, Slovenská komora audítorov, Slovenská komora architektov, Komora reštaurátorov, Notárska komora, Slovenská komora exekútorov, Komora geodetov a kartografov. Fyzická osoba - podnikateľ (SZČO, živnosť) musí nepretržite úspešne podnikať minimálne 6 mesiacov v uplynulom zdaňovacom období (t.j. podnikateľ nevykázal stratu, záporné vlastné imanie/resp. záporny rozdiel medzi majetkom a záväzkami, nemal nulovú hodnotu vydavkov) a jeho podnikateľská činnosť musí trvať nepretržite aj naďalej. Predkladané doklady: doklad preukazujúci členstvo v komore, kópia daňového priznania a finančné vykazy, doklady preukazujúce príjmy v období medzi podaním posledného daňového priznania a posúdením schopnosti splácať úver (napr. vypisy z podnikateľského účtu minimálne za posledny mesiac, potvrdenie o neexistencii záväzkov voči DÚ (predkladá sa k čerpaniu). Výpočet príjmu: a) Existujúca úverová angažovanosť v ČSOB + novy úver 301 500 EUR: priemerny mesačny príjem = 50 % príjmov (príjmy akceptované max. 1 500 000 EUR)/12 (50 % príjmov podľa 6 zákona o dani z príjmov uvedenych v daňovom priznaní FO); b) Existujúca úverová angažovanosť v ČSOB + novy úver 301 500 EUR: štandardné dokladovanie príjmu. Ak si člen komory otvorí s.r.o. príjem je potrebné započítať v zmysle pravidiel platnych pre s.r.o. t.j. 15 % z tržieb.	</text>
  </threadedComment>
  <threadedComment ref="F16" dT="2024-07-23T07:39:58.96" personId="{9ECD401C-4E33-C445-BBC8-8930426A13C0}" id="{A6D07A24-B1BF-5642-840D-5EA319E0A882}">
    <text>40%</text>
  </threadedComment>
  <threadedComment ref="H16" dT="2024-07-23T07:42:00.34" personId="{9ECD401C-4E33-C445-BBC8-8930426A13C0}" id="{D9D1D25B-4077-AC47-BD06-74278FEBCA25}">
    <text xml:space="preserve">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Vychádzajú z daňového priznania, pričom v prípade akceptácie tržieb platí nasledovné: a) 30% tržieb (DP 2019) resp. 40% tržieb (DP 2020) v prípade týchto povolaní: notár, advokát, súdny exekútor, audítor (overovateľ), daňovy poradca, znalec a tlmočník, lekár, zubny lekár, veterinárny lekár, autorizovany geodet a kartograf, autorizovany architekt a stavebny inžinier, sprostredkovateľ finančnych služieb, maklérska činnosť, sprostredkovateľ obchodu s nehnuteľnosťami, opatrovateľka v Rakúsku, prof. športovec (SZČO); b) 40% z tržieb (DP 2019), resp. 60% z tržieb (DP 2020) v prípade uplatnenia paušálnych výdavkov v daňovom priznaní SZČO. Vždy je maximálne možné akceptovať 4.000,- EUR mesačne, pričom pri súčte z viacerych zdrojoch príjmu nie je možné maximálnu hranicu 4.000,- EUR prekročiť.	</text>
  </threadedComment>
  <threadedComment ref="I16" dT="2024-07-23T07:42:39.92" personId="{9ECD401C-4E33-C445-BBC8-8930426A13C0}" id="{92B89436-0ECB-EA4A-A96A-83435875A403}">
    <text xml:space="preserve">príjem počítaný metódou percenta z tržieb (hrubých príjmov) je akceptovateľný, ak subjekt za posudzované zdaňovacie obdobie nie je v strate, resp. strata nepresiahne bankou stanovenú akceptovanú hranicu (max 5 % z tržieb/hrubých príjmov). Naďalej zostáva v platnosti aj podmienka kladného základného imania. Vychádzajú z daňového priznania, pričom v prípade akceptácie tržieb platí nasledovné: a) 30% tržieb (DP 2019) resp. 40% tržieb (DP 2020) v prípade týchto povolaní: notár, advokát, súdny exekútor, audítor (overovateľ), daňovy poradca, znalec a tlmočník, lekár, zubny lekár, veterinárny lekár, autorizovany geodet a kartograf, autorizovany architekt a stavebny inžinier, sprostredkovateľ finančnych služieb, maklérska činnosť, sprostredkovateľ obchodu s nehnuteľnosťami, opatrovateľka v Rakúsku, prof. športovec (SZČO); b) 40% z tržieb (DP 2019), resp. 60% z tržieb (DP 2020) v prípade uplatnenia paušálnych výdavkov v daňovom priznaní SZČO. Vždy je maximálne možné akceptovať 4.000,- EUR mesačne, pričom pri súčte z viacerych zdrojoch príjmu nie je možné maximálnu hranicu 4.000,- EUR prekročiť.	</text>
  </threadedComment>
  <threadedComment ref="J16" dT="2024-07-23T07:42:56.09" personId="{9ECD401C-4E33-C445-BBC8-8930426A13C0}" id="{F194F552-B87D-4247-A40E-98890EA1D9B7}">
    <text>60%</text>
  </threadedComment>
  <threadedComment ref="K16" dT="2024-07-23T07:43:22.01" personId="{9ECD401C-4E33-C445-BBC8-8930426A13C0}" id="{44F3CD3B-A141-3242-93C1-9A97018A2097}">
    <text>55%</text>
  </threadedComment>
  <threadedComment ref="L16" dT="2024-07-23T07:43:44.57" personId="{9ECD401C-4E33-C445-BBC8-8930426A13C0}" id="{FD55CDBD-9A53-AA48-A937-F9D4D9887FC9}">
    <text>40%</text>
  </threadedComment>
  <threadedComment ref="E17" dT="2024-07-23T10:21:25.01" personId="{9ECD401C-4E33-C445-BBC8-8930426A13C0}" id="{E09099CE-75DB-8A45-AD90-7E1501C3C0A8}">
    <text xml:space="preserve">1) akceptácia 70% vyplatených provízii za posledných 12 mesiacov, resp. za odpracované obdobie (min. 6 mesiacov), pričom priemerná výška vyplatených provízií musí byť min. 1.500,- Eur; 2) akceptácia len v prípade FO a jednoosobových PO (individuálne posúdenie v prípade akciovej spoločnosti); 3) zmluvný vzťah s Finportal, a. s. musí ku dňu vystavenia potvrdenia trvať minimálne 12 mesiacov; 4) existujúca úverová angažovanosť v ČSOB + novy úver môže byť maximálne 301.500 EUR (ak je úverová angažovanosť v ČSOB vyššia, príjem sa dokladuje štandardnym spôsobom); 5) vyplácané provízie musia byť najneskôr po schválení úveru presmerované na účet v ČSOB. Predkladané dokumenty: 1) Potvrdenie o priemernej vyške vyplatených provízií na tlačive Banky vystavené a potvrdené centrálou Finportal, a. s.; 2) Kópia daňového priznania a finančné vykazy (v prípade konateľa s.r.o. sa predkladajú podklady za s.r.o.); 3) Potvrdenie o neexistencii záväzkov voči DÚ (predkladá sa k čerpaniu úveru).	</text>
  </threadedComment>
  <threadedComment ref="F17" dT="2024-07-23T10:22:32.46" personId="{9ECD401C-4E33-C445-BBC8-8930426A13C0}" id="{D9E5F4E2-B84C-0048-84C8-EB29B2C8B9CB}">
    <text xml:space="preserve">1) akceptujú 60% z priemeru provízií potvrdených centrálou spoločnosti Finportal, a. s.; 2) priemer vyplatených provízií sa počíta nasledovne - je očistený o najvyššiu a najnižšiu províziu za posledných 12 mesiacov a delí sa 10-timi; 3) finančný agent musí s mBank spolupracovať, t. j. musí byť evidovaný v Broker portáli mBank; 4) finančný agent nemusí mať aktívnu produkciu; 5) akceptujú SZČO aj jednoosobové SRO (dvojosobové SRO len v prípade manželov); 6) v prípade mHypotéky je maximálna úverová angažovanosť 400.000 € (na vynimku sa dá požiadať o vyššiu sumu); 7) finančný agent nesmie mať dlh na zdravotnom a/alebo sociálnom poistení a zároveň jeho spoločnosť musí mať kladný hospodársky výsledok za posledné zdaňovacie obdobie (nesmie byť v strate); 8) predkladané doklady: potvrdenie o vyške vyplatenych provízií vystavené a potvrdené centrálou spoločnosti Finportal, a. s. a Výpisy za posledných 6 mesiacov.	
</text>
  </threadedComment>
  <threadedComment ref="H17" dT="2024-07-23T10:24:10.23" personId="{9ECD401C-4E33-C445-BBC8-8930426A13C0}" id="{C895EDCE-1584-964F-9A60-40AC07E0FB45}">
    <text xml:space="preserve">Štandardne 40 %, v individuálnych prípadoch je možné akceptovať max. 60% obratov z daňového priznania. Príjem je akceptovateľný, ak subjekt nie je za posudzované zdaňovacie obdobie v strate, resp. strata nepresiahne Bankou stanovenú akceptovanú hranicu (max. 5 % z tržieb/hrubých príjmov). Zároveň platí podmienka kladného základného imania. Predkladané doklady: 1) Kópia daňového priznania spolu s vykazmi, 2) Doklad o zaplatení dane z príjmov. V prípade, ak bude preukázany nárast priemernej vyšky provízií o min. 40 % za obdobie 6 mesiacov, je možné posúdiť príjem na základe províznych lístkov, pričom je potrebné predložiť: 1) provízne lístky, resp. potvrdenie o výške vyplatených provízií vystavené centrálou spoločnosti Finportal, a. s.; 2) výpisy z účtu za posledných 6 mesiacov. Percento akceptácie provízií bude stanovené individuálne (vyška % závisí okrem iného aj od vyšky LTV, ratingu úveru, profilu klienta...), maximálne však do výšky 60% vyplatených provízií.	</text>
  </threadedComment>
  <threadedComment ref="I17" dT="2024-07-23T10:28:33.38" personId="{9ECD401C-4E33-C445-BBC8-8930426A13C0}" id="{1DA6E989-C645-C843-BD31-B314D1E25D4F}">
    <text xml:space="preserve">1) akceptácia 30% z tržieb (v individuálnych prípadoch až 60%), max. 5.500,- Eur/mes.; 2) podmienkou akceptácie je min. doba podnikania 24 mesiacov, min. ročné tržby vo výške 35.000,- Eur, kladné vlastné imanie (platí pre podvojné účtovníctvo), resp. kladný rozdiel majetku a záväzkov (platí pre jednoduché účtovníctvo), max. strata 3.500,- Eur, bez nedoplatkov voči daňovému úradu; 3) akceptácia v prípade FO a PO s min. 50%-tným spoluvlastníckym podielom (individuálne posúdenie v prípade akciovej spoločnosti). Okrem štandardných dokladov je potrebné vždy doložiť aj výpisy z podnikateľského účtu za obdobie posledných 6 mesiacov (neplatí pre klientov s firemným účtom v Tatra banke).	</text>
  </threadedComment>
  <threadedComment ref="J17" dT="2024-07-23T10:28:07.98" personId="{9ECD401C-4E33-C445-BBC8-8930426A13C0}" id="{9A712D4A-4561-7949-BEE3-30CEFC22EAAA}">
    <text xml:space="preserve">Podmienkou akceptácie provízií je registrácia PFA v Banke (PFA má v Banke pridelené provízne číslo) a zároveň finančné sprostredkovanie je jedinou činnosťou PFA. Príjmy vykázané v DP musia zodpovedať 80-100% príjmov uvedených v potvrdení o vyplatených províziach. V prípade SZČO akceptácia 60% vyplatených provízií za posledných 12 mesiacov. V prípade jednoosobovej SRO individuálne posúdenie vyplatených provízií za posledných 12 mesiacov za týchto podmienok: 1) žiadateľ je jediným vlastníkom spoločnosti a zároveň jediným konateľom spoločnosti; 2) jeho vlastné osobné daňové priznanie nevykazuje stratu; 3) spoločnosť existuje aspoň 2 zdaňovacie obdobia; 4) spoločnosť nepodniká v neakceptovanom odvetví; 5) K.O. kritériá: poskytnuté súkromné pôžičky voči fyzickym osobám a inym právnickym osobám (bankové úvery sú OK), záväzky po splatnosti, konkurz, exekúcie na osobu konateľa/vlastníka s.r.o., daňová strata spoločnosti, alebo jej jediného vlastník ako FO podnikateľa, spoločnosť má iného konateľa ako vlastníka, keďže konatelia majú vplyv na fungovanie firmy a trestnoprávna zodpovednosť je prenesená na konateľov.	</text>
  </threadedComment>
  <threadedComment ref="K17" dT="2024-07-23T10:27:52.29" personId="{9ECD401C-4E33-C445-BBC8-8930426A13C0}" id="{1A9D9E98-18FF-B042-8C58-80D34846C193}">
    <text xml:space="preserve">1) akceptácia 30% z provízii za posledných 18 mesiacov; 2) doba spolupráce so spoločnosťou Finportal, a. s. minimálne 18 mesiacov (kratšie obdobie sa posudzuje individuálne na výnimku); 3) finančný agent musí mať pridelené provízne číslo Banky; 4) akceptácia provízií len v prípade FO (jednoosobové s.r.o. sa posudzujú individuálne na výnimku); 5) Predkladané doklady: Potvrdenie o výške dane na základe podaného daňového priznania a potvrdenie o zaplatení dane (nesmie byť strata) a Potvrdenie o výške vyplatených provízií za posledných 18 mesiacov na tlačive Banky vystavené a potvrdené centrálou Finportal, a. s.	</text>
  </threadedComment>
  <threadedComment ref="L17" dT="2024-07-23T10:27:35.21" personId="{9ECD401C-4E33-C445-BBC8-8930426A13C0}" id="{B5DA6171-C1D5-3645-8325-E0197CD263CD}">
    <text xml:space="preserve">1) akceptácia 50% provízií v prípade, že finančný agent vykonáva činnosť nepretržite min. 18 mesiacov ; 2) príjem je vyplácany na bankový účet; 3) Doklady k posúdeniu: Potvrdenie o vyške vyplatených provízií za obdobie posledných 12 mesiacov (vrátane) vystavené a potvrdené centrálou Finportal, a. s. (akceptovaný je nielen originál na tlačive Banky, ale aj originál na tlačive Finportal, a. s.) a Výpisy z účtu za posledné 3 mesiace, preukazujúce pravidelné vyplácanie provízií z Finportal, a. s.
</text>
  </threadedComment>
  <threadedComment ref="E18" dT="2024-07-23T09:34:30.38" personId="{9ECD401C-4E33-C445-BBC8-8930426A13C0}" id="{FACE306A-901E-4142-82BE-01BBF8982475}">
    <text xml:space="preserve">Akceptujú len ako doplnkový príjem, a to vo výške 70% z priemernej výšky prenájmu za posledné 3 mesiace. V čase podania žiadosti o úver musí nájomny vzťah k rovnakej nehnuteľnosti trvať nepretržite min. od októbra predchádzajúceho zdaňovacieho obdobia, zároveň musí byť Dlžník/Spoludlžník celé toto obdobie vlastníkom nehnuteľnosti. Akceptovaná vyška príjmu z prenájmu nesmie presiahnuť súčet všetkych ostatnych príjmov započítanych do finančnej analyzy klientov. Predkladané dokumenty: 1) vypis z bežného účtu za posledné 3 mesiace, na ktory sú poukazované príjmy z prenájmu; 2) vypis z listu vlastníctva k prenajímanej nehnuteľnosti (nie starší ako 3 mesiace, môže byť stiahnuty z katasterportálu) aspoň jeden zo spolužiadateľov musí byť jej vlastníkom; 3) nájomná zmluva/zmluva o prenájme (nie je akceptovaná zmluva o budúcej zmluve o prenájme k prenajímanej nehnuteľnosti); 4) kópia daňového priznania k dani z príjmov fyzickych osôb za posledné zdaňovacie obdobie spolu s vykazmi; 5) potvrdenie o neexistencii záväzkov voči DÚ (nesmie byť staršie ako 60 dní v deň podania Žiadosti o úver). Príjem v hotovosti sa neakceptuje.	</text>
  </threadedComment>
  <threadedComment ref="F18" dT="2024-07-23T09:37:06.30" personId="{9ECD401C-4E33-C445-BBC8-8930426A13C0}" id="{72228CD0-EC08-6A42-8E9C-E80D8DEA329C}">
    <text xml:space="preserve">akceptujú - 1. príjem z prenájmu bytových jednotiek a RD sa počíta ako max. 70% čistého nájomného; predkladá sa LV k prenajímanej nehnuteľností + aktuálna nájomná zmluva + vypis z BU za posledných 6M, nie je potrebné dokladovať DP. Pokiaľ nie je nájomné v nájomnej zmluve rozdelené na čistý nájom a čiastku za služby, akceptujú 60 % z celkového nájomného podľa nájomnej zmluvy alebo výpisu z BÚ. V prípade rozdielu akceptujú nižšiu z čiastok. Žiadateľ je zároveň aj vlastníkom prenajímanej nehnuteľnosti, akceptujú max. 5 nájmov. 2. Príjmy z prenájmu iných nehnuteľností než bytových jednotiek a RD, príjem z krátkodobých prenájmov (Airbnb), prenájmov osobám ekonomicky alebo inak prepojeným - výpočet príjmu sa vykonáva podľa daňového priznania prostredníctvom kalkulačky na výpočet príjmov z daňového priznania.	</text>
  </threadedComment>
  <threadedComment ref="H18" dT="2024-07-23T09:37:37.96" personId="{9ECD401C-4E33-C445-BBC8-8930426A13C0}" id="{5CEA631D-F201-BA48-99D0-ABD1E5F8F76D}">
    <text xml:space="preserve">akceptujú, pričom sa vychádza z daňového priznania alebo akceptujú 50% z výšky nájmu (platí v prípade, ak klientovi ešte nevznikla povinnosť podať daňové priznanie)	</text>
  </threadedComment>
  <threadedComment ref="I18" dT="2024-07-23T09:42:03.66" personId="{9ECD401C-4E33-C445-BBC8-8930426A13C0}" id="{EDF9A973-0E37-7C4B-853B-FB2F0287DCF2}">
    <text xml:space="preserve">akceptujú len ako doplnkový príjem, pričom príjem plynie z prenájmu rezidenčnej nehnuteľnosti a je vyplácaný na účet. Podľa DP .... základ dane - daň / 12	</text>
  </threadedComment>
  <threadedComment ref="J18" dT="2024-07-23T09:41:45.34" personId="{9ECD401C-4E33-C445-BBC8-8930426A13C0}" id="{D0E7DF20-659A-B346-8A73-A225E1F1F1CE}">
    <text xml:space="preserve">Akceptujú 100% z daňového základu - daň / 12. Nie je možné akceptovať príjmy z prenájmu za nehnuteľnosť, ktorá je predmetom zabezpečenia za úver pre tretiu osobu.	</text>
  </threadedComment>
  <threadedComment ref="K18" dT="2024-07-23T09:41:28.37" personId="{9ECD401C-4E33-C445-BBC8-8930426A13C0}" id="{079936B8-2C05-2D41-A165-3E79026CFF2A}">
    <text xml:space="preserve">príjem z prenájmu nehnuteľnosti môže byť akceptovaný dvoma spôsobmi: 1) pokiaľ klient ešte nemá príjmy z prenájmu zahrnuté v daňovom priznaní, tak akceptujú príjem vo výške 50% z obratov na účte (vo VÚB alebo inej banke) za posledných 6 mesiacov; 2) ak klient má príjmy z prenájmu zahrnuté v daňovom priznaní, tak akceptujú vyššiu z hodnôt 50% z príjmov z prenájmu v poslednom daňovom priznaní, alebo 50% z obratov na účte (vo VÚB alebo inej banke) za posledných 6 mesiacov; podľa spôsobu akceptovania príjmu klient predkladá výpisy z účtu alebo daňové priznanie (v prípade, že je prenájom zasielaný na účet vo VÚB, tak sa výpisy nepredkladajú).	</text>
  </threadedComment>
  <threadedComment ref="L18" dT="2024-07-23T09:41:13.81" personId="{9ECD401C-4E33-C445-BBC8-8930426A13C0}" id="{503869EC-23C5-0044-BA49-ECD000DF6D85}">
    <text xml:space="preserve">akceptujú ako doplnkový príjem k hlavnému príjmu za týchto podmienok: 1) Žiadateľ je vylučnym vlastníkom prenajímanej nehnuteľnosti, resp. nehnuteľnosť je v BSM a obaja manželia vstupujú do úverovej žiadosti; 2) na prenajímanej nehnuteľnosti môže byť aj ťarcha inej banky, bez ťarchy 365.bank 3) Neakceptujú príjem z prenájmu komerčnej nehnuteľnosti, resp. príjem z prenájmu nehnuteľnosti právnickej osobe. Akceptujú príjem z prenájmu nehnuteľností určených na bývanie (rodinný dom/byt, resp. nebytový priestor určený na bývanie) a nájomca je FO. Výpočet príjmu: 1) bez ohľadu na to či podával DP alebo nie akceptujú 60% z mesačného prenájmu. 1) príjem sa akceptuje a dokladuje sa ako príjem zo živnosti, resp. príjem z vlastnej spoločnosti (PO); 2) nájomná zmluva je platná a podpísaná na min. 12M, platná min. 6M a nesmie skončiť skôr ako 3M pred odoslaním žiadosti o úver na posúdenie; 3) list vlastníctva k prenajímanej nehnuteľnosti (www.katasterportal.sk); 4) Vypisy z účtu žiadateľa za poslednych 6 mesiacov, preukazujúce pravidelny príjem z prenájmu s jasnou identifikáciou na účte, že sa jedná o prenájom. Doklady k posúdeniu žiadosti, ak klient nepodával DP: 1) Osvedčenie o registrácii a pridelení DIČ; 2) Nájomná zmluva je platná a podpísaná na min. 12M, platná min. 6M a nesmie skončiť skôr ako 3M pred odoslaním žiadosti o úver na posúdenie; 3) List vlastníctva k prenajímanej nehnuteľnosti (www.katasterportal.sk); 4) Vypisy z účtu žiadateľa za poslednych 6 mesiacov, preukazujúce pravidelny príjem z prenájmu s jasnou identifikáciou na účte, že sa jedná o prenájom.
</text>
  </threadedComment>
  <threadedComment ref="E19" dT="2024-07-23T07:28:30.73" personId="{9ECD401C-4E33-C445-BBC8-8930426A13C0}" id="{81C81A80-1617-1447-87C6-08F81E6D0744}">
    <text>pre akceptáciu vyššej sumy rodičovského príspevku t.j. 473,30 € je potrebné doložiť k štandardným dokladom o príjme aj nový výmer so zvýšenou sumou príspevku. Rodičovský príspevok poberaný z ČR sa akceptuje maximálne do výšky nižšieho rodičovského príspevku poberaného v SR t.j vo výške 345,20 € (uvedené platí len pre žiadosti o úver na bývanie). Neakceptujú súbežne s iným príjmom.</text>
  </threadedComment>
  <threadedComment ref="H19" dT="2024-07-23T07:26:41.85" personId="{9ECD401C-4E33-C445-BBC8-8930426A13C0}" id="{3401D153-ECAA-9E42-A54F-030113ECA520}">
    <text>Akceptujú vo výške 473,30 EUR (na jedno dieťa) má rodič, ktorý poberal materské, alebo 345,20 EUR (na jedno dieťa) má rodič, ktorý materské nepoberal. Rodičovský príspevok je možné akceptovať iba v prípade, že na úvere vystupuje ďalší dlžník s iným akceptovateľným príjmom. Štandardne ho neakceptujú súbežne s iným príjmom.</text>
  </threadedComment>
  <threadedComment ref="J19" dT="2024-07-23T07:26:20.06" personId="{9ECD401C-4E33-C445-BBC8-8930426A13C0}" id="{1BBF38BF-9129-C845-867A-EEA40B71156D}">
    <text>Akceptujú 100%. V prípade súbehu rodičovského príspevku a príjmu zo závislej činnosti sa rodičovsky príspevok akceptuje len vo vyške 50%.</text>
  </threadedComment>
  <threadedComment ref="K19" dT="2024-07-23T07:27:26.87" personId="{9ECD401C-4E33-C445-BBC8-8930426A13C0}" id="{385A825A-BEB7-784B-896E-59A7284A9C7D}">
    <text>Akceptuje. Rodičovsky príspevok nie je akceptovateľny súbežne s iným príjmom z TPP alebo z podnikania. Klient s rodičovskym príspevkom môže byť na žiadosti v pozícii spolužiadateľa a v takomto prípade je zadaný tento ako hlavný príjem. V kombinácii s inými príjmami, napr. invalidný dôchodok ekonomicky neaktívne príjmy sa to posudzuje individuálne.</text>
  </threadedComment>
  <threadedComment ref="F20" dT="2024-07-23T07:36:20.59" personId="{9ECD401C-4E33-C445-BBC8-8930426A13C0}" id="{4F624872-A98E-2A4B-B3CB-AB5645BAB728}">
    <text>Ako príjem neakceptujú. Avšak overená výška výživného (dohoda manželov alebo rozhodnutie súdu) sa použije na krytie životných nákladov na vyživované osoby klienta.</text>
  </threadedComment>
  <threadedComment ref="H20" dT="2024-07-23T07:36:56.71" personId="{9ECD401C-4E33-C445-BBC8-8930426A13C0}" id="{79084560-4469-4041-9B81-A6AFF7B3AAFD}">
    <text>akceptujú - ak je výživne vyplácané na účet; max. akceptovateľná vyška je 50% zo súdom stanovenej sumy, maximálne však 500 EUR</text>
  </threadedComment>
  <threadedComment ref="K20" dT="2024-07-23T07:38:10.44" personId="{9ECD401C-4E33-C445-BBC8-8930426A13C0}" id="{17801B18-4540-6C4C-A457-1CE9DD32E346}">
    <text xml:space="preserve">Od 1.4.2022 akceptujú, pričom pre výživné je potrebné doložiť rozhodnutie súdu o priznanom výživnom od partnera a výpisy z účtu za posledných 6 mesiacov, kde má klient zasielané výživné ; Od 1.3.2022 akceptujú pri VÚB Pôžičke na investíciu do domácnosti ako dodatočný príjem. Je potrebné doložiť rozhodnutie súdu o priznanom vyživnom od partnera a vypisy z účtu za posledné 3 mesiace, kde má klient zasielané výživné.	</text>
  </threadedComment>
  <threadedComment ref="L20" dT="2024-07-23T07:38:31.80" personId="{9ECD401C-4E33-C445-BBC8-8930426A13C0}" id="{21F85614-16C4-5B4B-B9BC-264F05DD1A36}">
    <text xml:space="preserve">akceptujú ako doplnkový príjem k hlavnému príjmu; akceptujú len výživné, ktoré stanovil súd; akceptujú 60% z vyšky pravidelného mesačného vyživného vyplácaného do 18 rokov veku; akceptujú vyplácanie na bankový účet aj v hotovosti; neakceptujú dobrovoľné výživné, výživné zo zahraničia a výživné vyplácané štátom. Doklady k posúdeniu: 1) právoplatné rozhodnutie súdu o určenom vyživnom, 2) výpisy z účtu žiadateľa za posledné 3 mesiace, preukazujúce pravidelný príjem vyživného s jasnou identifikáciou na účte, resp. iny doklad preukazujúci prevzatie príspevku.
</text>
  </threadedComment>
  <threadedComment ref="K25" dT="2024-07-23T07:33:44.39" personId="{9ECD401C-4E33-C445-BBC8-8930426A13C0}" id="{EB3E6E39-72F8-B24A-A970-9F581EE8246B}">
    <text xml:space="preserve">akceptujú, pričom k žiadosti o úver je potrebné predložiť: 1) vymer z odboru sociálneho zabezpečenia sekcie personálnych a sociálnych činností a osobného úradu MV SR; 2) ak klient predloží aktuálny vymer (nie starší ako 3 mesiace), nie je potrebné dokladovať vypisy z účtu, na ktory je dôchodok zasielany; 3) pokiaľ je vymer starší ako 3 mesiace, požaduje sa od klienta aj predloženie vypisov z účtu, na ktory je dôchodok zasielany za poslednych 6 mesiacov (netyka sa prípadov, kedy je dôchodok zasielany na VÚB účet).	</text>
  </threadedComment>
  <threadedComment ref="L25" dT="2024-07-23T07:34:54.35" personId="{9ECD401C-4E33-C445-BBC8-8930426A13C0}" id="{EBD3C12C-F368-2E4C-B46B-8249A548291A}">
    <text>akceptujú, ak je vek poberateľa minimálne 35 rokov a vyška dôchodku je min. 133 €</text>
  </threadedComment>
  <threadedComment ref="F27" dT="2024-07-23T07:31:11.82" personId="{9ECD401C-4E33-C445-BBC8-8930426A13C0}" id="{DD5768A9-09E1-C545-AEA8-EA2FBC974679}">
    <text xml:space="preserve">Doplnkový príjem </text>
  </threadedComment>
  <threadedComment ref="G27" dT="2024-07-23T07:31:21.97" personId="{9ECD401C-4E33-C445-BBC8-8930426A13C0}" id="{3599D8B0-B6B3-B249-A62D-0711D8B3B03C}">
    <text xml:space="preserve">Doplnkový príjem </text>
  </threadedComment>
  <threadedComment ref="J27" dT="2024-07-23T07:31:53.63" personId="{9ECD401C-4E33-C445-BBC8-8930426A13C0}" id="{FEC0656C-177F-5045-B547-99D84EDBF9C8}">
    <text>Vdovský dôchodok akceptujú vo výške 60% z výmeru, max. do výšky 300 EUR. Vdovský dôchodok nemôže byť jediným príjmom v žiadosti.</text>
  </threadedComment>
  <threadedComment ref="K27" dT="2024-07-23T07:32:12.13" personId="{9ECD401C-4E33-C445-BBC8-8930426A13C0}" id="{494A5FCC-9EB6-7541-91BE-D0DA681054C3}">
    <text xml:space="preserve">Doplnkový príjem </text>
  </threadedComment>
  <threadedComment ref="L27" dT="2024-07-23T07:32:45.48" personId="{9ECD401C-4E33-C445-BBC8-8930426A13C0}" id="{4E287B19-C453-BD40-9208-7AB860F7AB73}">
    <text>akceptujú, ak je vek poberateľa minimálne 52 rokov a vyška dôchodku je min. 133 €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542A-E1E0-AF45-B983-29B5A15E6267}">
  <dimension ref="A1:P29"/>
  <sheetViews>
    <sheetView tabSelected="1" zoomScale="60" zoomScaleNormal="60" workbookViewId="0">
      <selection activeCell="D30" sqref="D30"/>
    </sheetView>
  </sheetViews>
  <sheetFormatPr baseColWidth="10" defaultRowHeight="27" x14ac:dyDescent="0.35"/>
  <cols>
    <col min="1" max="1" width="35.1640625" style="1" bestFit="1" customWidth="1"/>
    <col min="2" max="2" width="45.5" style="31" customWidth="1"/>
    <col min="3" max="3" width="25.6640625" style="31" bestFit="1" customWidth="1"/>
    <col min="4" max="4" width="22.5" style="1" bestFit="1" customWidth="1"/>
    <col min="5" max="5" width="19.1640625" style="1" bestFit="1" customWidth="1"/>
    <col min="6" max="6" width="21.33203125" style="1" customWidth="1"/>
    <col min="7" max="7" width="20.1640625" style="1" bestFit="1" customWidth="1"/>
    <col min="8" max="8" width="19.1640625" style="1" customWidth="1"/>
    <col min="9" max="9" width="23.5" style="1" bestFit="1" customWidth="1"/>
    <col min="10" max="10" width="22.5" style="1" bestFit="1" customWidth="1"/>
    <col min="11" max="11" width="24.1640625" style="1" bestFit="1" customWidth="1"/>
    <col min="12" max="12" width="24.5" style="1" bestFit="1" customWidth="1"/>
    <col min="13" max="15" width="10.83203125" style="1"/>
    <col min="16" max="16" width="30.6640625" style="1" bestFit="1" customWidth="1"/>
    <col min="17" max="18" width="10.83203125" style="1"/>
    <col min="19" max="19" width="13.33203125" style="1" customWidth="1"/>
    <col min="20" max="20" width="15.5" style="1" customWidth="1"/>
    <col min="21" max="21" width="14.5" style="1" customWidth="1"/>
    <col min="22" max="22" width="11.83203125" style="1" bestFit="1" customWidth="1"/>
    <col min="23" max="27" width="10.83203125" style="1"/>
    <col min="28" max="28" width="12.83203125" style="1" bestFit="1" customWidth="1"/>
    <col min="29" max="16384" width="10.83203125" style="1"/>
  </cols>
  <sheetData>
    <row r="1" spans="1:12" ht="28" x14ac:dyDescent="0.35">
      <c r="C1" s="55" t="s">
        <v>40</v>
      </c>
      <c r="D1" s="43" t="s">
        <v>44</v>
      </c>
      <c r="E1" s="44" t="s">
        <v>45</v>
      </c>
      <c r="F1" s="45" t="s">
        <v>51</v>
      </c>
      <c r="G1" s="46" t="s">
        <v>52</v>
      </c>
      <c r="H1" s="47" t="s">
        <v>53</v>
      </c>
      <c r="I1" s="48" t="s">
        <v>54</v>
      </c>
      <c r="J1" s="49" t="s">
        <v>55</v>
      </c>
      <c r="K1" s="50" t="s">
        <v>56</v>
      </c>
      <c r="L1" s="51" t="s">
        <v>57</v>
      </c>
    </row>
    <row r="2" spans="1:12" ht="28" x14ac:dyDescent="0.35">
      <c r="C2" s="55" t="s">
        <v>41</v>
      </c>
      <c r="D2" s="34" t="s">
        <v>42</v>
      </c>
      <c r="E2" s="35" t="s">
        <v>46</v>
      </c>
      <c r="F2" s="36" t="s">
        <v>43</v>
      </c>
      <c r="G2" s="37" t="s">
        <v>47</v>
      </c>
      <c r="H2" s="38" t="s">
        <v>48</v>
      </c>
      <c r="I2" s="39" t="s">
        <v>49</v>
      </c>
      <c r="J2" s="40" t="s">
        <v>50</v>
      </c>
      <c r="K2" s="41" t="s">
        <v>59</v>
      </c>
      <c r="L2" s="42" t="s">
        <v>58</v>
      </c>
    </row>
    <row r="3" spans="1:12" x14ac:dyDescent="0.35">
      <c r="C3" s="56"/>
      <c r="D3" s="2"/>
      <c r="E3" s="3"/>
      <c r="F3" s="4"/>
      <c r="G3" s="5"/>
      <c r="H3" s="6"/>
      <c r="I3" s="7"/>
      <c r="J3" s="8"/>
      <c r="K3" s="9"/>
      <c r="L3" s="10"/>
    </row>
    <row r="4" spans="1:12" s="21" customFormat="1" ht="50" customHeight="1" x14ac:dyDescent="0.4">
      <c r="B4" s="32"/>
      <c r="C4" s="57"/>
      <c r="D4" s="22" t="s">
        <v>17</v>
      </c>
      <c r="E4" s="23" t="s">
        <v>10</v>
      </c>
      <c r="F4" s="24" t="s">
        <v>16</v>
      </c>
      <c r="G4" s="25" t="s">
        <v>14</v>
      </c>
      <c r="H4" s="26" t="s">
        <v>9</v>
      </c>
      <c r="I4" s="27" t="s">
        <v>12</v>
      </c>
      <c r="J4" s="28" t="s">
        <v>15</v>
      </c>
      <c r="K4" s="29" t="s">
        <v>11</v>
      </c>
      <c r="L4" s="30">
        <v>365</v>
      </c>
    </row>
    <row r="5" spans="1:12" ht="50" customHeight="1" x14ac:dyDescent="0.35">
      <c r="A5" s="11" t="s">
        <v>0</v>
      </c>
      <c r="B5" s="31" t="s">
        <v>28</v>
      </c>
      <c r="C5" s="56" t="s">
        <v>64</v>
      </c>
    </row>
    <row r="6" spans="1:12" ht="50" customHeight="1" x14ac:dyDescent="0.35">
      <c r="A6" s="11"/>
      <c r="C6" s="56"/>
    </row>
    <row r="7" spans="1:12" ht="50" customHeight="1" x14ac:dyDescent="0.35">
      <c r="A7" s="12" t="s">
        <v>5</v>
      </c>
      <c r="B7" s="33" t="s">
        <v>18</v>
      </c>
      <c r="C7" s="55">
        <v>0</v>
      </c>
      <c r="D7" s="13">
        <f>C7</f>
        <v>0</v>
      </c>
      <c r="E7" s="13">
        <f>C7</f>
        <v>0</v>
      </c>
      <c r="F7" s="13">
        <f>C7</f>
        <v>0</v>
      </c>
      <c r="G7" s="13">
        <f>C7</f>
        <v>0</v>
      </c>
      <c r="H7" s="13">
        <f>C7</f>
        <v>0</v>
      </c>
      <c r="I7" s="13">
        <f>C7</f>
        <v>0</v>
      </c>
      <c r="J7" s="13">
        <f>C7</f>
        <v>0</v>
      </c>
      <c r="K7" s="13">
        <f>C7</f>
        <v>0</v>
      </c>
      <c r="L7" s="13">
        <f>C7</f>
        <v>0</v>
      </c>
    </row>
    <row r="8" spans="1:12" ht="50" customHeight="1" x14ac:dyDescent="0.35">
      <c r="A8" s="12" t="s">
        <v>6</v>
      </c>
      <c r="B8" s="33" t="s">
        <v>18</v>
      </c>
      <c r="C8" s="55">
        <v>0</v>
      </c>
      <c r="D8" s="14"/>
      <c r="E8" s="13">
        <f>C8*0.4</f>
        <v>0</v>
      </c>
      <c r="F8" s="13">
        <f>C8*0.5</f>
        <v>0</v>
      </c>
      <c r="G8" s="13">
        <f>C8*0.5</f>
        <v>0</v>
      </c>
      <c r="H8" s="13">
        <f>C8*0.5</f>
        <v>0</v>
      </c>
      <c r="I8" s="13">
        <f>C8*0.5</f>
        <v>0</v>
      </c>
      <c r="J8" s="13">
        <f>C8*0.5</f>
        <v>0</v>
      </c>
      <c r="K8" s="13">
        <f>C8*0.88</f>
        <v>0</v>
      </c>
      <c r="L8" s="13">
        <f>(C8*0.6)/12</f>
        <v>0</v>
      </c>
    </row>
    <row r="9" spans="1:12" ht="50" customHeight="1" x14ac:dyDescent="0.35">
      <c r="A9" s="12" t="s">
        <v>7</v>
      </c>
      <c r="B9" s="33" t="s">
        <v>62</v>
      </c>
      <c r="C9" s="55">
        <v>0</v>
      </c>
      <c r="D9" s="15"/>
      <c r="E9" s="13">
        <f>(C9*0.5)/12</f>
        <v>0</v>
      </c>
      <c r="F9" s="13">
        <f>(C9*0.4)/12</f>
        <v>0</v>
      </c>
      <c r="G9" s="13">
        <f>(C9*0.3)/12</f>
        <v>0</v>
      </c>
      <c r="H9" s="13">
        <f>(C9*0.6)/12</f>
        <v>0</v>
      </c>
      <c r="I9" s="13">
        <f>(C9*0.2)/12</f>
        <v>0</v>
      </c>
      <c r="J9" s="13">
        <f>(C9*0.5)/12</f>
        <v>0</v>
      </c>
      <c r="K9" s="13">
        <f>(C9*0.55)/12</f>
        <v>0</v>
      </c>
      <c r="L9" s="13">
        <f>(C9*0.2)/12</f>
        <v>0</v>
      </c>
    </row>
    <row r="10" spans="1:12" ht="50" customHeight="1" x14ac:dyDescent="0.35">
      <c r="A10" s="12" t="s">
        <v>8</v>
      </c>
      <c r="B10" s="16" t="s">
        <v>19</v>
      </c>
      <c r="C10" s="58">
        <v>0</v>
      </c>
      <c r="D10" s="13">
        <f>C10</f>
        <v>0</v>
      </c>
      <c r="E10" s="14"/>
      <c r="F10" s="14"/>
      <c r="G10" s="13">
        <f>C10</f>
        <v>0</v>
      </c>
      <c r="H10" s="13">
        <f>C10</f>
        <v>0</v>
      </c>
      <c r="I10" s="13">
        <f>C10</f>
        <v>0</v>
      </c>
      <c r="J10" s="13">
        <f>C10</f>
        <v>0</v>
      </c>
      <c r="K10" s="13">
        <f>C10</f>
        <v>0</v>
      </c>
      <c r="L10" s="13">
        <f>C10</f>
        <v>0</v>
      </c>
    </row>
    <row r="11" spans="1:12" ht="50" customHeight="1" x14ac:dyDescent="0.35">
      <c r="A11" s="12" t="s">
        <v>65</v>
      </c>
      <c r="B11" s="33" t="s">
        <v>63</v>
      </c>
      <c r="C11" s="55">
        <v>0</v>
      </c>
      <c r="D11" s="15"/>
      <c r="E11" s="13">
        <f>(C11*0.5)/12</f>
        <v>0</v>
      </c>
      <c r="F11" s="14"/>
      <c r="G11" s="14"/>
      <c r="H11" s="13">
        <f>(C11*0.1)/12</f>
        <v>0</v>
      </c>
      <c r="I11" s="13">
        <f>(C11*0.2)/12</f>
        <v>0</v>
      </c>
      <c r="J11" s="14"/>
      <c r="K11" s="13">
        <f>(C11*0.55)/12</f>
        <v>0</v>
      </c>
      <c r="L11" s="13">
        <f>(C11*0.2)/12</f>
        <v>0</v>
      </c>
    </row>
    <row r="12" spans="1:12" ht="50" customHeight="1" x14ac:dyDescent="0.35">
      <c r="A12" s="12" t="s">
        <v>66</v>
      </c>
      <c r="B12" s="33" t="s">
        <v>63</v>
      </c>
      <c r="C12" s="55">
        <v>0</v>
      </c>
      <c r="D12" s="15"/>
      <c r="E12" s="13">
        <f>(C12*0.3)/12</f>
        <v>0</v>
      </c>
      <c r="F12" s="14"/>
      <c r="G12" s="14"/>
      <c r="H12" s="13">
        <f>(C12*0.1)/12</f>
        <v>0</v>
      </c>
      <c r="I12" s="13">
        <f>(C12*0.2)/12</f>
        <v>0</v>
      </c>
      <c r="J12" s="14"/>
      <c r="K12" s="13">
        <f>(C12*0.55)/12</f>
        <v>0</v>
      </c>
      <c r="L12" s="13">
        <f>(C12*0.2)/12</f>
        <v>0</v>
      </c>
    </row>
    <row r="13" spans="1:12" ht="50" customHeight="1" x14ac:dyDescent="0.35">
      <c r="A13" s="12" t="s">
        <v>67</v>
      </c>
      <c r="B13" s="33" t="s">
        <v>63</v>
      </c>
      <c r="C13" s="55">
        <v>0</v>
      </c>
      <c r="D13" s="15"/>
      <c r="E13" s="13">
        <f>(C13*0.3)/12</f>
        <v>0</v>
      </c>
      <c r="F13" s="14"/>
      <c r="G13" s="14"/>
      <c r="H13" s="13">
        <f>(C13*0.1)/12</f>
        <v>0</v>
      </c>
      <c r="I13" s="13">
        <f>(C13*0.2)/12</f>
        <v>0</v>
      </c>
      <c r="J13" s="14"/>
      <c r="K13" s="13">
        <f>(C13*0.12)/12</f>
        <v>0</v>
      </c>
      <c r="L13" s="13">
        <f>(C13*0.2)/12</f>
        <v>0</v>
      </c>
    </row>
    <row r="14" spans="1:12" ht="50" customHeight="1" x14ac:dyDescent="0.35">
      <c r="A14" s="12" t="s">
        <v>1</v>
      </c>
      <c r="B14" s="33" t="s">
        <v>29</v>
      </c>
      <c r="C14" s="55">
        <v>0</v>
      </c>
      <c r="D14" s="15"/>
      <c r="E14" s="14"/>
      <c r="F14" s="15"/>
      <c r="G14" s="14"/>
      <c r="H14" s="13"/>
      <c r="I14" s="13"/>
      <c r="J14" s="15"/>
      <c r="K14" s="13">
        <f>C14/12</f>
        <v>0</v>
      </c>
      <c r="L14" s="14"/>
    </row>
    <row r="15" spans="1:12" ht="50" customHeight="1" x14ac:dyDescent="0.35">
      <c r="A15" s="12" t="s">
        <v>27</v>
      </c>
      <c r="B15" s="33"/>
      <c r="C15" s="55">
        <v>0</v>
      </c>
      <c r="D15" s="15"/>
      <c r="E15" s="14"/>
      <c r="F15" s="14"/>
      <c r="G15" s="14"/>
      <c r="H15" s="13"/>
      <c r="I15" s="14"/>
      <c r="J15" s="13">
        <f>(C15*0.6)/12</f>
        <v>0</v>
      </c>
      <c r="K15" s="14"/>
      <c r="L15" s="13"/>
    </row>
    <row r="16" spans="1:12" ht="50" customHeight="1" x14ac:dyDescent="0.35">
      <c r="A16" s="12" t="s">
        <v>26</v>
      </c>
      <c r="B16" s="33" t="s">
        <v>37</v>
      </c>
      <c r="C16" s="55">
        <v>0</v>
      </c>
      <c r="D16" s="13"/>
      <c r="E16" s="13"/>
      <c r="F16" s="13"/>
      <c r="G16" s="14"/>
      <c r="H16" s="13"/>
      <c r="I16" s="13"/>
      <c r="J16" s="13"/>
      <c r="K16" s="13"/>
      <c r="L16" s="13"/>
    </row>
    <row r="17" spans="1:16" ht="50" customHeight="1" x14ac:dyDescent="0.35">
      <c r="A17" s="12" t="s">
        <v>39</v>
      </c>
      <c r="B17" s="33" t="s">
        <v>38</v>
      </c>
      <c r="C17" s="55">
        <v>0</v>
      </c>
      <c r="D17" s="14"/>
      <c r="E17" s="13">
        <f>(C17*0.7)/12</f>
        <v>0</v>
      </c>
      <c r="F17" s="13">
        <f>(C17*0.6)/12</f>
        <v>0</v>
      </c>
      <c r="G17" s="14"/>
      <c r="H17" s="13">
        <f>(C17*0.6)/12</f>
        <v>0</v>
      </c>
      <c r="I17" s="13">
        <f>(C17*0.6)/12</f>
        <v>0</v>
      </c>
      <c r="J17" s="13">
        <f>(C17*0.6)/12</f>
        <v>0</v>
      </c>
      <c r="K17" s="13">
        <f>(C17*0.3)/12</f>
        <v>0</v>
      </c>
      <c r="L17" s="13">
        <f>(C17*0.5)/12</f>
        <v>0</v>
      </c>
    </row>
    <row r="18" spans="1:16" ht="50" customHeight="1" x14ac:dyDescent="0.35">
      <c r="A18" s="12" t="s">
        <v>2</v>
      </c>
      <c r="B18" s="33" t="s">
        <v>18</v>
      </c>
      <c r="C18" s="55">
        <v>0</v>
      </c>
      <c r="D18" s="18">
        <f>C18*0.4</f>
        <v>0</v>
      </c>
      <c r="E18" s="18">
        <f>C18*0.7</f>
        <v>0</v>
      </c>
      <c r="F18" s="13">
        <f>C18*0.6</f>
        <v>0</v>
      </c>
      <c r="G18" s="14"/>
      <c r="H18" s="13">
        <f>C18*0.5</f>
        <v>0</v>
      </c>
      <c r="I18" s="13">
        <f>C18*0.5</f>
        <v>0</v>
      </c>
      <c r="J18" s="18">
        <f>C18</f>
        <v>0</v>
      </c>
      <c r="K18" s="13">
        <f>C18*0.5</f>
        <v>0</v>
      </c>
      <c r="L18" s="13">
        <f>C18*0.6</f>
        <v>0</v>
      </c>
      <c r="N18" s="19" t="s">
        <v>30</v>
      </c>
      <c r="O18" s="20" t="s">
        <v>31</v>
      </c>
      <c r="P18" s="20" t="s">
        <v>32</v>
      </c>
    </row>
    <row r="19" spans="1:16" ht="50" customHeight="1" x14ac:dyDescent="0.35">
      <c r="A19" s="12" t="s">
        <v>13</v>
      </c>
      <c r="B19" s="33" t="s">
        <v>25</v>
      </c>
      <c r="C19" s="55">
        <v>0</v>
      </c>
      <c r="D19" s="13"/>
      <c r="E19" s="15"/>
      <c r="F19" s="13"/>
      <c r="G19" s="13"/>
      <c r="H19" s="15"/>
      <c r="I19" s="13"/>
      <c r="J19" s="13"/>
      <c r="K19" s="15"/>
      <c r="L19" s="13"/>
    </row>
    <row r="20" spans="1:16" ht="50" customHeight="1" x14ac:dyDescent="0.35">
      <c r="A20" s="12" t="s">
        <v>3</v>
      </c>
      <c r="B20" s="55" t="s">
        <v>35</v>
      </c>
      <c r="C20" s="55">
        <v>0</v>
      </c>
      <c r="D20" s="13"/>
      <c r="E20" s="14"/>
      <c r="F20" s="15"/>
      <c r="G20" s="14"/>
      <c r="H20" s="13"/>
      <c r="I20" s="14"/>
      <c r="J20" s="14"/>
      <c r="K20" s="13"/>
      <c r="L20" s="13"/>
    </row>
    <row r="21" spans="1:16" ht="50" customHeight="1" x14ac:dyDescent="0.35">
      <c r="A21" s="12" t="s">
        <v>4</v>
      </c>
      <c r="B21" s="55" t="s">
        <v>34</v>
      </c>
      <c r="C21" s="55">
        <v>0</v>
      </c>
      <c r="D21" s="13">
        <f>C21</f>
        <v>0</v>
      </c>
      <c r="E21" s="14"/>
      <c r="F21" s="14"/>
      <c r="G21" s="13">
        <f>C21</f>
        <v>0</v>
      </c>
      <c r="H21" s="13">
        <f>C21</f>
        <v>0</v>
      </c>
      <c r="I21" s="14"/>
      <c r="J21" s="13">
        <f>C21</f>
        <v>0</v>
      </c>
      <c r="K21" s="13">
        <f>C21</f>
        <v>0</v>
      </c>
      <c r="L21" s="13">
        <f>C21</f>
        <v>0</v>
      </c>
    </row>
    <row r="22" spans="1:16" ht="50" customHeight="1" x14ac:dyDescent="0.35">
      <c r="A22" s="12" t="s">
        <v>22</v>
      </c>
      <c r="B22" s="55" t="s">
        <v>36</v>
      </c>
      <c r="C22" s="55">
        <v>0</v>
      </c>
      <c r="D22" s="13"/>
      <c r="E22" s="13"/>
      <c r="F22" s="14"/>
      <c r="G22" s="13"/>
      <c r="H22" s="14"/>
      <c r="I22" s="14"/>
      <c r="J22" s="14"/>
      <c r="K22" s="14"/>
      <c r="L22" s="13"/>
    </row>
    <row r="23" spans="1:16" ht="50" customHeight="1" x14ac:dyDescent="0.35">
      <c r="A23" s="12"/>
      <c r="B23" s="33"/>
      <c r="C23" s="55">
        <v>0</v>
      </c>
      <c r="D23" s="17"/>
      <c r="E23" s="17"/>
      <c r="F23" s="17"/>
      <c r="G23" s="17"/>
      <c r="H23" s="17"/>
      <c r="I23" s="17"/>
      <c r="J23" s="17"/>
      <c r="K23" s="17"/>
      <c r="L23" s="17"/>
    </row>
    <row r="24" spans="1:16" ht="50" customHeight="1" x14ac:dyDescent="0.35">
      <c r="A24" s="12" t="s">
        <v>20</v>
      </c>
      <c r="B24" s="55" t="s">
        <v>33</v>
      </c>
      <c r="C24" s="55">
        <v>0</v>
      </c>
      <c r="D24" s="13"/>
      <c r="E24" s="13"/>
      <c r="F24" s="13"/>
      <c r="G24" s="13"/>
      <c r="H24" s="13"/>
      <c r="I24" s="13"/>
      <c r="J24" s="14"/>
      <c r="K24" s="13"/>
      <c r="L24" s="13"/>
    </row>
    <row r="25" spans="1:16" ht="50" customHeight="1" x14ac:dyDescent="0.35">
      <c r="A25" s="12" t="s">
        <v>21</v>
      </c>
      <c r="B25" s="55" t="s">
        <v>33</v>
      </c>
      <c r="C25" s="55">
        <v>0</v>
      </c>
      <c r="D25" s="13"/>
      <c r="E25" s="13"/>
      <c r="F25" s="13"/>
      <c r="G25" s="13"/>
      <c r="H25" s="13"/>
      <c r="I25" s="13"/>
      <c r="J25" s="13"/>
      <c r="K25" s="13"/>
      <c r="L25" s="13"/>
    </row>
    <row r="26" spans="1:16" ht="50" customHeight="1" x14ac:dyDescent="0.35">
      <c r="A26" s="12" t="s">
        <v>23</v>
      </c>
      <c r="B26" s="55" t="s">
        <v>33</v>
      </c>
      <c r="C26" s="55">
        <v>0</v>
      </c>
      <c r="D26" s="13"/>
      <c r="E26" s="13"/>
      <c r="F26" s="13"/>
      <c r="G26" s="13"/>
      <c r="H26" s="13"/>
      <c r="I26" s="13"/>
      <c r="J26" s="13"/>
      <c r="K26" s="13"/>
      <c r="L26" s="13"/>
    </row>
    <row r="27" spans="1:16" ht="50" customHeight="1" x14ac:dyDescent="0.35">
      <c r="A27" s="12" t="s">
        <v>24</v>
      </c>
      <c r="B27" s="55" t="s">
        <v>33</v>
      </c>
      <c r="C27" s="55">
        <v>0</v>
      </c>
      <c r="D27" s="13"/>
      <c r="E27" s="13"/>
      <c r="F27" s="13"/>
      <c r="G27" s="13"/>
      <c r="H27" s="13"/>
      <c r="I27" s="13"/>
      <c r="J27" s="13"/>
      <c r="K27" s="13"/>
      <c r="L27" s="13"/>
    </row>
    <row r="28" spans="1:16" ht="28" thickBot="1" x14ac:dyDescent="0.4"/>
    <row r="29" spans="1:16" ht="29" thickBot="1" x14ac:dyDescent="0.4">
      <c r="B29" s="52" t="s">
        <v>60</v>
      </c>
      <c r="C29" s="53" t="s">
        <v>61</v>
      </c>
      <c r="D29" s="54">
        <f>SUM(D7:D27)</f>
        <v>0</v>
      </c>
      <c r="E29" s="54">
        <f t="shared" ref="E29:L29" si="0">SUM(E7:E27)</f>
        <v>0</v>
      </c>
      <c r="F29" s="54">
        <f t="shared" si="0"/>
        <v>0</v>
      </c>
      <c r="G29" s="54">
        <f t="shared" si="0"/>
        <v>0</v>
      </c>
      <c r="H29" s="54">
        <f t="shared" si="0"/>
        <v>0</v>
      </c>
      <c r="I29" s="54">
        <f t="shared" si="0"/>
        <v>0</v>
      </c>
      <c r="J29" s="54">
        <f t="shared" si="0"/>
        <v>0</v>
      </c>
      <c r="K29" s="54">
        <f>SUM(K7:K27)</f>
        <v>0</v>
      </c>
      <c r="L29" s="54">
        <f t="shared" si="0"/>
        <v>0</v>
      </c>
    </row>
  </sheetData>
  <phoneticPr fontId="1" type="noConversion"/>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7AE87-128A-6342-81CC-BD15CBB27360}">
  <dimension ref="A1:L4"/>
  <sheetViews>
    <sheetView zoomScale="62" zoomScaleNormal="62" workbookViewId="0">
      <selection activeCell="B18" sqref="B18"/>
    </sheetView>
  </sheetViews>
  <sheetFormatPr baseColWidth="10" defaultRowHeight="16" x14ac:dyDescent="0.2"/>
  <cols>
    <col min="3" max="3" width="26.5" customWidth="1"/>
    <col min="4" max="4" width="21" bestFit="1" customWidth="1"/>
    <col min="5" max="6" width="18.33203125" bestFit="1" customWidth="1"/>
    <col min="7" max="7" width="19.33203125" bestFit="1" customWidth="1"/>
    <col min="8" max="8" width="18.33203125" bestFit="1" customWidth="1"/>
    <col min="9" max="9" width="22.5" bestFit="1" customWidth="1"/>
    <col min="10" max="10" width="21.6640625" bestFit="1" customWidth="1"/>
    <col min="11" max="11" width="23.1640625" bestFit="1" customWidth="1"/>
    <col min="12" max="12" width="23.5" bestFit="1" customWidth="1"/>
  </cols>
  <sheetData>
    <row r="1" spans="1:12" ht="28" x14ac:dyDescent="0.35">
      <c r="A1" s="1"/>
      <c r="B1" s="31"/>
      <c r="C1" s="33" t="s">
        <v>40</v>
      </c>
      <c r="D1" s="43" t="s">
        <v>44</v>
      </c>
      <c r="E1" s="44" t="s">
        <v>45</v>
      </c>
      <c r="F1" s="45" t="s">
        <v>51</v>
      </c>
      <c r="G1" s="46" t="s">
        <v>52</v>
      </c>
      <c r="H1" s="47" t="s">
        <v>53</v>
      </c>
      <c r="I1" s="48" t="s">
        <v>54</v>
      </c>
      <c r="J1" s="49" t="s">
        <v>55</v>
      </c>
      <c r="K1" s="50" t="s">
        <v>56</v>
      </c>
      <c r="L1" s="51" t="s">
        <v>57</v>
      </c>
    </row>
    <row r="2" spans="1:12" ht="28" x14ac:dyDescent="0.35">
      <c r="A2" s="1"/>
      <c r="B2" s="31"/>
      <c r="C2" s="33" t="s">
        <v>41</v>
      </c>
      <c r="D2" s="34" t="s">
        <v>42</v>
      </c>
      <c r="E2" s="35" t="s">
        <v>46</v>
      </c>
      <c r="F2" s="36" t="s">
        <v>43</v>
      </c>
      <c r="G2" s="37" t="s">
        <v>47</v>
      </c>
      <c r="H2" s="38" t="s">
        <v>48</v>
      </c>
      <c r="I2" s="39" t="s">
        <v>49</v>
      </c>
      <c r="J2" s="40" t="s">
        <v>50</v>
      </c>
      <c r="K2" s="41" t="s">
        <v>59</v>
      </c>
      <c r="L2" s="42" t="s">
        <v>58</v>
      </c>
    </row>
    <row r="3" spans="1:12" ht="27" x14ac:dyDescent="0.35">
      <c r="A3" s="1"/>
      <c r="B3" s="31"/>
      <c r="C3" s="31"/>
      <c r="D3" s="2"/>
      <c r="E3" s="3"/>
      <c r="F3" s="4"/>
      <c r="G3" s="5"/>
      <c r="H3" s="6"/>
      <c r="I3" s="7"/>
      <c r="J3" s="8"/>
      <c r="K3" s="9"/>
      <c r="L3" s="10"/>
    </row>
    <row r="4" spans="1:12" ht="32" x14ac:dyDescent="0.4">
      <c r="A4" s="21"/>
      <c r="B4" s="32"/>
      <c r="C4" s="32"/>
      <c r="D4" s="22" t="s">
        <v>17</v>
      </c>
      <c r="E4" s="23" t="s">
        <v>10</v>
      </c>
      <c r="F4" s="24" t="s">
        <v>16</v>
      </c>
      <c r="G4" s="25" t="s">
        <v>14</v>
      </c>
      <c r="H4" s="26" t="s">
        <v>9</v>
      </c>
      <c r="I4" s="27" t="s">
        <v>12</v>
      </c>
      <c r="J4" s="28" t="s">
        <v>15</v>
      </c>
      <c r="K4" s="29" t="s">
        <v>11</v>
      </c>
      <c r="L4" s="30">
        <v>365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C433-FBB4-3C45-BA38-CD4B2C290665}">
  <dimension ref="A1:L4"/>
  <sheetViews>
    <sheetView zoomScale="62" zoomScaleNormal="62" workbookViewId="0">
      <selection activeCell="G10" sqref="G10"/>
    </sheetView>
  </sheetViews>
  <sheetFormatPr baseColWidth="10" defaultRowHeight="16" x14ac:dyDescent="0.2"/>
  <cols>
    <col min="3" max="3" width="29" customWidth="1"/>
    <col min="4" max="4" width="21" bestFit="1" customWidth="1"/>
    <col min="5" max="6" width="18.33203125" bestFit="1" customWidth="1"/>
    <col min="7" max="7" width="19.33203125" bestFit="1" customWidth="1"/>
    <col min="8" max="8" width="18.33203125" bestFit="1" customWidth="1"/>
    <col min="9" max="9" width="22.5" bestFit="1" customWidth="1"/>
    <col min="10" max="10" width="21.6640625" bestFit="1" customWidth="1"/>
    <col min="11" max="11" width="23.1640625" bestFit="1" customWidth="1"/>
    <col min="12" max="12" width="23.5" bestFit="1" customWidth="1"/>
  </cols>
  <sheetData>
    <row r="1" spans="1:12" ht="28" x14ac:dyDescent="0.35">
      <c r="A1" s="1"/>
      <c r="B1" s="31"/>
      <c r="C1" s="33" t="s">
        <v>40</v>
      </c>
      <c r="D1" s="43" t="s">
        <v>44</v>
      </c>
      <c r="E1" s="44" t="s">
        <v>45</v>
      </c>
      <c r="F1" s="45" t="s">
        <v>51</v>
      </c>
      <c r="G1" s="46" t="s">
        <v>52</v>
      </c>
      <c r="H1" s="47" t="s">
        <v>53</v>
      </c>
      <c r="I1" s="48" t="s">
        <v>54</v>
      </c>
      <c r="J1" s="49" t="s">
        <v>55</v>
      </c>
      <c r="K1" s="50" t="s">
        <v>56</v>
      </c>
      <c r="L1" s="51" t="s">
        <v>57</v>
      </c>
    </row>
    <row r="2" spans="1:12" ht="28" x14ac:dyDescent="0.35">
      <c r="A2" s="1"/>
      <c r="B2" s="31"/>
      <c r="C2" s="33" t="s">
        <v>41</v>
      </c>
      <c r="D2" s="34" t="s">
        <v>42</v>
      </c>
      <c r="E2" s="35" t="s">
        <v>46</v>
      </c>
      <c r="F2" s="36" t="s">
        <v>43</v>
      </c>
      <c r="G2" s="37" t="s">
        <v>47</v>
      </c>
      <c r="H2" s="38" t="s">
        <v>48</v>
      </c>
      <c r="I2" s="39" t="s">
        <v>49</v>
      </c>
      <c r="J2" s="40" t="s">
        <v>50</v>
      </c>
      <c r="K2" s="41" t="s">
        <v>59</v>
      </c>
      <c r="L2" s="42" t="s">
        <v>58</v>
      </c>
    </row>
    <row r="3" spans="1:12" ht="27" x14ac:dyDescent="0.35">
      <c r="A3" s="1"/>
      <c r="B3" s="31"/>
      <c r="C3" s="31"/>
      <c r="D3" s="2"/>
      <c r="E3" s="3"/>
      <c r="F3" s="4"/>
      <c r="G3" s="5"/>
      <c r="H3" s="6"/>
      <c r="I3" s="7"/>
      <c r="J3" s="8"/>
      <c r="K3" s="9"/>
      <c r="L3" s="10"/>
    </row>
    <row r="4" spans="1:12" ht="32" x14ac:dyDescent="0.4">
      <c r="A4" s="21"/>
      <c r="B4" s="32"/>
      <c r="C4" s="32"/>
      <c r="D4" s="22" t="s">
        <v>17</v>
      </c>
      <c r="E4" s="23" t="s">
        <v>10</v>
      </c>
      <c r="F4" s="24" t="s">
        <v>16</v>
      </c>
      <c r="G4" s="25" t="s">
        <v>14</v>
      </c>
      <c r="H4" s="26" t="s">
        <v>9</v>
      </c>
      <c r="I4" s="27" t="s">
        <v>12</v>
      </c>
      <c r="J4" s="28" t="s">
        <v>15</v>
      </c>
      <c r="K4" s="29" t="s">
        <v>11</v>
      </c>
      <c r="L4" s="30">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Hárky</vt:lpstr>
      </vt:variant>
      <vt:variant>
        <vt:i4>3</vt:i4>
      </vt:variant>
    </vt:vector>
  </HeadingPairs>
  <TitlesOfParts>
    <vt:vector size="3" baseType="lpstr">
      <vt:lpstr>PRÍJEM</vt:lpstr>
      <vt:lpstr>ÚČEL</vt:lpstr>
      <vt:lpstr>ZABEZPEČENIE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 dranackova</dc:creator>
  <cp:lastModifiedBy>Miroslav Pobiják</cp:lastModifiedBy>
  <dcterms:created xsi:type="dcterms:W3CDTF">2024-07-23T06:58:25Z</dcterms:created>
  <dcterms:modified xsi:type="dcterms:W3CDTF">2026-01-12T15:42:17Z</dcterms:modified>
</cp:coreProperties>
</file>